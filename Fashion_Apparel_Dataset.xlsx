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6.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arsha\Desktop\Fashion &amp; Apparel Retail Performance Dashboard\"/>
    </mc:Choice>
  </mc:AlternateContent>
  <xr:revisionPtr revIDLastSave="0" documentId="13_ncr:1_{A0D713D1-9AA1-42F0-860A-F1B8890847BA}" xr6:coauthVersionLast="47" xr6:coauthVersionMax="47" xr10:uidLastSave="{00000000-0000-0000-0000-000000000000}"/>
  <bookViews>
    <workbookView xWindow="-108" yWindow="-108" windowWidth="23256" windowHeight="13896" activeTab="6" xr2:uid="{00000000-000D-0000-FFFF-FFFF00000000}"/>
  </bookViews>
  <sheets>
    <sheet name="Sales_Raw" sheetId="1" r:id="rId1"/>
    <sheet name="Product_Master" sheetId="2" r:id="rId2"/>
    <sheet name="Budget_Plan" sheetId="3" r:id="rId3"/>
    <sheet name="Returns_Raw" sheetId="4" r:id="rId4"/>
    <sheet name="Sales_Master" sheetId="5" r:id="rId5"/>
    <sheet name="Analysis" sheetId="6" r:id="rId6"/>
    <sheet name="Pivot_Data" sheetId="7" r:id="rId7"/>
    <sheet name="DASHBOARD" sheetId="8" r:id="rId8"/>
  </sheets>
  <definedNames>
    <definedName name="ExternalData_1" localSheetId="4" hidden="1">Sales_Master!$A$1:$T$1501</definedName>
    <definedName name="Slicer_Category">#N/A</definedName>
    <definedName name="Slicer_Month_Nam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3" i="7" l="1"/>
  <c r="A63" i="7"/>
  <c r="C64" i="7"/>
  <c r="C65" i="7"/>
  <c r="C66" i="7"/>
  <c r="C67" i="7"/>
  <c r="C68" i="7"/>
  <c r="C69" i="7"/>
  <c r="C70" i="7"/>
  <c r="C71" i="7"/>
  <c r="C72" i="7"/>
  <c r="C73" i="7"/>
  <c r="C62" i="7"/>
  <c r="A64" i="7"/>
  <c r="A65" i="7"/>
  <c r="A66" i="7"/>
  <c r="A67" i="7"/>
  <c r="A68" i="7"/>
  <c r="A69" i="7"/>
  <c r="A70" i="7"/>
  <c r="A71" i="7"/>
  <c r="A72" i="7"/>
  <c r="A73" i="7"/>
  <c r="A62" i="7"/>
  <c r="H19" i="6"/>
  <c r="X5" i="6"/>
  <c r="X3" i="6"/>
  <c r="X2" i="6"/>
  <c r="I30" i="6"/>
  <c r="I31" i="6"/>
  <c r="I32" i="6"/>
  <c r="I33" i="6"/>
  <c r="I34" i="6"/>
  <c r="I35" i="6"/>
  <c r="I36" i="6"/>
  <c r="I37" i="6"/>
  <c r="I38" i="6"/>
  <c r="I39" i="6"/>
  <c r="I40" i="6"/>
  <c r="I29" i="6"/>
  <c r="H30" i="6"/>
  <c r="H31" i="6"/>
  <c r="H32" i="6"/>
  <c r="H33" i="6"/>
  <c r="H34" i="6"/>
  <c r="H35" i="6"/>
  <c r="H36" i="6"/>
  <c r="H37" i="6"/>
  <c r="H38" i="6"/>
  <c r="H39" i="6"/>
  <c r="H40" i="6"/>
  <c r="H29" i="6"/>
  <c r="H20" i="6"/>
  <c r="I20" i="6" s="1"/>
  <c r="H23" i="6"/>
  <c r="I23" i="6" s="1"/>
  <c r="H21" i="6"/>
  <c r="I21" i="6" s="1"/>
  <c r="H22" i="6"/>
  <c r="I22" i="6" s="1"/>
  <c r="H24" i="6"/>
  <c r="I24" i="6" s="1"/>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33" i="6"/>
  <c r="U4" i="6"/>
  <c r="U3" i="6"/>
  <c r="R3" i="6"/>
  <c r="Q3" i="6"/>
  <c r="Q4" i="6"/>
  <c r="Q5" i="6"/>
  <c r="Q6" i="6"/>
  <c r="R6" i="6" s="1"/>
  <c r="Q7" i="6"/>
  <c r="Q8" i="6"/>
  <c r="R8" i="6" s="1"/>
  <c r="Q9" i="6"/>
  <c r="Q10" i="6"/>
  <c r="Q11" i="6"/>
  <c r="Q12" i="6"/>
  <c r="Q13" i="6"/>
  <c r="Q14" i="6"/>
  <c r="R14" i="6" s="1"/>
  <c r="Q15" i="6"/>
  <c r="Q16" i="6"/>
  <c r="Q17" i="6"/>
  <c r="R17" i="6" s="1"/>
  <c r="Q18" i="6"/>
  <c r="Q19" i="6"/>
  <c r="Q20" i="6"/>
  <c r="R20" i="6" s="1"/>
  <c r="Q21" i="6"/>
  <c r="Q22" i="6"/>
  <c r="Q23" i="6"/>
  <c r="Q24" i="6"/>
  <c r="Q25" i="6"/>
  <c r="Q26" i="6"/>
  <c r="Q27" i="6"/>
  <c r="R27" i="6" s="1"/>
  <c r="Q28" i="6"/>
  <c r="Q29" i="6"/>
  <c r="Q30" i="6"/>
  <c r="Q31" i="6"/>
  <c r="R31" i="6" s="1"/>
  <c r="Q32" i="6"/>
  <c r="Q33" i="6"/>
  <c r="R33" i="6" s="1"/>
  <c r="Q34" i="6"/>
  <c r="Q35" i="6"/>
  <c r="Q36" i="6"/>
  <c r="R36" i="6" s="1"/>
  <c r="Q37" i="6"/>
  <c r="Q38" i="6"/>
  <c r="R38" i="6" s="1"/>
  <c r="Q39" i="6"/>
  <c r="Q40" i="6"/>
  <c r="Q41" i="6"/>
  <c r="R41" i="6" s="1"/>
  <c r="Q42" i="6"/>
  <c r="Q43" i="6"/>
  <c r="Q44" i="6"/>
  <c r="Q45" i="6"/>
  <c r="Q46" i="6"/>
  <c r="Q47" i="6"/>
  <c r="Q48" i="6"/>
  <c r="R48" i="6" s="1"/>
  <c r="Q49" i="6"/>
  <c r="Q50" i="6"/>
  <c r="Q51" i="6"/>
  <c r="R51" i="6" s="1"/>
  <c r="Q52" i="6"/>
  <c r="Q53" i="6"/>
  <c r="Q54" i="6"/>
  <c r="N3" i="6"/>
  <c r="K4" i="6"/>
  <c r="K5" i="6"/>
  <c r="K6" i="6"/>
  <c r="K7" i="6"/>
  <c r="K8" i="6"/>
  <c r="K9" i="6"/>
  <c r="K10" i="6"/>
  <c r="K11" i="6"/>
  <c r="K12" i="6"/>
  <c r="K13" i="6"/>
  <c r="K14" i="6"/>
  <c r="K3" i="6"/>
  <c r="G4" i="6"/>
  <c r="G5" i="6"/>
  <c r="G6" i="6"/>
  <c r="G7" i="6"/>
  <c r="G8" i="6"/>
  <c r="G9" i="6"/>
  <c r="G10" i="6"/>
  <c r="G11" i="6"/>
  <c r="G12" i="6"/>
  <c r="G13" i="6"/>
  <c r="G14" i="6"/>
  <c r="G3" i="6"/>
  <c r="F4" i="6"/>
  <c r="F5" i="6"/>
  <c r="F6" i="6"/>
  <c r="F7" i="6"/>
  <c r="F8" i="6"/>
  <c r="F9" i="6"/>
  <c r="F10" i="6"/>
  <c r="F11" i="6"/>
  <c r="F12" i="6"/>
  <c r="F13" i="6"/>
  <c r="F14" i="6"/>
  <c r="F3" i="6"/>
  <c r="E4" i="6"/>
  <c r="E5" i="6"/>
  <c r="E6" i="6"/>
  <c r="E7" i="6"/>
  <c r="E8" i="6"/>
  <c r="E9" i="6"/>
  <c r="E10" i="6"/>
  <c r="E11" i="6"/>
  <c r="E12" i="6"/>
  <c r="E13" i="6"/>
  <c r="E14" i="6"/>
  <c r="N14" i="6" s="1"/>
  <c r="E3" i="6"/>
  <c r="D4" i="6"/>
  <c r="D5" i="6"/>
  <c r="D6" i="6"/>
  <c r="D7" i="6"/>
  <c r="D8" i="6"/>
  <c r="H8" i="6" s="1"/>
  <c r="D9" i="6"/>
  <c r="H9" i="6" s="1"/>
  <c r="D10" i="6"/>
  <c r="D11" i="6"/>
  <c r="D12" i="6"/>
  <c r="D13" i="6"/>
  <c r="D14" i="6"/>
  <c r="D3" i="6"/>
  <c r="C4" i="6"/>
  <c r="C5" i="6"/>
  <c r="C6" i="6"/>
  <c r="C7" i="6"/>
  <c r="C8" i="6"/>
  <c r="C9" i="6"/>
  <c r="C10" i="6"/>
  <c r="C11" i="6"/>
  <c r="C12" i="6"/>
  <c r="C13" i="6"/>
  <c r="C14" i="6"/>
  <c r="C3" i="6"/>
  <c r="R15" i="6" l="1"/>
  <c r="R25" i="6"/>
  <c r="R40" i="6"/>
  <c r="R10" i="6"/>
  <c r="R32" i="6"/>
  <c r="R19" i="6"/>
  <c r="R22" i="6"/>
  <c r="N13" i="6"/>
  <c r="R21" i="6"/>
  <c r="R9" i="6"/>
  <c r="R34" i="6"/>
  <c r="U11" i="6"/>
  <c r="U10" i="6"/>
  <c r="R53" i="6"/>
  <c r="R23" i="6"/>
  <c r="R35" i="6"/>
  <c r="R49" i="6"/>
  <c r="R4" i="6"/>
  <c r="R11" i="6"/>
  <c r="R16" i="6"/>
  <c r="R26" i="6"/>
  <c r="R50" i="6"/>
  <c r="U6" i="6"/>
  <c r="U9" i="6"/>
  <c r="U12" i="6"/>
  <c r="U14" i="6"/>
  <c r="H12" i="6"/>
  <c r="H13" i="6"/>
  <c r="C21" i="6"/>
  <c r="N12" i="6"/>
  <c r="N4" i="6"/>
  <c r="R46" i="6"/>
  <c r="R7" i="6"/>
  <c r="N8" i="6"/>
  <c r="R18" i="6"/>
  <c r="R24" i="6"/>
  <c r="R30" i="6"/>
  <c r="R37" i="6"/>
  <c r="R42" i="6"/>
  <c r="R47" i="6"/>
  <c r="R52" i="6"/>
  <c r="J30" i="6"/>
  <c r="B63" i="7"/>
  <c r="J31" i="6"/>
  <c r="B64" i="7"/>
  <c r="J32" i="6"/>
  <c r="L32" i="6" s="1"/>
  <c r="B65" i="7"/>
  <c r="J33" i="6"/>
  <c r="B66" i="7"/>
  <c r="J34" i="6"/>
  <c r="B67" i="7"/>
  <c r="J35" i="6"/>
  <c r="B68" i="7"/>
  <c r="J36" i="6"/>
  <c r="B69" i="7"/>
  <c r="J37" i="6"/>
  <c r="B70" i="7"/>
  <c r="J38" i="6"/>
  <c r="B71" i="7"/>
  <c r="J39" i="6"/>
  <c r="B72" i="7"/>
  <c r="J40" i="6"/>
  <c r="B73" i="7"/>
  <c r="J29" i="6"/>
  <c r="B62" i="7"/>
  <c r="N5" i="6"/>
  <c r="U7" i="6"/>
  <c r="N6" i="6"/>
  <c r="U8" i="6"/>
  <c r="N11" i="6"/>
  <c r="U13" i="6"/>
  <c r="X6" i="6"/>
  <c r="U5" i="6"/>
  <c r="I19" i="6"/>
  <c r="X7" i="6"/>
  <c r="R5" i="6"/>
  <c r="R13" i="6"/>
  <c r="R29" i="6"/>
  <c r="R39" i="6"/>
  <c r="R54" i="6"/>
  <c r="R43" i="6"/>
  <c r="R45" i="6"/>
  <c r="N7" i="6"/>
  <c r="N9" i="6"/>
  <c r="H10" i="6"/>
  <c r="H11" i="6"/>
  <c r="K30" i="6"/>
  <c r="L30" i="6"/>
  <c r="K31" i="6"/>
  <c r="L31" i="6"/>
  <c r="K32" i="6"/>
  <c r="C19" i="6"/>
  <c r="C23" i="6"/>
  <c r="C20" i="6"/>
  <c r="C22" i="6"/>
  <c r="N10" i="6"/>
  <c r="R44" i="6"/>
  <c r="R28" i="6"/>
  <c r="R12" i="6"/>
  <c r="H3" i="6"/>
  <c r="H14" i="6"/>
  <c r="H6" i="6"/>
  <c r="H7" i="6"/>
  <c r="H5" i="6"/>
  <c r="H4" i="6"/>
  <c r="X4" i="6" l="1"/>
  <c r="B21" i="6"/>
  <c r="D21" i="6"/>
  <c r="K33" i="6"/>
  <c r="L33" i="6"/>
  <c r="K34" i="6"/>
  <c r="L34" i="6"/>
  <c r="K35" i="6"/>
  <c r="L35" i="6"/>
  <c r="K36" i="6"/>
  <c r="L36" i="6"/>
  <c r="K37" i="6"/>
  <c r="L37" i="6"/>
  <c r="K38" i="6"/>
  <c r="L38" i="6"/>
  <c r="L39" i="6"/>
  <c r="K39" i="6"/>
  <c r="K40" i="6"/>
  <c r="L40" i="6"/>
  <c r="K29" i="6"/>
  <c r="L29" i="6"/>
  <c r="B19" i="6"/>
  <c r="D19" i="6"/>
  <c r="B23" i="6"/>
  <c r="D23" i="6"/>
  <c r="B20" i="6"/>
  <c r="D20" i="6"/>
  <c r="B22" i="6"/>
  <c r="D2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314C67-1E7F-4EEE-BAF0-425C144EC59A}" keepAlive="1" name="Query - Sales_Clean" description="Connection to the 'Sales_Clean' query in the workbook." type="5" refreshedVersion="0" background="1">
    <dbPr connection="Provider=Microsoft.Mashup.OleDb.1;Data Source=$Workbook$;Location=Sales_Clean;Extended Properties=&quot;&quot;" command="SELECT * FROM [Sales_Clean]"/>
  </connection>
  <connection id="2" xr16:uid="{197D6575-14AA-4440-8CB6-0D48B59AA8A1}" keepAlive="1" name="Query - Sales_Master" description="Connection to the 'Sales_Master' query in the workbook." type="5" refreshedVersion="8" background="1" saveData="1">
    <dbPr connection="Provider=Microsoft.Mashup.OleDb.1;Data Source=$Workbook$;Location=Sales_Master;Extended Properties=&quot;&quot;" command="SELECT * FROM [Sales_Master]"/>
  </connection>
  <connection id="3" xr16:uid="{56B97AD1-5141-47E0-AD3A-88ECA59205C5}" keepAlive="1" name="Query - tbl_Budget" description="Connection to the 'tbl_Budget' query in the workbook." type="5" refreshedVersion="0" background="1">
    <dbPr connection="Provider=Microsoft.Mashup.OleDb.1;Data Source=$Workbook$;Location=tbl_Budget;Extended Properties=&quot;&quot;" command="SELECT * FROM [tbl_Budget]"/>
  </connection>
  <connection id="4" xr16:uid="{A8D87CA1-1994-407C-BAB6-F025AF773C26}" keepAlive="1" name="Query - tbl_Products" description="Connection to the 'tbl_Products' query in the workbook." type="5" refreshedVersion="0" background="1">
    <dbPr connection="Provider=Microsoft.Mashup.OleDb.1;Data Source=$Workbook$;Location=tbl_Products;Extended Properties=&quot;&quot;" command="SELECT * FROM [tbl_Products]"/>
  </connection>
  <connection id="5" xr16:uid="{2B5E602D-D96C-43C7-A6EA-236A223812E5}" keepAlive="1" name="Query - tbl_Returns" description="Connection to the 'tbl_Returns' query in the workbook." type="5" refreshedVersion="0" background="1">
    <dbPr connection="Provider=Microsoft.Mashup.OleDb.1;Data Source=$Workbook$;Location=tbl_Returns;Extended Properties=&quot;&quot;" command="SELECT * FROM [tbl_Returns]"/>
  </connection>
</connections>
</file>

<file path=xl/sharedStrings.xml><?xml version="1.0" encoding="utf-8"?>
<sst xmlns="http://schemas.openxmlformats.org/spreadsheetml/2006/main" count="16184" uniqueCount="2132">
  <si>
    <t>Sale_ID</t>
  </si>
  <si>
    <t>Date</t>
  </si>
  <si>
    <t>Week_Number</t>
  </si>
  <si>
    <t>Month</t>
  </si>
  <si>
    <t>Month_Name</t>
  </si>
  <si>
    <t>Product_ID</t>
  </si>
  <si>
    <t>Category</t>
  </si>
  <si>
    <t>Units_Sold</t>
  </si>
  <si>
    <t>Sale_Price</t>
  </si>
  <si>
    <t>Discount_%</t>
  </si>
  <si>
    <t>S0002</t>
  </si>
  <si>
    <t>2024-01-01</t>
  </si>
  <si>
    <t>January</t>
  </si>
  <si>
    <t>P006</t>
  </si>
  <si>
    <t>Topwear</t>
  </si>
  <si>
    <t>S0134</t>
  </si>
  <si>
    <t>P026</t>
  </si>
  <si>
    <t>Winter Collection</t>
  </si>
  <si>
    <t>S0096</t>
  </si>
  <si>
    <t>P012</t>
  </si>
  <si>
    <t>Footwear</t>
  </si>
  <si>
    <t>S0137</t>
  </si>
  <si>
    <t>P010</t>
  </si>
  <si>
    <t>Bottomwear</t>
  </si>
  <si>
    <t>S0010</t>
  </si>
  <si>
    <t>P021</t>
  </si>
  <si>
    <t>Accessories</t>
  </si>
  <si>
    <t>S0013</t>
  </si>
  <si>
    <t>P020</t>
  </si>
  <si>
    <t>S0139</t>
  </si>
  <si>
    <t>2024-01-02</t>
  </si>
  <si>
    <t>P011</t>
  </si>
  <si>
    <t>S0038</t>
  </si>
  <si>
    <t>S0040</t>
  </si>
  <si>
    <t>2024-01-03</t>
  </si>
  <si>
    <t>P023</t>
  </si>
  <si>
    <t>S0115</t>
  </si>
  <si>
    <t>P016</t>
  </si>
  <si>
    <t>S0033</t>
  </si>
  <si>
    <t>P002</t>
  </si>
  <si>
    <t>S0062</t>
  </si>
  <si>
    <t>S0078</t>
  </si>
  <si>
    <t>P009</t>
  </si>
  <si>
    <t>S0008</t>
  </si>
  <si>
    <t>S0140</t>
  </si>
  <si>
    <t>P019</t>
  </si>
  <si>
    <t>S0142</t>
  </si>
  <si>
    <t>S0083</t>
  </si>
  <si>
    <t>S0133</t>
  </si>
  <si>
    <t>S0025</t>
  </si>
  <si>
    <t>2024-01-04</t>
  </si>
  <si>
    <t>P017</t>
  </si>
  <si>
    <t>S0089</t>
  </si>
  <si>
    <t>S0110</t>
  </si>
  <si>
    <t>S0080</t>
  </si>
  <si>
    <t>2024-01-05</t>
  </si>
  <si>
    <t>S0119</t>
  </si>
  <si>
    <t>S0023</t>
  </si>
  <si>
    <t>P008</t>
  </si>
  <si>
    <t>S0081</t>
  </si>
  <si>
    <t>2024-01-06</t>
  </si>
  <si>
    <t>S0053</t>
  </si>
  <si>
    <t>S0051</t>
  </si>
  <si>
    <t>S0045</t>
  </si>
  <si>
    <t>P004</t>
  </si>
  <si>
    <t>S0095</t>
  </si>
  <si>
    <t>P022</t>
  </si>
  <si>
    <t>S0121</t>
  </si>
  <si>
    <t>P018</t>
  </si>
  <si>
    <t>S0014</t>
  </si>
  <si>
    <t>2024-01-07</t>
  </si>
  <si>
    <t>S0104</t>
  </si>
  <si>
    <t>S0011</t>
  </si>
  <si>
    <t>S0112</t>
  </si>
  <si>
    <t>2024-01-08</t>
  </si>
  <si>
    <t>S0059</t>
  </si>
  <si>
    <t>S0113</t>
  </si>
  <si>
    <t>S0132</t>
  </si>
  <si>
    <t>S0070</t>
  </si>
  <si>
    <t>S0039</t>
  </si>
  <si>
    <t>P003</t>
  </si>
  <si>
    <t>S0076</t>
  </si>
  <si>
    <t>P014</t>
  </si>
  <si>
    <t>S0143</t>
  </si>
  <si>
    <t>S0004</t>
  </si>
  <si>
    <t>S0057</t>
  </si>
  <si>
    <t>P025</t>
  </si>
  <si>
    <t>S0017</t>
  </si>
  <si>
    <t>S0072</t>
  </si>
  <si>
    <t>2024-01-09</t>
  </si>
  <si>
    <t>S0069</t>
  </si>
  <si>
    <t>S0086</t>
  </si>
  <si>
    <t>S0003</t>
  </si>
  <si>
    <t>S0098</t>
  </si>
  <si>
    <t>P024</t>
  </si>
  <si>
    <t>S0034</t>
  </si>
  <si>
    <t>2024-01-10</t>
  </si>
  <si>
    <t>P013</t>
  </si>
  <si>
    <t>S0102</t>
  </si>
  <si>
    <t>S0094</t>
  </si>
  <si>
    <t>S0093</t>
  </si>
  <si>
    <t>2024-01-11</t>
  </si>
  <si>
    <t>S0058</t>
  </si>
  <si>
    <t>S0022</t>
  </si>
  <si>
    <t>S0065</t>
  </si>
  <si>
    <t>S0027</t>
  </si>
  <si>
    <t>2024-01-12</t>
  </si>
  <si>
    <t>S0046</t>
  </si>
  <si>
    <t>S0105</t>
  </si>
  <si>
    <t>S0084</t>
  </si>
  <si>
    <t>2024-01-13</t>
  </si>
  <si>
    <t>S0075</t>
  </si>
  <si>
    <t>S0026</t>
  </si>
  <si>
    <t>S0067</t>
  </si>
  <si>
    <t>S0042</t>
  </si>
  <si>
    <t>P007</t>
  </si>
  <si>
    <t>S0128</t>
  </si>
  <si>
    <t>S0061</t>
  </si>
  <si>
    <t>S0054</t>
  </si>
  <si>
    <t>P001</t>
  </si>
  <si>
    <t>S0123</t>
  </si>
  <si>
    <t>2024-01-14</t>
  </si>
  <si>
    <t>S0082</t>
  </si>
  <si>
    <t>S0009</t>
  </si>
  <si>
    <t>S0068</t>
  </si>
  <si>
    <t>2024-01-15</t>
  </si>
  <si>
    <t>S0085</t>
  </si>
  <si>
    <t>S0131</t>
  </si>
  <si>
    <t>S0043</t>
  </si>
  <si>
    <t>S0130</t>
  </si>
  <si>
    <t>S0116</t>
  </si>
  <si>
    <t>2024-01-16</t>
  </si>
  <si>
    <t>S0109</t>
  </si>
  <si>
    <t>S0120</t>
  </si>
  <si>
    <t>S0103</t>
  </si>
  <si>
    <t>2024-01-17</t>
  </si>
  <si>
    <t>S0100</t>
  </si>
  <si>
    <t>S0012</t>
  </si>
  <si>
    <t>S0077</t>
  </si>
  <si>
    <t>S0122</t>
  </si>
  <si>
    <t>S0135</t>
  </si>
  <si>
    <t>2024-01-18</t>
  </si>
  <si>
    <t>S0071</t>
  </si>
  <si>
    <t>S0016</t>
  </si>
  <si>
    <t>S0106</t>
  </si>
  <si>
    <t>S0031</t>
  </si>
  <si>
    <t>P015</t>
  </si>
  <si>
    <t>S0073</t>
  </si>
  <si>
    <t>2024-01-19</t>
  </si>
  <si>
    <t>S0036</t>
  </si>
  <si>
    <t>S0018</t>
  </si>
  <si>
    <t>S0136</t>
  </si>
  <si>
    <t>S0035</t>
  </si>
  <si>
    <t>2024-01-20</t>
  </si>
  <si>
    <t>S0108</t>
  </si>
  <si>
    <t>S0028</t>
  </si>
  <si>
    <t>S0050</t>
  </si>
  <si>
    <t>S0129</t>
  </si>
  <si>
    <t>2024-01-21</t>
  </si>
  <si>
    <t>S0001</t>
  </si>
  <si>
    <t>S0049</t>
  </si>
  <si>
    <t>S0015</t>
  </si>
  <si>
    <t>S0066</t>
  </si>
  <si>
    <t>S0006</t>
  </si>
  <si>
    <t>2024-01-22</t>
  </si>
  <si>
    <t>S0088</t>
  </si>
  <si>
    <t>S0047</t>
  </si>
  <si>
    <t>S0127</t>
  </si>
  <si>
    <t>2024-01-23</t>
  </si>
  <si>
    <t>S0048</t>
  </si>
  <si>
    <t>S0126</t>
  </si>
  <si>
    <t>S0037</t>
  </si>
  <si>
    <t>S0021</t>
  </si>
  <si>
    <t>S0138</t>
  </si>
  <si>
    <t>S0056</t>
  </si>
  <si>
    <t>S0030</t>
  </si>
  <si>
    <t>2024-01-24</t>
  </si>
  <si>
    <t>S0005</t>
  </si>
  <si>
    <t>S0052</t>
  </si>
  <si>
    <t>S0125</t>
  </si>
  <si>
    <t>2024-01-25</t>
  </si>
  <si>
    <t>S0020</t>
  </si>
  <si>
    <t>S0118</t>
  </si>
  <si>
    <t>S0099</t>
  </si>
  <si>
    <t>S0092</t>
  </si>
  <si>
    <t>S0117</t>
  </si>
  <si>
    <t>S0091</t>
  </si>
  <si>
    <t>P005</t>
  </si>
  <si>
    <t>S0019</t>
  </si>
  <si>
    <t>2024-01-26</t>
  </si>
  <si>
    <t>S0060</t>
  </si>
  <si>
    <t>S0029</t>
  </si>
  <si>
    <t>S0044</t>
  </si>
  <si>
    <t>2024-01-27</t>
  </si>
  <si>
    <t>S0041</t>
  </si>
  <si>
    <t>2024-01-28</t>
  </si>
  <si>
    <t>S0087</t>
  </si>
  <si>
    <t>S0141</t>
  </si>
  <si>
    <t>S0101</t>
  </si>
  <si>
    <t>S0079</t>
  </si>
  <si>
    <t>S0074</t>
  </si>
  <si>
    <t>2024-01-29</t>
  </si>
  <si>
    <t>S0111</t>
  </si>
  <si>
    <t>S0007</t>
  </si>
  <si>
    <t>S0090</t>
  </si>
  <si>
    <t>S0064</t>
  </si>
  <si>
    <t>S0097</t>
  </si>
  <si>
    <t>S0055</t>
  </si>
  <si>
    <t>2024-01-30</t>
  </si>
  <si>
    <t>S0107</t>
  </si>
  <si>
    <t>S0032</t>
  </si>
  <si>
    <t>S0124</t>
  </si>
  <si>
    <t>S0063</t>
  </si>
  <si>
    <t>S0114</t>
  </si>
  <si>
    <t>2024-01-31</t>
  </si>
  <si>
    <t>S0024</t>
  </si>
  <si>
    <t>S0177</t>
  </si>
  <si>
    <t>2024-02-01</t>
  </si>
  <si>
    <t>February</t>
  </si>
  <si>
    <t>S0214</t>
  </si>
  <si>
    <t>P028</t>
  </si>
  <si>
    <t>Summer Collection</t>
  </si>
  <si>
    <t>S0189</t>
  </si>
  <si>
    <t>2024-02-02</t>
  </si>
  <si>
    <t>S0156</t>
  </si>
  <si>
    <t>S0196</t>
  </si>
  <si>
    <t>2024-02-03</t>
  </si>
  <si>
    <t>S0195</t>
  </si>
  <si>
    <t>S0171</t>
  </si>
  <si>
    <t>S0230</t>
  </si>
  <si>
    <t>2024-02-04</t>
  </si>
  <si>
    <t>S0158</t>
  </si>
  <si>
    <t>S0152</t>
  </si>
  <si>
    <t>S0168</t>
  </si>
  <si>
    <t>S0216</t>
  </si>
  <si>
    <t>S0210</t>
  </si>
  <si>
    <t>2024-02-05</t>
  </si>
  <si>
    <t>S0219</t>
  </si>
  <si>
    <t>S0146</t>
  </si>
  <si>
    <t>S0223</t>
  </si>
  <si>
    <t>2024-02-06</t>
  </si>
  <si>
    <t>S0176</t>
  </si>
  <si>
    <t>S0192</t>
  </si>
  <si>
    <t>S0172</t>
  </si>
  <si>
    <t>S0151</t>
  </si>
  <si>
    <t>2024-02-07</t>
  </si>
  <si>
    <t>S0162</t>
  </si>
  <si>
    <t>S0145</t>
  </si>
  <si>
    <t>S0184</t>
  </si>
  <si>
    <t>S0174</t>
  </si>
  <si>
    <t>S0185</t>
  </si>
  <si>
    <t>S0161</t>
  </si>
  <si>
    <t>2024-02-08</t>
  </si>
  <si>
    <t>S0200</t>
  </si>
  <si>
    <t>S0166</t>
  </si>
  <si>
    <t>S0149</t>
  </si>
  <si>
    <t>S0178</t>
  </si>
  <si>
    <t>2024-02-09</t>
  </si>
  <si>
    <t>S0231</t>
  </si>
  <si>
    <t>S0206</t>
  </si>
  <si>
    <t>S0165</t>
  </si>
  <si>
    <t>S0209</t>
  </si>
  <si>
    <t>S0179</t>
  </si>
  <si>
    <t>2024-02-10</t>
  </si>
  <si>
    <t>S0229</t>
  </si>
  <si>
    <t>S0160</t>
  </si>
  <si>
    <t>2024-02-11</t>
  </si>
  <si>
    <t>S0208</t>
  </si>
  <si>
    <t>S0222</t>
  </si>
  <si>
    <t>2024-02-12</t>
  </si>
  <si>
    <t>S0159</t>
  </si>
  <si>
    <t>2024-02-13</t>
  </si>
  <si>
    <t>S0198</t>
  </si>
  <si>
    <t>S0203</t>
  </si>
  <si>
    <t>2024-02-14</t>
  </si>
  <si>
    <t>S0164</t>
  </si>
  <si>
    <t>S0154</t>
  </si>
  <si>
    <t>S0153</t>
  </si>
  <si>
    <t>S0167</t>
  </si>
  <si>
    <t>2024-02-15</t>
  </si>
  <si>
    <t>S0212</t>
  </si>
  <si>
    <t>S0163</t>
  </si>
  <si>
    <t>S0155</t>
  </si>
  <si>
    <t>S0173</t>
  </si>
  <si>
    <t>2024-02-16</t>
  </si>
  <si>
    <t>S0183</t>
  </si>
  <si>
    <t>S0193</t>
  </si>
  <si>
    <t>2024-02-17</t>
  </si>
  <si>
    <t>S0218</t>
  </si>
  <si>
    <t>S0227</t>
  </si>
  <si>
    <t>S0205</t>
  </si>
  <si>
    <t>S0191</t>
  </si>
  <si>
    <t>S0217</t>
  </si>
  <si>
    <t>2024-02-18</t>
  </si>
  <si>
    <t>S0187</t>
  </si>
  <si>
    <t>S0190</t>
  </si>
  <si>
    <t>2024-02-19</t>
  </si>
  <si>
    <t>S0148</t>
  </si>
  <si>
    <t>S0186</t>
  </si>
  <si>
    <t>S0204</t>
  </si>
  <si>
    <t>S0226</t>
  </si>
  <si>
    <t>2024-02-20</t>
  </si>
  <si>
    <t>S0215</t>
  </si>
  <si>
    <t>S0201</t>
  </si>
  <si>
    <t>S0202</t>
  </si>
  <si>
    <t>S0157</t>
  </si>
  <si>
    <t>2024-02-21</t>
  </si>
  <si>
    <t>S0211</t>
  </si>
  <si>
    <t>S0169</t>
  </si>
  <si>
    <t>S0182</t>
  </si>
  <si>
    <t>2024-02-22</t>
  </si>
  <si>
    <t>S0144</t>
  </si>
  <si>
    <t>S0207</t>
  </si>
  <si>
    <t>S0228</t>
  </si>
  <si>
    <t>S0180</t>
  </si>
  <si>
    <t>2024-02-23</t>
  </si>
  <si>
    <t>S0225</t>
  </si>
  <si>
    <t>S0188</t>
  </si>
  <si>
    <t>2024-02-24</t>
  </si>
  <si>
    <t>S0213</t>
  </si>
  <si>
    <t>2024-02-25</t>
  </si>
  <si>
    <t>S0181</t>
  </si>
  <si>
    <t>2024-02-26</t>
  </si>
  <si>
    <t>S0150</t>
  </si>
  <si>
    <t>S0170</t>
  </si>
  <si>
    <t>2024-02-27</t>
  </si>
  <si>
    <t>S0224</t>
  </si>
  <si>
    <t>S0194</t>
  </si>
  <si>
    <t>2024-02-28</t>
  </si>
  <si>
    <t>S0197</t>
  </si>
  <si>
    <t>S0175</t>
  </si>
  <si>
    <t>2024-02-29</t>
  </si>
  <si>
    <t>S0220</t>
  </si>
  <si>
    <t>S0199</t>
  </si>
  <si>
    <t>S0147</t>
  </si>
  <si>
    <t>S0221</t>
  </si>
  <si>
    <t>S0272</t>
  </si>
  <si>
    <t>2024-03-01</t>
  </si>
  <si>
    <t>March</t>
  </si>
  <si>
    <t>S0307</t>
  </si>
  <si>
    <t>2024-03-02</t>
  </si>
  <si>
    <t>S0244</t>
  </si>
  <si>
    <t>S0299</t>
  </si>
  <si>
    <t>S0242</t>
  </si>
  <si>
    <t>2024-03-03</t>
  </si>
  <si>
    <t>S0251</t>
  </si>
  <si>
    <t>2024-03-04</t>
  </si>
  <si>
    <t>S0264</t>
  </si>
  <si>
    <t>S0280</t>
  </si>
  <si>
    <t>P029</t>
  </si>
  <si>
    <t>S0296</t>
  </si>
  <si>
    <t>S0258</t>
  </si>
  <si>
    <t>2024-03-05</t>
  </si>
  <si>
    <t>S0257</t>
  </si>
  <si>
    <t>S0234</t>
  </si>
  <si>
    <t>S0268</t>
  </si>
  <si>
    <t>S0247</t>
  </si>
  <si>
    <t>2024-03-06</t>
  </si>
  <si>
    <t>S0297</t>
  </si>
  <si>
    <t>S0262</t>
  </si>
  <si>
    <t>2024-03-07</t>
  </si>
  <si>
    <t>S0325</t>
  </si>
  <si>
    <t>S0236</t>
  </si>
  <si>
    <t>S0306</t>
  </si>
  <si>
    <t>P027</t>
  </si>
  <si>
    <t>S0313</t>
  </si>
  <si>
    <t>S0283</t>
  </si>
  <si>
    <t>2024-03-08</t>
  </si>
  <si>
    <t>S0287</t>
  </si>
  <si>
    <t>P030</t>
  </si>
  <si>
    <t>S0263</t>
  </si>
  <si>
    <t>S0290</t>
  </si>
  <si>
    <t>2024-03-09</t>
  </si>
  <si>
    <t>S0241</t>
  </si>
  <si>
    <t>S0278</t>
  </si>
  <si>
    <t>S0235</t>
  </si>
  <si>
    <t>2024-03-10</t>
  </si>
  <si>
    <t>S0259</t>
  </si>
  <si>
    <t>S0330</t>
  </si>
  <si>
    <t>S0237</t>
  </si>
  <si>
    <t>2024-03-11</t>
  </si>
  <si>
    <t>S0295</t>
  </si>
  <si>
    <t>S0245</t>
  </si>
  <si>
    <t>S0322</t>
  </si>
  <si>
    <t>S0301</t>
  </si>
  <si>
    <t>2024-03-12</t>
  </si>
  <si>
    <t>S0292</t>
  </si>
  <si>
    <t>S0285</t>
  </si>
  <si>
    <t>S0289</t>
  </si>
  <si>
    <t>2024-03-13</t>
  </si>
  <si>
    <t>S0305</t>
  </si>
  <si>
    <t>S0303</t>
  </si>
  <si>
    <t>2024-03-14</t>
  </si>
  <si>
    <t>S0243</t>
  </si>
  <si>
    <t>S0314</t>
  </si>
  <si>
    <t>S0308</t>
  </si>
  <si>
    <t>S0248</t>
  </si>
  <si>
    <t>2024-03-15</t>
  </si>
  <si>
    <t>S0304</t>
  </si>
  <si>
    <t>2024-03-17</t>
  </si>
  <si>
    <t>S0309</t>
  </si>
  <si>
    <t>S0320</t>
  </si>
  <si>
    <t>S0293</t>
  </si>
  <si>
    <t>S0240</t>
  </si>
  <si>
    <t>S0250</t>
  </si>
  <si>
    <t>2024-03-18</t>
  </si>
  <si>
    <t>S0324</t>
  </si>
  <si>
    <t>S0254</t>
  </si>
  <si>
    <t>S0256</t>
  </si>
  <si>
    <t>2024-03-19</t>
  </si>
  <si>
    <t>S0329</t>
  </si>
  <si>
    <t>2024-03-20</t>
  </si>
  <si>
    <t>S0317</t>
  </si>
  <si>
    <t>S0300</t>
  </si>
  <si>
    <t>S0267</t>
  </si>
  <si>
    <t>S0246</t>
  </si>
  <si>
    <t>2024-03-21</t>
  </si>
  <si>
    <t>S0321</t>
  </si>
  <si>
    <t>2024-03-22</t>
  </si>
  <si>
    <t>S0288</t>
  </si>
  <si>
    <t>S0318</t>
  </si>
  <si>
    <t>S0238</t>
  </si>
  <si>
    <t>S0294</t>
  </si>
  <si>
    <t>S0310</t>
  </si>
  <si>
    <t>S0327</t>
  </si>
  <si>
    <t>S0326</t>
  </si>
  <si>
    <t>S0323</t>
  </si>
  <si>
    <t>2024-03-23</t>
  </si>
  <si>
    <t>S0249</t>
  </si>
  <si>
    <t>S0273</t>
  </si>
  <si>
    <t>2024-03-24</t>
  </si>
  <si>
    <t>S0233</t>
  </si>
  <si>
    <t>S0319</t>
  </si>
  <si>
    <t>S0312</t>
  </si>
  <si>
    <t>S0265</t>
  </si>
  <si>
    <t>2024-03-25</t>
  </si>
  <si>
    <t>S0277</t>
  </si>
  <si>
    <t>2024-03-26</t>
  </si>
  <si>
    <t>S0302</t>
  </si>
  <si>
    <t>S0275</t>
  </si>
  <si>
    <t>S0270</t>
  </si>
  <si>
    <t>S0274</t>
  </si>
  <si>
    <t>S0279</t>
  </si>
  <si>
    <t>S0255</t>
  </si>
  <si>
    <t>2024-03-27</t>
  </si>
  <si>
    <t>S0284</t>
  </si>
  <si>
    <t>S0286</t>
  </si>
  <si>
    <t>S0281</t>
  </si>
  <si>
    <t>2024-03-28</t>
  </si>
  <si>
    <t>S0276</t>
  </si>
  <si>
    <t>S0269</t>
  </si>
  <si>
    <t>S0282</t>
  </si>
  <si>
    <t>S0239</t>
  </si>
  <si>
    <t>S0328</t>
  </si>
  <si>
    <t>2024-03-29</t>
  </si>
  <si>
    <t>S0232</t>
  </si>
  <si>
    <t>S0271</t>
  </si>
  <si>
    <t>S0266</t>
  </si>
  <si>
    <t>S0253</t>
  </si>
  <si>
    <t>S0260</t>
  </si>
  <si>
    <t>S0261</t>
  </si>
  <si>
    <t>S0316</t>
  </si>
  <si>
    <t>2024-03-30</t>
  </si>
  <si>
    <t>S0315</t>
  </si>
  <si>
    <t>2024-03-31</t>
  </si>
  <si>
    <t>S0291</t>
  </si>
  <si>
    <t>S0311</t>
  </si>
  <si>
    <t>S0298</t>
  </si>
  <si>
    <t>S0252</t>
  </si>
  <si>
    <t>S0420</t>
  </si>
  <si>
    <t>2024-04-01</t>
  </si>
  <si>
    <t>April</t>
  </si>
  <si>
    <t>S0403</t>
  </si>
  <si>
    <t>S0438</t>
  </si>
  <si>
    <t>2024-04-02</t>
  </si>
  <si>
    <t>S0397</t>
  </si>
  <si>
    <t>S0366</t>
  </si>
  <si>
    <t>S0350</t>
  </si>
  <si>
    <t>S0435</t>
  </si>
  <si>
    <t>S0423</t>
  </si>
  <si>
    <t>2024-04-03</t>
  </si>
  <si>
    <t>S0389</t>
  </si>
  <si>
    <t>S0342</t>
  </si>
  <si>
    <t>S0437</t>
  </si>
  <si>
    <t>S0444</t>
  </si>
  <si>
    <t>2024-04-04</t>
  </si>
  <si>
    <t>S0392</t>
  </si>
  <si>
    <t>2024-04-05</t>
  </si>
  <si>
    <t>S0390</t>
  </si>
  <si>
    <t>S0359</t>
  </si>
  <si>
    <t>S0349</t>
  </si>
  <si>
    <t>S0426</t>
  </si>
  <si>
    <t>2024-04-06</t>
  </si>
  <si>
    <t>S0448</t>
  </si>
  <si>
    <t>S0341</t>
  </si>
  <si>
    <t>S0393</t>
  </si>
  <si>
    <t>2024-04-07</t>
  </si>
  <si>
    <t>S0445</t>
  </si>
  <si>
    <t>S0333</t>
  </si>
  <si>
    <t>S0386</t>
  </si>
  <si>
    <t>2024-04-08</t>
  </si>
  <si>
    <t>S0367</t>
  </si>
  <si>
    <t>S0348</t>
  </si>
  <si>
    <t>S0363</t>
  </si>
  <si>
    <t>S0383</t>
  </si>
  <si>
    <t>S0439</t>
  </si>
  <si>
    <t>S0442</t>
  </si>
  <si>
    <t>S0436</t>
  </si>
  <si>
    <t>S0411</t>
  </si>
  <si>
    <t>2024-04-09</t>
  </si>
  <si>
    <t>S0427</t>
  </si>
  <si>
    <t>S0431</t>
  </si>
  <si>
    <t>S0432</t>
  </si>
  <si>
    <t>S0381</t>
  </si>
  <si>
    <t>S0404</t>
  </si>
  <si>
    <t>2024-04-10</t>
  </si>
  <si>
    <t>S0332</t>
  </si>
  <si>
    <t>S0428</t>
  </si>
  <si>
    <t>2024-04-11</t>
  </si>
  <si>
    <t>S0395</t>
  </si>
  <si>
    <t>S0430</t>
  </si>
  <si>
    <t>S0345</t>
  </si>
  <si>
    <t>S0387</t>
  </si>
  <si>
    <t>S0336</t>
  </si>
  <si>
    <t>S0372</t>
  </si>
  <si>
    <t>S0413</t>
  </si>
  <si>
    <t>2024-04-13</t>
  </si>
  <si>
    <t>S0402</t>
  </si>
  <si>
    <t>S0391</t>
  </si>
  <si>
    <t>S0358</t>
  </si>
  <si>
    <t>S0357</t>
  </si>
  <si>
    <t>S0399</t>
  </si>
  <si>
    <t>S0394</t>
  </si>
  <si>
    <t>2024-04-14</t>
  </si>
  <si>
    <t>S0375</t>
  </si>
  <si>
    <t>S0424</t>
  </si>
  <si>
    <t>S0378</t>
  </si>
  <si>
    <t>2024-04-15</t>
  </si>
  <si>
    <t>S0376</t>
  </si>
  <si>
    <t>S0337</t>
  </si>
  <si>
    <t>S0368</t>
  </si>
  <si>
    <t>S0429</t>
  </si>
  <si>
    <t>S0396</t>
  </si>
  <si>
    <t>S0384</t>
  </si>
  <si>
    <t>S0353</t>
  </si>
  <si>
    <t>S0351</t>
  </si>
  <si>
    <t>2024-04-16</t>
  </si>
  <si>
    <t>S0410</t>
  </si>
  <si>
    <t>S0412</t>
  </si>
  <si>
    <t>S0382</t>
  </si>
  <si>
    <t>S0443</t>
  </si>
  <si>
    <t>S0433</t>
  </si>
  <si>
    <t>S0339</t>
  </si>
  <si>
    <t>2024-04-17</t>
  </si>
  <si>
    <t>S0343</t>
  </si>
  <si>
    <t>S0365</t>
  </si>
  <si>
    <t>S0331</t>
  </si>
  <si>
    <t>2024-04-18</t>
  </si>
  <si>
    <t>S0406</t>
  </si>
  <si>
    <t>S0371</t>
  </si>
  <si>
    <t>S0421</t>
  </si>
  <si>
    <t>2024-04-19</t>
  </si>
  <si>
    <t>S0355</t>
  </si>
  <si>
    <t>S0335</t>
  </si>
  <si>
    <t>2024-04-20</t>
  </si>
  <si>
    <t>S0419</t>
  </si>
  <si>
    <t>S0449</t>
  </si>
  <si>
    <t>S0373</t>
  </si>
  <si>
    <t>S0441</t>
  </si>
  <si>
    <t>S0344</t>
  </si>
  <si>
    <t>2024-04-21</t>
  </si>
  <si>
    <t>S0347</t>
  </si>
  <si>
    <t>2024-04-22</t>
  </si>
  <si>
    <t>S0422</t>
  </si>
  <si>
    <t>S0338</t>
  </si>
  <si>
    <t>S0370</t>
  </si>
  <si>
    <t>S0414</t>
  </si>
  <si>
    <t>S0360</t>
  </si>
  <si>
    <t>2024-04-23</t>
  </si>
  <si>
    <t>S0356</t>
  </si>
  <si>
    <t>S0450</t>
  </si>
  <si>
    <t>S0385</t>
  </si>
  <si>
    <t>S0446</t>
  </si>
  <si>
    <t>S0400</t>
  </si>
  <si>
    <t>S0416</t>
  </si>
  <si>
    <t>2024-04-24</t>
  </si>
  <si>
    <t>S0407</t>
  </si>
  <si>
    <t>S0434</t>
  </si>
  <si>
    <t>S0377</t>
  </si>
  <si>
    <t>S0447</t>
  </si>
  <si>
    <t>2024-04-25</t>
  </si>
  <si>
    <t>S0362</t>
  </si>
  <si>
    <t>S0379</t>
  </si>
  <si>
    <t>S0451</t>
  </si>
  <si>
    <t>S0415</t>
  </si>
  <si>
    <t>2024-04-26</t>
  </si>
  <si>
    <t>S0408</t>
  </si>
  <si>
    <t>S0334</t>
  </si>
  <si>
    <t>S0364</t>
  </si>
  <si>
    <t>S0340</t>
  </si>
  <si>
    <t>S0369</t>
  </si>
  <si>
    <t>S0440</t>
  </si>
  <si>
    <t>2024-04-27</t>
  </si>
  <si>
    <t>S0380</t>
  </si>
  <si>
    <t>S0417</t>
  </si>
  <si>
    <t>S0398</t>
  </si>
  <si>
    <t>S0346</t>
  </si>
  <si>
    <t>S0405</t>
  </si>
  <si>
    <t>2024-04-28</t>
  </si>
  <si>
    <t>S0401</t>
  </si>
  <si>
    <t>S0425</t>
  </si>
  <si>
    <t>S0352</t>
  </si>
  <si>
    <t>S0409</t>
  </si>
  <si>
    <t>2024-04-29</t>
  </si>
  <si>
    <t>S0388</t>
  </si>
  <si>
    <t>S0374</t>
  </si>
  <si>
    <t>S0361</t>
  </si>
  <si>
    <t>S0354</t>
  </si>
  <si>
    <t>S0418</t>
  </si>
  <si>
    <t>2024-04-30</t>
  </si>
  <si>
    <t>S0454</t>
  </si>
  <si>
    <t>2024-05-01</t>
  </si>
  <si>
    <t>May</t>
  </si>
  <si>
    <t>S0554</t>
  </si>
  <si>
    <t>2024-05-02</t>
  </si>
  <si>
    <t>S0568</t>
  </si>
  <si>
    <t>S0540</t>
  </si>
  <si>
    <t>S0580</t>
  </si>
  <si>
    <t>S0503</t>
  </si>
  <si>
    <t>2024-05-03</t>
  </si>
  <si>
    <t>S0573</t>
  </si>
  <si>
    <t>S0511</t>
  </si>
  <si>
    <t>S0557</t>
  </si>
  <si>
    <t>S0552</t>
  </si>
  <si>
    <t>S0534</t>
  </si>
  <si>
    <t>2024-05-04</t>
  </si>
  <si>
    <t>S0544</t>
  </si>
  <si>
    <t>S0453</t>
  </si>
  <si>
    <t>S0558</t>
  </si>
  <si>
    <t>S0570</t>
  </si>
  <si>
    <t>S0550</t>
  </si>
  <si>
    <t>S0474</t>
  </si>
  <si>
    <t>S0555</t>
  </si>
  <si>
    <t>2024-05-05</t>
  </si>
  <si>
    <t>S0539</t>
  </si>
  <si>
    <t>S0495</t>
  </si>
  <si>
    <t>2024-05-06</t>
  </si>
  <si>
    <t>S0576</t>
  </si>
  <si>
    <t>S0548</t>
  </si>
  <si>
    <t>S0528</t>
  </si>
  <si>
    <t>S0496</t>
  </si>
  <si>
    <t>2024-05-07</t>
  </si>
  <si>
    <t>S0529</t>
  </si>
  <si>
    <t>S0458</t>
  </si>
  <si>
    <t>S0574</t>
  </si>
  <si>
    <t>2024-05-08</t>
  </si>
  <si>
    <t>S0490</t>
  </si>
  <si>
    <t>S0461</t>
  </si>
  <si>
    <t>S0512</t>
  </si>
  <si>
    <t>S0562</t>
  </si>
  <si>
    <t>S0523</t>
  </si>
  <si>
    <t>S0489</t>
  </si>
  <si>
    <t>2024-05-09</t>
  </si>
  <si>
    <t>S0572</t>
  </si>
  <si>
    <t>S0549</t>
  </si>
  <si>
    <t>S0481</t>
  </si>
  <si>
    <t>S0514</t>
  </si>
  <si>
    <t>2024-05-10</t>
  </si>
  <si>
    <t>S0535</t>
  </si>
  <si>
    <t>S0537</t>
  </si>
  <si>
    <t>S0565</t>
  </si>
  <si>
    <t>S0522</t>
  </si>
  <si>
    <t>S0581</t>
  </si>
  <si>
    <t>S0582</t>
  </si>
  <si>
    <t>S0471</t>
  </si>
  <si>
    <t>2024-05-11</t>
  </si>
  <si>
    <t>S0498</t>
  </si>
  <si>
    <t>S0493</t>
  </si>
  <si>
    <t>S0487</t>
  </si>
  <si>
    <t>S0525</t>
  </si>
  <si>
    <t>S0467</t>
  </si>
  <si>
    <t>2024-05-12</t>
  </si>
  <si>
    <t>S0469</t>
  </si>
  <si>
    <t>S0520</t>
  </si>
  <si>
    <t>S0536</t>
  </si>
  <si>
    <t>S0457</t>
  </si>
  <si>
    <t>2024-05-13</t>
  </si>
  <si>
    <t>S0563</t>
  </si>
  <si>
    <t>S0551</t>
  </si>
  <si>
    <t>S0468</t>
  </si>
  <si>
    <t>2024-05-14</t>
  </si>
  <si>
    <t>S0566</t>
  </si>
  <si>
    <t>S0577</t>
  </si>
  <si>
    <t>S0518</t>
  </si>
  <si>
    <t>S0478</t>
  </si>
  <si>
    <t>S0521</t>
  </si>
  <si>
    <t>2024-05-15</t>
  </si>
  <si>
    <t>S0547</t>
  </si>
  <si>
    <t>S0484</t>
  </si>
  <si>
    <t>S0530</t>
  </si>
  <si>
    <t>2024-05-16</t>
  </si>
  <si>
    <t>S0509</t>
  </si>
  <si>
    <t>S0516</t>
  </si>
  <si>
    <t>S0505</t>
  </si>
  <si>
    <t>S0579</t>
  </si>
  <si>
    <t>S0546</t>
  </si>
  <si>
    <t>S0494</t>
  </si>
  <si>
    <t>S0517</t>
  </si>
  <si>
    <t>2024-05-17</t>
  </si>
  <si>
    <t>S0502</t>
  </si>
  <si>
    <t>S0470</t>
  </si>
  <si>
    <t>S0541</t>
  </si>
  <si>
    <t>2024-05-18</t>
  </si>
  <si>
    <t>S0519</t>
  </si>
  <si>
    <t>S0575</t>
  </si>
  <si>
    <t>S0501</t>
  </si>
  <si>
    <t>S0545</t>
  </si>
  <si>
    <t>2024-05-19</t>
  </si>
  <si>
    <t>S0491</t>
  </si>
  <si>
    <t>S0455</t>
  </si>
  <si>
    <t>S0459</t>
  </si>
  <si>
    <t>S0567</t>
  </si>
  <si>
    <t>S0515</t>
  </si>
  <si>
    <t>S0486</t>
  </si>
  <si>
    <t>S0560</t>
  </si>
  <si>
    <t>2024-05-20</t>
  </si>
  <si>
    <t>S0464</t>
  </si>
  <si>
    <t>S0533</t>
  </si>
  <si>
    <t>S0508</t>
  </si>
  <si>
    <t>2024-05-21</t>
  </si>
  <si>
    <t>S0571</t>
  </si>
  <si>
    <t>S0553</t>
  </si>
  <si>
    <t>S0476</t>
  </si>
  <si>
    <t>S0543</t>
  </si>
  <si>
    <t>S0492</t>
  </si>
  <si>
    <t>2024-05-22</t>
  </si>
  <si>
    <t>S0578</t>
  </si>
  <si>
    <t>2024-05-23</t>
  </si>
  <si>
    <t>S0477</t>
  </si>
  <si>
    <t>S0462</t>
  </si>
  <si>
    <t>S0500</t>
  </si>
  <si>
    <t>S0542</t>
  </si>
  <si>
    <t>S0513</t>
  </si>
  <si>
    <t>S0538</t>
  </si>
  <si>
    <t>S0507</t>
  </si>
  <si>
    <t>S0524</t>
  </si>
  <si>
    <t>2024-05-24</t>
  </si>
  <si>
    <t>S0504</t>
  </si>
  <si>
    <t>S0526</t>
  </si>
  <si>
    <t>S0479</t>
  </si>
  <si>
    <t>S0531</t>
  </si>
  <si>
    <t>S0506</t>
  </si>
  <si>
    <t>2024-05-25</t>
  </si>
  <si>
    <t>S0483</t>
  </si>
  <si>
    <t>S0559</t>
  </si>
  <si>
    <t>S0532</t>
  </si>
  <si>
    <t>S0510</t>
  </si>
  <si>
    <t>2024-05-26</t>
  </si>
  <si>
    <t>S0497</t>
  </si>
  <si>
    <t>S0466</t>
  </si>
  <si>
    <t>S0465</t>
  </si>
  <si>
    <t>S0561</t>
  </si>
  <si>
    <t>S0482</t>
  </si>
  <si>
    <t>S0460</t>
  </si>
  <si>
    <t>2024-05-27</t>
  </si>
  <si>
    <t>S0488</t>
  </si>
  <si>
    <t>S0485</t>
  </si>
  <si>
    <t>S0473</t>
  </si>
  <si>
    <t>S0463</t>
  </si>
  <si>
    <t>2024-05-28</t>
  </si>
  <si>
    <t>S0583</t>
  </si>
  <si>
    <t>S0472</t>
  </si>
  <si>
    <t>S0499</t>
  </si>
  <si>
    <t>2024-05-29</t>
  </si>
  <si>
    <t>S0456</t>
  </si>
  <si>
    <t>2024-05-30</t>
  </si>
  <si>
    <t>S0564</t>
  </si>
  <si>
    <t>S0569</t>
  </si>
  <si>
    <t>2024-05-31</t>
  </si>
  <si>
    <t>S0452</t>
  </si>
  <si>
    <t>S0480</t>
  </si>
  <si>
    <t>S0527</t>
  </si>
  <si>
    <t>S0556</t>
  </si>
  <si>
    <t>S0475</t>
  </si>
  <si>
    <t>S0650</t>
  </si>
  <si>
    <t>2024-06-01</t>
  </si>
  <si>
    <t>June</t>
  </si>
  <si>
    <t>S0654</t>
  </si>
  <si>
    <t>S0609</t>
  </si>
  <si>
    <t>S0699</t>
  </si>
  <si>
    <t>S0687</t>
  </si>
  <si>
    <t>2024-06-02</t>
  </si>
  <si>
    <t>S0632</t>
  </si>
  <si>
    <t>S0606</t>
  </si>
  <si>
    <t>S0693</t>
  </si>
  <si>
    <t>S0640</t>
  </si>
  <si>
    <t>S0594</t>
  </si>
  <si>
    <t>2024-06-03</t>
  </si>
  <si>
    <t>S0633</t>
  </si>
  <si>
    <t>S0584</t>
  </si>
  <si>
    <t>S0623</t>
  </si>
  <si>
    <t>S0605</t>
  </si>
  <si>
    <t>S0697</t>
  </si>
  <si>
    <t>2024-06-04</t>
  </si>
  <si>
    <t>S0635</t>
  </si>
  <si>
    <t>S0692</t>
  </si>
  <si>
    <t>2024-06-05</t>
  </si>
  <si>
    <t>S0665</t>
  </si>
  <si>
    <t>S0702</t>
  </si>
  <si>
    <t>S0700</t>
  </si>
  <si>
    <t>S0595</t>
  </si>
  <si>
    <t>2024-06-06</t>
  </si>
  <si>
    <t>S0620</t>
  </si>
  <si>
    <t>S0666</t>
  </si>
  <si>
    <t>2024-06-07</t>
  </si>
  <si>
    <t>S0645</t>
  </si>
  <si>
    <t>S0686</t>
  </si>
  <si>
    <t>2024-06-08</t>
  </si>
  <si>
    <t>S0610</t>
  </si>
  <si>
    <t>S0585</t>
  </si>
  <si>
    <t>S0656</t>
  </si>
  <si>
    <t>S0634</t>
  </si>
  <si>
    <t>2024-06-09</t>
  </si>
  <si>
    <t>S0672</t>
  </si>
  <si>
    <t>S0670</t>
  </si>
  <si>
    <t>S0630</t>
  </si>
  <si>
    <t>2024-06-10</t>
  </si>
  <si>
    <t>S0653</t>
  </si>
  <si>
    <t>S0660</t>
  </si>
  <si>
    <t>S0674</t>
  </si>
  <si>
    <t>S0601</t>
  </si>
  <si>
    <t>S0673</t>
  </si>
  <si>
    <t>S0695</t>
  </si>
  <si>
    <t>2024-06-11</t>
  </si>
  <si>
    <t>S0704</t>
  </si>
  <si>
    <t>S0625</t>
  </si>
  <si>
    <t>S0679</t>
  </si>
  <si>
    <t>S0628</t>
  </si>
  <si>
    <t>S0671</t>
  </si>
  <si>
    <t>S0624</t>
  </si>
  <si>
    <t>2024-06-12</t>
  </si>
  <si>
    <t>S0681</t>
  </si>
  <si>
    <t>2024-06-13</t>
  </si>
  <si>
    <t>S0690</t>
  </si>
  <si>
    <t>S0602</t>
  </si>
  <si>
    <t>S0631</t>
  </si>
  <si>
    <t>S0621</t>
  </si>
  <si>
    <t>2024-06-14</t>
  </si>
  <si>
    <t>S0655</t>
  </si>
  <si>
    <t>S0589</t>
  </si>
  <si>
    <t>S0662</t>
  </si>
  <si>
    <t>S0648</t>
  </si>
  <si>
    <t>2024-06-15</t>
  </si>
  <si>
    <t>S0664</t>
  </si>
  <si>
    <t>S0657</t>
  </si>
  <si>
    <t>S0677</t>
  </si>
  <si>
    <t>S0599</t>
  </si>
  <si>
    <t>S0639</t>
  </si>
  <si>
    <t>S0600</t>
  </si>
  <si>
    <t>S0617</t>
  </si>
  <si>
    <t>2024-06-16</t>
  </si>
  <si>
    <t>S0703</t>
  </si>
  <si>
    <t>S0663</t>
  </si>
  <si>
    <t>S0676</t>
  </si>
  <si>
    <t>S0604</t>
  </si>
  <si>
    <t>S0649</t>
  </si>
  <si>
    <t>S0659</t>
  </si>
  <si>
    <t>S0678</t>
  </si>
  <si>
    <t>S0667</t>
  </si>
  <si>
    <t>2024-06-17</t>
  </si>
  <si>
    <t>S0641</t>
  </si>
  <si>
    <t>S0694</t>
  </si>
  <si>
    <t>S0603</t>
  </si>
  <si>
    <t>S0646</t>
  </si>
  <si>
    <t>2024-06-18</t>
  </si>
  <si>
    <t>S0590</t>
  </si>
  <si>
    <t>S0675</t>
  </si>
  <si>
    <t>2024-06-19</t>
  </si>
  <si>
    <t>S0612</t>
  </si>
  <si>
    <t>S0615</t>
  </si>
  <si>
    <t>S0685</t>
  </si>
  <si>
    <t>S0587</t>
  </si>
  <si>
    <t>S0642</t>
  </si>
  <si>
    <t>2024-06-20</t>
  </si>
  <si>
    <t>S0596</t>
  </si>
  <si>
    <t>S0651</t>
  </si>
  <si>
    <t>S0608</t>
  </si>
  <si>
    <t>S0618</t>
  </si>
  <si>
    <t>2024-06-21</t>
  </si>
  <si>
    <t>S0591</t>
  </si>
  <si>
    <t>S0643</t>
  </si>
  <si>
    <t>S0658</t>
  </si>
  <si>
    <t>S0626</t>
  </si>
  <si>
    <t>2024-06-22</t>
  </si>
  <si>
    <t>S0638</t>
  </si>
  <si>
    <t>S0661</t>
  </si>
  <si>
    <t>2024-06-23</t>
  </si>
  <si>
    <t>S0684</t>
  </si>
  <si>
    <t>S0689</t>
  </si>
  <si>
    <t>S0629</t>
  </si>
  <si>
    <t>S0652</t>
  </si>
  <si>
    <t>S0607</t>
  </si>
  <si>
    <t>2024-06-24</t>
  </si>
  <si>
    <t>S0688</t>
  </si>
  <si>
    <t>S0644</t>
  </si>
  <si>
    <t>2024-06-25</t>
  </si>
  <si>
    <t>S0616</t>
  </si>
  <si>
    <t>S0680</t>
  </si>
  <si>
    <t>S0613</t>
  </si>
  <si>
    <t>S0586</t>
  </si>
  <si>
    <t>2024-06-26</t>
  </si>
  <si>
    <t>S0691</t>
  </si>
  <si>
    <t>S0588</t>
  </si>
  <si>
    <t>S0593</t>
  </si>
  <si>
    <t>2024-06-27</t>
  </si>
  <si>
    <t>S0597</t>
  </si>
  <si>
    <t>S0611</t>
  </si>
  <si>
    <t>S0622</t>
  </si>
  <si>
    <t>S0614</t>
  </si>
  <si>
    <t>S0637</t>
  </si>
  <si>
    <t>S0696</t>
  </si>
  <si>
    <t>2024-06-28</t>
  </si>
  <si>
    <t>S0701</t>
  </si>
  <si>
    <t>S0627</t>
  </si>
  <si>
    <t>S0669</t>
  </si>
  <si>
    <t>S0683</t>
  </si>
  <si>
    <t>S0636</t>
  </si>
  <si>
    <t>S0668</t>
  </si>
  <si>
    <t>2024-06-29</t>
  </si>
  <si>
    <t>S0592</t>
  </si>
  <si>
    <t>2024-06-30</t>
  </si>
  <si>
    <t>S0698</t>
  </si>
  <si>
    <t>S0682</t>
  </si>
  <si>
    <t>S0619</t>
  </si>
  <si>
    <t>S0647</t>
  </si>
  <si>
    <t>S0598</t>
  </si>
  <si>
    <t>S0743</t>
  </si>
  <si>
    <t>2024-07-01</t>
  </si>
  <si>
    <t>July</t>
  </si>
  <si>
    <t>S0761</t>
  </si>
  <si>
    <t>S0779</t>
  </si>
  <si>
    <t>2024-07-02</t>
  </si>
  <si>
    <t>S0725</t>
  </si>
  <si>
    <t>S0714</t>
  </si>
  <si>
    <t>S0764</t>
  </si>
  <si>
    <t>S0715</t>
  </si>
  <si>
    <t>2024-07-03</t>
  </si>
  <si>
    <t>S0719</t>
  </si>
  <si>
    <t>S0734</t>
  </si>
  <si>
    <t>S0720</t>
  </si>
  <si>
    <t>2024-07-04</t>
  </si>
  <si>
    <t>S0754</t>
  </si>
  <si>
    <t>S0729</t>
  </si>
  <si>
    <t>2024-07-05</t>
  </si>
  <si>
    <t>S0739</t>
  </si>
  <si>
    <t>S0781</t>
  </si>
  <si>
    <t>S0746</t>
  </si>
  <si>
    <t>2024-07-06</t>
  </si>
  <si>
    <t>S0733</t>
  </si>
  <si>
    <t>S0752</t>
  </si>
  <si>
    <t>2024-07-07</t>
  </si>
  <si>
    <t>S0770</t>
  </si>
  <si>
    <t>S0785</t>
  </si>
  <si>
    <t>S0718</t>
  </si>
  <si>
    <t>2024-07-08</t>
  </si>
  <si>
    <t>S0737</t>
  </si>
  <si>
    <t>S0769</t>
  </si>
  <si>
    <t>S0791</t>
  </si>
  <si>
    <t>2024-07-09</t>
  </si>
  <si>
    <t>S0741</t>
  </si>
  <si>
    <t>S0742</t>
  </si>
  <si>
    <t>S0771</t>
  </si>
  <si>
    <t>S0757</t>
  </si>
  <si>
    <t>2024-07-10</t>
  </si>
  <si>
    <t>S0727</t>
  </si>
  <si>
    <t>S0758</t>
  </si>
  <si>
    <t>S0778</t>
  </si>
  <si>
    <t>S0783</t>
  </si>
  <si>
    <t>2024-07-11</t>
  </si>
  <si>
    <t>S0780</t>
  </si>
  <si>
    <t>2024-07-12</t>
  </si>
  <si>
    <t>S0756</t>
  </si>
  <si>
    <t>S0728</t>
  </si>
  <si>
    <t>S0755</t>
  </si>
  <si>
    <t>2024-07-13</t>
  </si>
  <si>
    <t>S0760</t>
  </si>
  <si>
    <t>S0710</t>
  </si>
  <si>
    <t>S0784</t>
  </si>
  <si>
    <t>2024-07-14</t>
  </si>
  <si>
    <t>S0747</t>
  </si>
  <si>
    <t>2024-07-15</t>
  </si>
  <si>
    <t>S0722</t>
  </si>
  <si>
    <t>S0740</t>
  </si>
  <si>
    <t>S0751</t>
  </si>
  <si>
    <t>S0788</t>
  </si>
  <si>
    <t>2024-07-17</t>
  </si>
  <si>
    <t>S0730</t>
  </si>
  <si>
    <t>S0731</t>
  </si>
  <si>
    <t>2024-07-19</t>
  </si>
  <si>
    <t>S0748</t>
  </si>
  <si>
    <t>S0736</t>
  </si>
  <si>
    <t>2024-07-20</t>
  </si>
  <si>
    <t>S0768</t>
  </si>
  <si>
    <t>S0749</t>
  </si>
  <si>
    <t>2024-07-21</t>
  </si>
  <si>
    <t>S0716</t>
  </si>
  <si>
    <t>S0775</t>
  </si>
  <si>
    <t>S0706</t>
  </si>
  <si>
    <t>S0777</t>
  </si>
  <si>
    <t>S0711</t>
  </si>
  <si>
    <t>S0745</t>
  </si>
  <si>
    <t>2024-07-22</t>
  </si>
  <si>
    <t>S0774</t>
  </si>
  <si>
    <t>S0750</t>
  </si>
  <si>
    <t>2024-07-23</t>
  </si>
  <si>
    <t>S0705</t>
  </si>
  <si>
    <t>S0721</t>
  </si>
  <si>
    <t>S0723</t>
  </si>
  <si>
    <t>S0765</t>
  </si>
  <si>
    <t>2024-07-24</t>
  </si>
  <si>
    <t>S0767</t>
  </si>
  <si>
    <t>2024-07-25</t>
  </si>
  <si>
    <t>S0763</t>
  </si>
  <si>
    <t>S0772</t>
  </si>
  <si>
    <t>S0773</t>
  </si>
  <si>
    <t>S0732</t>
  </si>
  <si>
    <t>2024-07-26</t>
  </si>
  <si>
    <t>S0786</t>
  </si>
  <si>
    <t>S0726</t>
  </si>
  <si>
    <t>S0766</t>
  </si>
  <si>
    <t>2024-07-27</t>
  </si>
  <si>
    <t>S0759</t>
  </si>
  <si>
    <t>S0790</t>
  </si>
  <si>
    <t>S0708</t>
  </si>
  <si>
    <t>2024-07-28</t>
  </si>
  <si>
    <t>S0709</t>
  </si>
  <si>
    <t>S0713</t>
  </si>
  <si>
    <t>S0762</t>
  </si>
  <si>
    <t>S0735</t>
  </si>
  <si>
    <t>S0753</t>
  </si>
  <si>
    <t>S0707</t>
  </si>
  <si>
    <t>S0776</t>
  </si>
  <si>
    <t>2024-07-29</t>
  </si>
  <si>
    <t>S0787</t>
  </si>
  <si>
    <t>S0712</t>
  </si>
  <si>
    <t>S0744</t>
  </si>
  <si>
    <t>S0724</t>
  </si>
  <si>
    <t>S0789</t>
  </si>
  <si>
    <t>2024-07-30</t>
  </si>
  <si>
    <t>S0717</t>
  </si>
  <si>
    <t>S0738</t>
  </si>
  <si>
    <t>S0782</t>
  </si>
  <si>
    <t>S0792</t>
  </si>
  <si>
    <t>2024-07-31</t>
  </si>
  <si>
    <t>S0802</t>
  </si>
  <si>
    <t>2024-08-01</t>
  </si>
  <si>
    <t>August</t>
  </si>
  <si>
    <t>S0852</t>
  </si>
  <si>
    <t>S0812</t>
  </si>
  <si>
    <t>S0862</t>
  </si>
  <si>
    <t>S0871</t>
  </si>
  <si>
    <t>S0837</t>
  </si>
  <si>
    <t>2024-08-02</t>
  </si>
  <si>
    <t>S0882</t>
  </si>
  <si>
    <t>S0876</t>
  </si>
  <si>
    <t>2024-08-03</t>
  </si>
  <si>
    <t>S0849</t>
  </si>
  <si>
    <t>S0816</t>
  </si>
  <si>
    <t>S0875</t>
  </si>
  <si>
    <t>2024-08-04</t>
  </si>
  <si>
    <t>S0866</t>
  </si>
  <si>
    <t>S0824</t>
  </si>
  <si>
    <t>S0842</t>
  </si>
  <si>
    <t>S0810</t>
  </si>
  <si>
    <t>S0879</t>
  </si>
  <si>
    <t>S0826</t>
  </si>
  <si>
    <t>2024-08-05</t>
  </si>
  <si>
    <t>S0832</t>
  </si>
  <si>
    <t>S0821</t>
  </si>
  <si>
    <t>S0873</t>
  </si>
  <si>
    <t>S0796</t>
  </si>
  <si>
    <t>S0864</t>
  </si>
  <si>
    <t>S0868</t>
  </si>
  <si>
    <t>S0850</t>
  </si>
  <si>
    <t>2024-08-07</t>
  </si>
  <si>
    <t>S0856</t>
  </si>
  <si>
    <t>S0847</t>
  </si>
  <si>
    <t>S0858</t>
  </si>
  <si>
    <t>S0859</t>
  </si>
  <si>
    <t>S0811</t>
  </si>
  <si>
    <t>2024-08-08</t>
  </si>
  <si>
    <t>S0815</t>
  </si>
  <si>
    <t>S0854</t>
  </si>
  <si>
    <t>S0825</t>
  </si>
  <si>
    <t>S0872</t>
  </si>
  <si>
    <t>2024-08-09</t>
  </si>
  <si>
    <t>S0865</t>
  </si>
  <si>
    <t>S0823</t>
  </si>
  <si>
    <t>2024-08-10</t>
  </si>
  <si>
    <t>S0819</t>
  </si>
  <si>
    <t>S0860</t>
  </si>
  <si>
    <t>2024-08-11</t>
  </si>
  <si>
    <t>S0814</t>
  </si>
  <si>
    <t>S0845</t>
  </si>
  <si>
    <t>2024-08-12</t>
  </si>
  <si>
    <t>S0869</t>
  </si>
  <si>
    <t>S0843</t>
  </si>
  <si>
    <t>S0838</t>
  </si>
  <si>
    <t>S0800</t>
  </si>
  <si>
    <t>S0846</t>
  </si>
  <si>
    <t>2024-08-13</t>
  </si>
  <si>
    <t>S0799</t>
  </si>
  <si>
    <t>S0830</t>
  </si>
  <si>
    <t>2024-08-14</t>
  </si>
  <si>
    <t>S0874</t>
  </si>
  <si>
    <t>S0820</t>
  </si>
  <si>
    <t>S0804</t>
  </si>
  <si>
    <t>2024-08-15</t>
  </si>
  <si>
    <t>S0827</t>
  </si>
  <si>
    <t>S0795</t>
  </si>
  <si>
    <t>S0877</t>
  </si>
  <si>
    <t>S0885</t>
  </si>
  <si>
    <t>S0839</t>
  </si>
  <si>
    <t>S0878</t>
  </si>
  <si>
    <t>2024-08-17</t>
  </si>
  <si>
    <t>S0880</t>
  </si>
  <si>
    <t>S0884</t>
  </si>
  <si>
    <t>S0803</t>
  </si>
  <si>
    <t>2024-08-18</t>
  </si>
  <si>
    <t>S0870</t>
  </si>
  <si>
    <t>2024-08-19</t>
  </si>
  <si>
    <t>S0807</t>
  </si>
  <si>
    <t>S0835</t>
  </si>
  <si>
    <t>2024-08-20</t>
  </si>
  <si>
    <t>S0833</t>
  </si>
  <si>
    <t>2024-08-21</t>
  </si>
  <si>
    <t>S0851</t>
  </si>
  <si>
    <t>S0828</t>
  </si>
  <si>
    <t>2024-08-22</t>
  </si>
  <si>
    <t>S0806</t>
  </si>
  <si>
    <t>S0805</t>
  </si>
  <si>
    <t>S0829</t>
  </si>
  <si>
    <t>2024-08-23</t>
  </si>
  <si>
    <t>S0831</t>
  </si>
  <si>
    <t>2024-08-24</t>
  </si>
  <si>
    <t>S0798</t>
  </si>
  <si>
    <t>S0793</t>
  </si>
  <si>
    <t>S0801</t>
  </si>
  <si>
    <t>2024-08-26</t>
  </si>
  <si>
    <t>S0794</t>
  </si>
  <si>
    <t>S0853</t>
  </si>
  <si>
    <t>S0861</t>
  </si>
  <si>
    <t>S0855</t>
  </si>
  <si>
    <t>S0883</t>
  </si>
  <si>
    <t>S0817</t>
  </si>
  <si>
    <t>2024-08-27</t>
  </si>
  <si>
    <t>S0857</t>
  </si>
  <si>
    <t>S0808</t>
  </si>
  <si>
    <t>S0834</t>
  </si>
  <si>
    <t>S0867</t>
  </si>
  <si>
    <t>2024-08-28</t>
  </si>
  <si>
    <t>S0863</t>
  </si>
  <si>
    <t>S0841</t>
  </si>
  <si>
    <t>S0797</t>
  </si>
  <si>
    <t>S0844</t>
  </si>
  <si>
    <t>2024-08-29</t>
  </si>
  <si>
    <t>S0813</t>
  </si>
  <si>
    <t>S0818</t>
  </si>
  <si>
    <t>2024-08-30</t>
  </si>
  <si>
    <t>S0881</t>
  </si>
  <si>
    <t>2024-08-31</t>
  </si>
  <si>
    <t>S0840</t>
  </si>
  <si>
    <t>S0836</t>
  </si>
  <si>
    <t>S0848</t>
  </si>
  <si>
    <t>S0809</t>
  </si>
  <si>
    <t>S0822</t>
  </si>
  <si>
    <t>S0886</t>
  </si>
  <si>
    <t>2024-09-01</t>
  </si>
  <si>
    <t>September</t>
  </si>
  <si>
    <t>S0947</t>
  </si>
  <si>
    <t>S0931</t>
  </si>
  <si>
    <t>2024-09-02</t>
  </si>
  <si>
    <t>S0986</t>
  </si>
  <si>
    <t>S0984</t>
  </si>
  <si>
    <t>S0971</t>
  </si>
  <si>
    <t>S0972</t>
  </si>
  <si>
    <t>2024-09-03</t>
  </si>
  <si>
    <t>S0960</t>
  </si>
  <si>
    <t>S0919</t>
  </si>
  <si>
    <t>S0917</t>
  </si>
  <si>
    <t>S0891</t>
  </si>
  <si>
    <t>S0978</t>
  </si>
  <si>
    <t>2024-09-04</t>
  </si>
  <si>
    <t>S0889</t>
  </si>
  <si>
    <t>S0920</t>
  </si>
  <si>
    <t>S0903</t>
  </si>
  <si>
    <t>S0902</t>
  </si>
  <si>
    <t>S0991</t>
  </si>
  <si>
    <t>S0958</t>
  </si>
  <si>
    <t>2024-09-05</t>
  </si>
  <si>
    <t>S0915</t>
  </si>
  <si>
    <t>S0969</t>
  </si>
  <si>
    <t>S0894</t>
  </si>
  <si>
    <t>S0893</t>
  </si>
  <si>
    <t>S0994</t>
  </si>
  <si>
    <t>S0964</t>
  </si>
  <si>
    <t>2024-09-06</t>
  </si>
  <si>
    <t>S0951</t>
  </si>
  <si>
    <t>S0955</t>
  </si>
  <si>
    <t>S0935</t>
  </si>
  <si>
    <t>2024-09-07</t>
  </si>
  <si>
    <t>S0977</t>
  </si>
  <si>
    <t>S0988</t>
  </si>
  <si>
    <t>S0987</t>
  </si>
  <si>
    <t>S0937</t>
  </si>
  <si>
    <t>2024-09-08</t>
  </si>
  <si>
    <t>S0914</t>
  </si>
  <si>
    <t>2024-09-09</t>
  </si>
  <si>
    <t>S0950</t>
  </si>
  <si>
    <t>S0990</t>
  </si>
  <si>
    <t>2024-09-10</t>
  </si>
  <si>
    <t>S0965</t>
  </si>
  <si>
    <t>S0980</t>
  </si>
  <si>
    <t>S0913</t>
  </si>
  <si>
    <t>2024-09-11</t>
  </si>
  <si>
    <t>S0912</t>
  </si>
  <si>
    <t>S0892</t>
  </si>
  <si>
    <t>S0966</t>
  </si>
  <si>
    <t>S0933</t>
  </si>
  <si>
    <t>2024-09-12</t>
  </si>
  <si>
    <t>S0954</t>
  </si>
  <si>
    <t>S0939</t>
  </si>
  <si>
    <t>S0938</t>
  </si>
  <si>
    <t>S0962</t>
  </si>
  <si>
    <t>2024-09-13</t>
  </si>
  <si>
    <t>S0957</t>
  </si>
  <si>
    <t>S0898</t>
  </si>
  <si>
    <t>S0910</t>
  </si>
  <si>
    <t>S0985</t>
  </si>
  <si>
    <t>S0906</t>
  </si>
  <si>
    <t>2024-09-14</t>
  </si>
  <si>
    <t>S0908</t>
  </si>
  <si>
    <t>S0993</t>
  </si>
  <si>
    <t>S0927</t>
  </si>
  <si>
    <t>S0979</t>
  </si>
  <si>
    <t>S0976</t>
  </si>
  <si>
    <t>S0888</t>
  </si>
  <si>
    <t>S0974</t>
  </si>
  <si>
    <t>S0963</t>
  </si>
  <si>
    <t>2024-09-15</t>
  </si>
  <si>
    <t>S0973</t>
  </si>
  <si>
    <t>S0900</t>
  </si>
  <si>
    <t>S0992</t>
  </si>
  <si>
    <t>2024-09-16</t>
  </si>
  <si>
    <t>S0982</t>
  </si>
  <si>
    <t>S0887</t>
  </si>
  <si>
    <t>S0961</t>
  </si>
  <si>
    <t>2024-09-17</t>
  </si>
  <si>
    <t>S0899</t>
  </si>
  <si>
    <t>S0923</t>
  </si>
  <si>
    <t>2024-09-18</t>
  </si>
  <si>
    <t>S0995</t>
  </si>
  <si>
    <t>S0925</t>
  </si>
  <si>
    <t>S0956</t>
  </si>
  <si>
    <t>2024-09-19</t>
  </si>
  <si>
    <t>S0896</t>
  </si>
  <si>
    <t>S0924</t>
  </si>
  <si>
    <t>S0941</t>
  </si>
  <si>
    <t>S0934</t>
  </si>
  <si>
    <t>S0975</t>
  </si>
  <si>
    <t>2024-09-20</t>
  </si>
  <si>
    <t>S0901</t>
  </si>
  <si>
    <t>S0945</t>
  </si>
  <si>
    <t>S0895</t>
  </si>
  <si>
    <t>S0967</t>
  </si>
  <si>
    <t>S0932</t>
  </si>
  <si>
    <t>S0946</t>
  </si>
  <si>
    <t>2024-09-21</t>
  </si>
  <si>
    <t>S0959</t>
  </si>
  <si>
    <t>S0904</t>
  </si>
  <si>
    <t>S0983</t>
  </si>
  <si>
    <t>2024-09-22</t>
  </si>
  <si>
    <t>S0981</t>
  </si>
  <si>
    <t>S0936</t>
  </si>
  <si>
    <t>S0926</t>
  </si>
  <si>
    <t>S0890</t>
  </si>
  <si>
    <t>2024-09-23</t>
  </si>
  <si>
    <t>S0952</t>
  </si>
  <si>
    <t>S0897</t>
  </si>
  <si>
    <t>S0905</t>
  </si>
  <si>
    <t>2024-09-24</t>
  </si>
  <si>
    <t>S0911</t>
  </si>
  <si>
    <t>S0921</t>
  </si>
  <si>
    <t>S0970</t>
  </si>
  <si>
    <t>2024-09-25</t>
  </si>
  <si>
    <t>S0989</t>
  </si>
  <si>
    <t>S0944</t>
  </si>
  <si>
    <t>S0940</t>
  </si>
  <si>
    <t>S0929</t>
  </si>
  <si>
    <t>S0942</t>
  </si>
  <si>
    <t>2024-09-26</t>
  </si>
  <si>
    <t>S0922</t>
  </si>
  <si>
    <t>S0918</t>
  </si>
  <si>
    <t>2024-09-27</t>
  </si>
  <si>
    <t>S0909</t>
  </si>
  <si>
    <t>S0949</t>
  </si>
  <si>
    <t>S0943</t>
  </si>
  <si>
    <t>2024-09-28</t>
  </si>
  <si>
    <t>S0928</t>
  </si>
  <si>
    <t>S0930</t>
  </si>
  <si>
    <t>S0907</t>
  </si>
  <si>
    <t>2024-09-29</t>
  </si>
  <si>
    <t>S0968</t>
  </si>
  <si>
    <t>S0948</t>
  </si>
  <si>
    <t>2024-09-30</t>
  </si>
  <si>
    <t>S0953</t>
  </si>
  <si>
    <t>S0916</t>
  </si>
  <si>
    <t>S1109</t>
  </si>
  <si>
    <t>2024-10-01</t>
  </si>
  <si>
    <t>October</t>
  </si>
  <si>
    <t>S1010</t>
  </si>
  <si>
    <t>S1002</t>
  </si>
  <si>
    <t>S1054</t>
  </si>
  <si>
    <t>2024-10-02</t>
  </si>
  <si>
    <t>S1001</t>
  </si>
  <si>
    <t>S1129</t>
  </si>
  <si>
    <t>S1149</t>
  </si>
  <si>
    <t>S1082</t>
  </si>
  <si>
    <t>S1120</t>
  </si>
  <si>
    <t>S1056</t>
  </si>
  <si>
    <t>2024-10-03</t>
  </si>
  <si>
    <t>S1052</t>
  </si>
  <si>
    <t>S1023</t>
  </si>
  <si>
    <t>S1084</t>
  </si>
  <si>
    <t>S1159</t>
  </si>
  <si>
    <t>S1014</t>
  </si>
  <si>
    <t>S1035</t>
  </si>
  <si>
    <t>S1115</t>
  </si>
  <si>
    <t>S1106</t>
  </si>
  <si>
    <t>S0999</t>
  </si>
  <si>
    <t>S1009</t>
  </si>
  <si>
    <t>2024-10-04</t>
  </si>
  <si>
    <t>S1085</t>
  </si>
  <si>
    <t>S1122</t>
  </si>
  <si>
    <t>2024-10-05</t>
  </si>
  <si>
    <t>S1093</t>
  </si>
  <si>
    <t>S1158</t>
  </si>
  <si>
    <t>S1031</t>
  </si>
  <si>
    <t>S1148</t>
  </si>
  <si>
    <t>S1114</t>
  </si>
  <si>
    <t>S1067</t>
  </si>
  <si>
    <t>S1124</t>
  </si>
  <si>
    <t>2024-10-06</t>
  </si>
  <si>
    <t>S1011</t>
  </si>
  <si>
    <t>S1072</t>
  </si>
  <si>
    <t>S1032</t>
  </si>
  <si>
    <t>2024-10-07</t>
  </si>
  <si>
    <t>S1113</t>
  </si>
  <si>
    <t>S1026</t>
  </si>
  <si>
    <t>S1030</t>
  </si>
  <si>
    <t>2024-10-08</t>
  </si>
  <si>
    <t>S1021</t>
  </si>
  <si>
    <t>S1135</t>
  </si>
  <si>
    <t>S0996</t>
  </si>
  <si>
    <t>S1136</t>
  </si>
  <si>
    <t>S1073</t>
  </si>
  <si>
    <t>S1016</t>
  </si>
  <si>
    <t>S1156</t>
  </si>
  <si>
    <t>2024-10-09</t>
  </si>
  <si>
    <t>S1099</t>
  </si>
  <si>
    <t>2024-10-10</t>
  </si>
  <si>
    <t>S1094</t>
  </si>
  <si>
    <t>S1087</t>
  </si>
  <si>
    <t>S1133</t>
  </si>
  <si>
    <t>S1110</t>
  </si>
  <si>
    <t>S1154</t>
  </si>
  <si>
    <t>S1112</t>
  </si>
  <si>
    <t>2024-10-11</t>
  </si>
  <si>
    <t>S1091</t>
  </si>
  <si>
    <t>S1065</t>
  </si>
  <si>
    <t>S1045</t>
  </si>
  <si>
    <t>S1121</t>
  </si>
  <si>
    <t>S1139</t>
  </si>
  <si>
    <t>2024-10-12</t>
  </si>
  <si>
    <t>S1077</t>
  </si>
  <si>
    <t>S1027</t>
  </si>
  <si>
    <t>S1055</t>
  </si>
  <si>
    <t>S1130</t>
  </si>
  <si>
    <t>S1051</t>
  </si>
  <si>
    <t>S1096</t>
  </si>
  <si>
    <t>2024-10-13</t>
  </si>
  <si>
    <t>S1019</t>
  </si>
  <si>
    <t>S1123</t>
  </si>
  <si>
    <t>S1079</t>
  </si>
  <si>
    <t>S1100</t>
  </si>
  <si>
    <t>S1008</t>
  </si>
  <si>
    <t>2024-10-14</t>
  </si>
  <si>
    <t>S1145</t>
  </si>
  <si>
    <t>S1053</t>
  </si>
  <si>
    <t>2024-10-15</t>
  </si>
  <si>
    <t>S1063</t>
  </si>
  <si>
    <t>S1012</t>
  </si>
  <si>
    <t>S1060</t>
  </si>
  <si>
    <t>S1132</t>
  </si>
  <si>
    <t>S1068</t>
  </si>
  <si>
    <t>S1046</t>
  </si>
  <si>
    <t>S1141</t>
  </si>
  <si>
    <t>S1074</t>
  </si>
  <si>
    <t>S1040</t>
  </si>
  <si>
    <t>S1066</t>
  </si>
  <si>
    <t>2024-10-16</t>
  </si>
  <si>
    <t>S1150</t>
  </si>
  <si>
    <t>S1047</t>
  </si>
  <si>
    <t>S1037</t>
  </si>
  <si>
    <t>S1018</t>
  </si>
  <si>
    <t>2024-10-17</t>
  </si>
  <si>
    <t>S1108</t>
  </si>
  <si>
    <t>S1144</t>
  </si>
  <si>
    <t>S1075</t>
  </si>
  <si>
    <t>S1025</t>
  </si>
  <si>
    <t>S1071</t>
  </si>
  <si>
    <t>S1059</t>
  </si>
  <si>
    <t>S1117</t>
  </si>
  <si>
    <t>S1061</t>
  </si>
  <si>
    <t>2024-10-18</t>
  </si>
  <si>
    <t>S0997</t>
  </si>
  <si>
    <t>S1151</t>
  </si>
  <si>
    <t>S1050</t>
  </si>
  <si>
    <t>2024-10-19</t>
  </si>
  <si>
    <t>S1017</t>
  </si>
  <si>
    <t>S1006</t>
  </si>
  <si>
    <t>S1005</t>
  </si>
  <si>
    <t>S1092</t>
  </si>
  <si>
    <t>S1097</t>
  </si>
  <si>
    <t>2024-10-20</t>
  </si>
  <si>
    <t>S1076</t>
  </si>
  <si>
    <t>S1043</t>
  </si>
  <si>
    <t>S1058</t>
  </si>
  <si>
    <t>S1033</t>
  </si>
  <si>
    <t>S1042</t>
  </si>
  <si>
    <t>2024-10-21</t>
  </si>
  <si>
    <t>S1083</t>
  </si>
  <si>
    <t>S1024</t>
  </si>
  <si>
    <t>S1048</t>
  </si>
  <si>
    <t>S1064</t>
  </si>
  <si>
    <t>S1081</t>
  </si>
  <si>
    <t>2024-10-22</t>
  </si>
  <si>
    <t>S1107</t>
  </si>
  <si>
    <t>S1086</t>
  </si>
  <si>
    <t>S1103</t>
  </si>
  <si>
    <t>S1105</t>
  </si>
  <si>
    <t>S1007</t>
  </si>
  <si>
    <t>2024-10-23</t>
  </si>
  <si>
    <t>S1070</t>
  </si>
  <si>
    <t>S1095</t>
  </si>
  <si>
    <t>S1152</t>
  </si>
  <si>
    <t>S1128</t>
  </si>
  <si>
    <t>2024-10-24</t>
  </si>
  <si>
    <t>S1131</t>
  </si>
  <si>
    <t>S1020</t>
  </si>
  <si>
    <t>S1088</t>
  </si>
  <si>
    <t>S1080</t>
  </si>
  <si>
    <t>2024-10-25</t>
  </si>
  <si>
    <t>S1038</t>
  </si>
  <si>
    <t>S1034</t>
  </si>
  <si>
    <t>S1155</t>
  </si>
  <si>
    <t>S1022</t>
  </si>
  <si>
    <t>S1039</t>
  </si>
  <si>
    <t>S1143</t>
  </si>
  <si>
    <t>S1142</t>
  </si>
  <si>
    <t>S1126</t>
  </si>
  <si>
    <t>S1049</t>
  </si>
  <si>
    <t>2024-10-26</t>
  </si>
  <si>
    <t>S1069</t>
  </si>
  <si>
    <t>S1127</t>
  </si>
  <si>
    <t>S1147</t>
  </si>
  <si>
    <t>S0998</t>
  </si>
  <si>
    <t>S1101</t>
  </si>
  <si>
    <t>S1134</t>
  </si>
  <si>
    <t>S1146</t>
  </si>
  <si>
    <t>2024-10-27</t>
  </si>
  <si>
    <t>S1160</t>
  </si>
  <si>
    <t>S1029</t>
  </si>
  <si>
    <t>S1104</t>
  </si>
  <si>
    <t>S1102</t>
  </si>
  <si>
    <t>S1118</t>
  </si>
  <si>
    <t>S1125</t>
  </si>
  <si>
    <t>S1044</t>
  </si>
  <si>
    <t>2024-10-28</t>
  </si>
  <si>
    <t>S1000</t>
  </si>
  <si>
    <t>S1153</t>
  </si>
  <si>
    <t>S1004</t>
  </si>
  <si>
    <t>S1015</t>
  </si>
  <si>
    <t>S1090</t>
  </si>
  <si>
    <t>S1116</t>
  </si>
  <si>
    <t>S1057</t>
  </si>
  <si>
    <t>S1119</t>
  </si>
  <si>
    <t>2024-10-29</t>
  </si>
  <si>
    <t>S1062</t>
  </si>
  <si>
    <t>S1157</t>
  </si>
  <si>
    <t>S1138</t>
  </si>
  <si>
    <t>S1003</t>
  </si>
  <si>
    <t>2024-10-30</t>
  </si>
  <si>
    <t>S1078</t>
  </si>
  <si>
    <t>S1041</t>
  </si>
  <si>
    <t>S1013</t>
  </si>
  <si>
    <t>S1137</t>
  </si>
  <si>
    <t>2024-10-31</t>
  </si>
  <si>
    <t>S1028</t>
  </si>
  <si>
    <t>S1111</t>
  </si>
  <si>
    <t>S1036</t>
  </si>
  <si>
    <t>S1140</t>
  </si>
  <si>
    <t>S1098</t>
  </si>
  <si>
    <t>S1089</t>
  </si>
  <si>
    <t>S1319</t>
  </si>
  <si>
    <t>2024-11-01</t>
  </si>
  <si>
    <t>November</t>
  </si>
  <si>
    <t>S1211</t>
  </si>
  <si>
    <t>S1168</t>
  </si>
  <si>
    <t>S1193</t>
  </si>
  <si>
    <t>S1180</t>
  </si>
  <si>
    <t>S1289</t>
  </si>
  <si>
    <t>S1271</t>
  </si>
  <si>
    <t>S1274</t>
  </si>
  <si>
    <t>2024-11-02</t>
  </si>
  <si>
    <t>S1208</t>
  </si>
  <si>
    <t>S1261</t>
  </si>
  <si>
    <t>S1279</t>
  </si>
  <si>
    <t>S1235</t>
  </si>
  <si>
    <t>S1227</t>
  </si>
  <si>
    <t>S1333</t>
  </si>
  <si>
    <t>2024-11-03</t>
  </si>
  <si>
    <t>S1331</t>
  </si>
  <si>
    <t>S1266</t>
  </si>
  <si>
    <t>S1250</t>
  </si>
  <si>
    <t>S1254</t>
  </si>
  <si>
    <t>S1275</t>
  </si>
  <si>
    <t>S1225</t>
  </si>
  <si>
    <t>S1325</t>
  </si>
  <si>
    <t>S1202</t>
  </si>
  <si>
    <t>S1293</t>
  </si>
  <si>
    <t>2024-11-04</t>
  </si>
  <si>
    <t>S1240</t>
  </si>
  <si>
    <t>S1187</t>
  </si>
  <si>
    <t>S1316</t>
  </si>
  <si>
    <t>S1191</t>
  </si>
  <si>
    <t>S1218</t>
  </si>
  <si>
    <t>2024-11-05</t>
  </si>
  <si>
    <t>S1336</t>
  </si>
  <si>
    <t>S1323</t>
  </si>
  <si>
    <t>S1280</t>
  </si>
  <si>
    <t>S1300</t>
  </si>
  <si>
    <t>S1196</t>
  </si>
  <si>
    <t>S1173</t>
  </si>
  <si>
    <t>S1221</t>
  </si>
  <si>
    <t>2024-11-06</t>
  </si>
  <si>
    <t>S1224</t>
  </si>
  <si>
    <t>S1344</t>
  </si>
  <si>
    <t>S1338</t>
  </si>
  <si>
    <t>S1290</t>
  </si>
  <si>
    <t>S1299</t>
  </si>
  <si>
    <t>2024-11-07</t>
  </si>
  <si>
    <t>S1228</t>
  </si>
  <si>
    <t>S1181</t>
  </si>
  <si>
    <t>S1236</t>
  </si>
  <si>
    <t>S1296</t>
  </si>
  <si>
    <t>S1199</t>
  </si>
  <si>
    <t>2024-11-08</t>
  </si>
  <si>
    <t>S1195</t>
  </si>
  <si>
    <t>S1346</t>
  </si>
  <si>
    <t>S1288</t>
  </si>
  <si>
    <t>S1318</t>
  </si>
  <si>
    <t>S1186</t>
  </si>
  <si>
    <t>S1188</t>
  </si>
  <si>
    <t>S1264</t>
  </si>
  <si>
    <t>2024-11-09</t>
  </si>
  <si>
    <t>S1210</t>
  </si>
  <si>
    <t>S1248</t>
  </si>
  <si>
    <t>S1343</t>
  </si>
  <si>
    <t>2024-11-10</t>
  </si>
  <si>
    <t>S1297</t>
  </si>
  <si>
    <t>S1256</t>
  </si>
  <si>
    <t>S1309</t>
  </si>
  <si>
    <t>S1174</t>
  </si>
  <si>
    <t>S1253</t>
  </si>
  <si>
    <t>2024-11-11</t>
  </si>
  <si>
    <t>S1244</t>
  </si>
  <si>
    <t>S1220</t>
  </si>
  <si>
    <t>S1231</t>
  </si>
  <si>
    <t>S1239</t>
  </si>
  <si>
    <t>S1332</t>
  </si>
  <si>
    <t>S1260</t>
  </si>
  <si>
    <t>2024-11-12</t>
  </si>
  <si>
    <t>S1165</t>
  </si>
  <si>
    <t>S1268</t>
  </si>
  <si>
    <t>S1277</t>
  </si>
  <si>
    <t>S1282</t>
  </si>
  <si>
    <t>S1167</t>
  </si>
  <si>
    <t>S1321</t>
  </si>
  <si>
    <t>S1237</t>
  </si>
  <si>
    <t>S1213</t>
  </si>
  <si>
    <t>S1203</t>
  </si>
  <si>
    <t>S1219</t>
  </si>
  <si>
    <t>S1166</t>
  </si>
  <si>
    <t>2024-11-13</t>
  </si>
  <si>
    <t>S1286</t>
  </si>
  <si>
    <t>S1164</t>
  </si>
  <si>
    <t>S1209</t>
  </si>
  <si>
    <t>S1207</t>
  </si>
  <si>
    <t>S1326</t>
  </si>
  <si>
    <t>S1278</t>
  </si>
  <si>
    <t>S1184</t>
  </si>
  <si>
    <t>2024-11-14</t>
  </si>
  <si>
    <t>S1163</t>
  </si>
  <si>
    <t>S1200</t>
  </si>
  <si>
    <t>S1258</t>
  </si>
  <si>
    <t>S1197</t>
  </si>
  <si>
    <t>S1339</t>
  </si>
  <si>
    <t>S1241</t>
  </si>
  <si>
    <t>S1222</t>
  </si>
  <si>
    <t>2024-11-15</t>
  </si>
  <si>
    <t>S1281</t>
  </si>
  <si>
    <t>S1334</t>
  </si>
  <si>
    <t>S1301</t>
  </si>
  <si>
    <t>S1303</t>
  </si>
  <si>
    <t>S1190</t>
  </si>
  <si>
    <t>S1234</t>
  </si>
  <si>
    <t>2024-11-16</t>
  </si>
  <si>
    <t>S1246</t>
  </si>
  <si>
    <t>S1245</t>
  </si>
  <si>
    <t>S1223</t>
  </si>
  <si>
    <t>S1177</t>
  </si>
  <si>
    <t>S1204</t>
  </si>
  <si>
    <t>2024-11-17</t>
  </si>
  <si>
    <t>S1291</t>
  </si>
  <si>
    <t>S1194</t>
  </si>
  <si>
    <t>S1232</t>
  </si>
  <si>
    <t>S1285</t>
  </si>
  <si>
    <t>S1342</t>
  </si>
  <si>
    <t>S1315</t>
  </si>
  <si>
    <t>S1335</t>
  </si>
  <si>
    <t>S1347</t>
  </si>
  <si>
    <t>S1328</t>
  </si>
  <si>
    <t>S1205</t>
  </si>
  <si>
    <t>S1308</t>
  </si>
  <si>
    <t>2024-11-18</t>
  </si>
  <si>
    <t>S1206</t>
  </si>
  <si>
    <t>S1252</t>
  </si>
  <si>
    <t>S1320</t>
  </si>
  <si>
    <t>S1182</t>
  </si>
  <si>
    <t>S1284</t>
  </si>
  <si>
    <t>2024-11-19</t>
  </si>
  <si>
    <t>S1192</t>
  </si>
  <si>
    <t>2024-11-20</t>
  </si>
  <si>
    <t>S1263</t>
  </si>
  <si>
    <t>S1257</t>
  </si>
  <si>
    <t>S1178</t>
  </si>
  <si>
    <t>S1251</t>
  </si>
  <si>
    <t>S1198</t>
  </si>
  <si>
    <t>S1183</t>
  </si>
  <si>
    <t>S1267</t>
  </si>
  <si>
    <t>2024-11-21</t>
  </si>
  <si>
    <t>S1189</t>
  </si>
  <si>
    <t>S1313</t>
  </si>
  <si>
    <t>S1287</t>
  </si>
  <si>
    <t>S1215</t>
  </si>
  <si>
    <t>S1337</t>
  </si>
  <si>
    <t>S1171</t>
  </si>
  <si>
    <t>S1306</t>
  </si>
  <si>
    <t>2024-11-22</t>
  </si>
  <si>
    <t>S1201</t>
  </si>
  <si>
    <t>S1273</t>
  </si>
  <si>
    <t>S1270</t>
  </si>
  <si>
    <t>S1255</t>
  </si>
  <si>
    <t>S1295</t>
  </si>
  <si>
    <t>2024-11-23</t>
  </si>
  <si>
    <t>S1175</t>
  </si>
  <si>
    <t>S1307</t>
  </si>
  <si>
    <t>S1311</t>
  </si>
  <si>
    <t>S1259</t>
  </si>
  <si>
    <t>S1327</t>
  </si>
  <si>
    <t>2024-11-24</t>
  </si>
  <si>
    <t>S1217</t>
  </si>
  <si>
    <t>S1242</t>
  </si>
  <si>
    <t>S1214</t>
  </si>
  <si>
    <t>S1249</t>
  </si>
  <si>
    <t>S1329</t>
  </si>
  <si>
    <t>2024-11-25</t>
  </si>
  <si>
    <t>S1216</t>
  </si>
  <si>
    <t>S1294</t>
  </si>
  <si>
    <t>S1185</t>
  </si>
  <si>
    <t>S1176</t>
  </si>
  <si>
    <t>S1276</t>
  </si>
  <si>
    <t>S1283</t>
  </si>
  <si>
    <t>S1226</t>
  </si>
  <si>
    <t>S1212</t>
  </si>
  <si>
    <t>2024-11-26</t>
  </si>
  <si>
    <t>S1265</t>
  </si>
  <si>
    <t>S1314</t>
  </si>
  <si>
    <t>S1304</t>
  </si>
  <si>
    <t>S1317</t>
  </si>
  <si>
    <t>S1269</t>
  </si>
  <si>
    <t>S1172</t>
  </si>
  <si>
    <t>S1322</t>
  </si>
  <si>
    <t>S1229</t>
  </si>
  <si>
    <t>S1330</t>
  </si>
  <si>
    <t>2024-11-27</t>
  </si>
  <si>
    <t>S1170</t>
  </si>
  <si>
    <t>S1341</t>
  </si>
  <si>
    <t>S1233</t>
  </si>
  <si>
    <t>S1238</t>
  </si>
  <si>
    <t>2024-11-28</t>
  </si>
  <si>
    <t>S1310</t>
  </si>
  <si>
    <t>S1262</t>
  </si>
  <si>
    <t>S1305</t>
  </si>
  <si>
    <t>S1272</t>
  </si>
  <si>
    <t>S1230</t>
  </si>
  <si>
    <t>2024-11-29</t>
  </si>
  <si>
    <t>S1243</t>
  </si>
  <si>
    <t>S1324</t>
  </si>
  <si>
    <t>S1161</t>
  </si>
  <si>
    <t>S1179</t>
  </si>
  <si>
    <t>S1302</t>
  </si>
  <si>
    <t>S1345</t>
  </si>
  <si>
    <t>2024-11-30</t>
  </si>
  <si>
    <t>S1162</t>
  </si>
  <si>
    <t>S1169</t>
  </si>
  <si>
    <t>S1340</t>
  </si>
  <si>
    <t>S1292</t>
  </si>
  <si>
    <t>S1312</t>
  </si>
  <si>
    <t>S1247</t>
  </si>
  <si>
    <t>S1298</t>
  </si>
  <si>
    <t>S1416</t>
  </si>
  <si>
    <t>2024-12-01</t>
  </si>
  <si>
    <t>December</t>
  </si>
  <si>
    <t>S1475</t>
  </si>
  <si>
    <t>S1439</t>
  </si>
  <si>
    <t>2024-12-02</t>
  </si>
  <si>
    <t>S1361</t>
  </si>
  <si>
    <t>S1411</t>
  </si>
  <si>
    <t>S1393</t>
  </si>
  <si>
    <t>S1354</t>
  </si>
  <si>
    <t>2024-12-03</t>
  </si>
  <si>
    <t>S1426</t>
  </si>
  <si>
    <t>S1362</t>
  </si>
  <si>
    <t>S1406</t>
  </si>
  <si>
    <t>S1431</t>
  </si>
  <si>
    <t>2024-12-04</t>
  </si>
  <si>
    <t>S1474</t>
  </si>
  <si>
    <t>S1390</t>
  </si>
  <si>
    <t>S1388</t>
  </si>
  <si>
    <t>S1432</t>
  </si>
  <si>
    <t>S1357</t>
  </si>
  <si>
    <t>2024-12-05</t>
  </si>
  <si>
    <t>S1477</t>
  </si>
  <si>
    <t>S1381</t>
  </si>
  <si>
    <t>S1392</t>
  </si>
  <si>
    <t>S1445</t>
  </si>
  <si>
    <t>S1443</t>
  </si>
  <si>
    <t>S1440</t>
  </si>
  <si>
    <t>S1471</t>
  </si>
  <si>
    <t>S1377</t>
  </si>
  <si>
    <t>2024-12-06</t>
  </si>
  <si>
    <t>S1468</t>
  </si>
  <si>
    <t>S1366</t>
  </si>
  <si>
    <t>2024-12-07</t>
  </si>
  <si>
    <t>S1424</t>
  </si>
  <si>
    <t>S1409</t>
  </si>
  <si>
    <t>S1436</t>
  </si>
  <si>
    <t>S1401</t>
  </si>
  <si>
    <t>S1389</t>
  </si>
  <si>
    <t>2024-12-08</t>
  </si>
  <si>
    <t>S1472</t>
  </si>
  <si>
    <t>S1499</t>
  </si>
  <si>
    <t>2024-12-09</t>
  </si>
  <si>
    <t>S1496</t>
  </si>
  <si>
    <t>S1349</t>
  </si>
  <si>
    <t>S1351</t>
  </si>
  <si>
    <t>S1429</t>
  </si>
  <si>
    <t>S1365</t>
  </si>
  <si>
    <t>S1463</t>
  </si>
  <si>
    <t>S1415</t>
  </si>
  <si>
    <t>2024-12-10</t>
  </si>
  <si>
    <t>S1454</t>
  </si>
  <si>
    <t>S1459</t>
  </si>
  <si>
    <t>S1500</t>
  </si>
  <si>
    <t>S1447</t>
  </si>
  <si>
    <t>2024-12-11</t>
  </si>
  <si>
    <t>S1360</t>
  </si>
  <si>
    <t>S1380</t>
  </si>
  <si>
    <t>S1441</t>
  </si>
  <si>
    <t>S1489</t>
  </si>
  <si>
    <t>S1491</t>
  </si>
  <si>
    <t>S1383</t>
  </si>
  <si>
    <t>S1476</t>
  </si>
  <si>
    <t>S1433</t>
  </si>
  <si>
    <t>2024-12-12</t>
  </si>
  <si>
    <t>S1410</t>
  </si>
  <si>
    <t>S1421</t>
  </si>
  <si>
    <t>S1492</t>
  </si>
  <si>
    <t>S1456</t>
  </si>
  <si>
    <t>S1448</t>
  </si>
  <si>
    <t>2024-12-13</t>
  </si>
  <si>
    <t>S1422</t>
  </si>
  <si>
    <t>S1374</t>
  </si>
  <si>
    <t>S1385</t>
  </si>
  <si>
    <t>S1417</t>
  </si>
  <si>
    <t>2024-12-14</t>
  </si>
  <si>
    <t>S1378</t>
  </si>
  <si>
    <t>S1479</t>
  </si>
  <si>
    <t>S1458</t>
  </si>
  <si>
    <t>S1396</t>
  </si>
  <si>
    <t>S1367</t>
  </si>
  <si>
    <t>S1490</t>
  </si>
  <si>
    <t>2024-12-15</t>
  </si>
  <si>
    <t>S1375</t>
  </si>
  <si>
    <t>S1403</t>
  </si>
  <si>
    <t>S1379</t>
  </si>
  <si>
    <t>S1391</t>
  </si>
  <si>
    <t>S1369</t>
  </si>
  <si>
    <t>2024-12-16</t>
  </si>
  <si>
    <t>S1372</t>
  </si>
  <si>
    <t>S1402</t>
  </si>
  <si>
    <t>S1405</t>
  </si>
  <si>
    <t>S1497</t>
  </si>
  <si>
    <t>S1412</t>
  </si>
  <si>
    <t>S1451</t>
  </si>
  <si>
    <t>2024-12-17</t>
  </si>
  <si>
    <t>S1485</t>
  </si>
  <si>
    <t>S1387</t>
  </si>
  <si>
    <t>S1427</t>
  </si>
  <si>
    <t>S1488</t>
  </si>
  <si>
    <t>S1442</t>
  </si>
  <si>
    <t>S1407</t>
  </si>
  <si>
    <t>S1438</t>
  </si>
  <si>
    <t>S1437</t>
  </si>
  <si>
    <t>S1452</t>
  </si>
  <si>
    <t>2024-12-18</t>
  </si>
  <si>
    <t>S1370</t>
  </si>
  <si>
    <t>S1486</t>
  </si>
  <si>
    <t>S1425</t>
  </si>
  <si>
    <t>S1434</t>
  </si>
  <si>
    <t>S1450</t>
  </si>
  <si>
    <t>2024-12-19</t>
  </si>
  <si>
    <t>S1356</t>
  </si>
  <si>
    <t>S1473</t>
  </si>
  <si>
    <t>S1465</t>
  </si>
  <si>
    <t>S1467</t>
  </si>
  <si>
    <t>S1423</t>
  </si>
  <si>
    <t>S1462</t>
  </si>
  <si>
    <t>2024-12-20</t>
  </si>
  <si>
    <t>S1353</t>
  </si>
  <si>
    <t>S1470</t>
  </si>
  <si>
    <t>S1461</t>
  </si>
  <si>
    <t>2024-12-21</t>
  </si>
  <si>
    <t>S1469</t>
  </si>
  <si>
    <t>S1352</t>
  </si>
  <si>
    <t>S1350</t>
  </si>
  <si>
    <t>S1355</t>
  </si>
  <si>
    <t>S1371</t>
  </si>
  <si>
    <t>S1368</t>
  </si>
  <si>
    <t>S1414</t>
  </si>
  <si>
    <t>2024-12-22</t>
  </si>
  <si>
    <t>S1358</t>
  </si>
  <si>
    <t>S1457</t>
  </si>
  <si>
    <t>S1494</t>
  </si>
  <si>
    <t>S1430</t>
  </si>
  <si>
    <t>S1487</t>
  </si>
  <si>
    <t>S1376</t>
  </si>
  <si>
    <t>2024-12-23</t>
  </si>
  <si>
    <t>S1453</t>
  </si>
  <si>
    <t>S1478</t>
  </si>
  <si>
    <t>S1484</t>
  </si>
  <si>
    <t>S1359</t>
  </si>
  <si>
    <t>2024-12-24</t>
  </si>
  <si>
    <t>S1466</t>
  </si>
  <si>
    <t>S1483</t>
  </si>
  <si>
    <t>S1400</t>
  </si>
  <si>
    <t>S1449</t>
  </si>
  <si>
    <t>S1419</t>
  </si>
  <si>
    <t>S1480</t>
  </si>
  <si>
    <t>2024-12-25</t>
  </si>
  <si>
    <t>S1493</t>
  </si>
  <si>
    <t>S1364</t>
  </si>
  <si>
    <t>S1386</t>
  </si>
  <si>
    <t>S1435</t>
  </si>
  <si>
    <t>S1428</t>
  </si>
  <si>
    <t>S1420</t>
  </si>
  <si>
    <t>S1373</t>
  </si>
  <si>
    <t>2024-12-26</t>
  </si>
  <si>
    <t>S1495</t>
  </si>
  <si>
    <t>S1464</t>
  </si>
  <si>
    <t>S1455</t>
  </si>
  <si>
    <t>2024-12-27</t>
  </si>
  <si>
    <t>S1398</t>
  </si>
  <si>
    <t>S1460</t>
  </si>
  <si>
    <t>2024-12-28</t>
  </si>
  <si>
    <t>S1395</t>
  </si>
  <si>
    <t>S1384</t>
  </si>
  <si>
    <t>S1382</t>
  </si>
  <si>
    <t>S1348</t>
  </si>
  <si>
    <t>S1482</t>
  </si>
  <si>
    <t>S1404</t>
  </si>
  <si>
    <t>2024-12-29</t>
  </si>
  <si>
    <t>S1444</t>
  </si>
  <si>
    <t>S1413</t>
  </si>
  <si>
    <t>S1418</t>
  </si>
  <si>
    <t>S1399</t>
  </si>
  <si>
    <t>2024-12-30</t>
  </si>
  <si>
    <t>S1481</t>
  </si>
  <si>
    <t>S1446</t>
  </si>
  <si>
    <t>S1498</t>
  </si>
  <si>
    <t>2024-12-31</t>
  </si>
  <si>
    <t>S1408</t>
  </si>
  <si>
    <t>S1363</t>
  </si>
  <si>
    <t>S1394</t>
  </si>
  <si>
    <t>S1397</t>
  </si>
  <si>
    <t>Product_Name</t>
  </si>
  <si>
    <t>COGS</t>
  </si>
  <si>
    <t>Launch_Date</t>
  </si>
  <si>
    <t>Classic Cotton Kurta</t>
  </si>
  <si>
    <t>Slim Fit Shirt</t>
  </si>
  <si>
    <t>Casual T-Shirt</t>
  </si>
  <si>
    <t>Formal Blazer</t>
  </si>
  <si>
    <t>Ethnic Sherwani</t>
  </si>
  <si>
    <t>Polo Neck Tee</t>
  </si>
  <si>
    <t>Slim Fit Jeans</t>
  </si>
  <si>
    <t>Chino Trousers</t>
  </si>
  <si>
    <t>Ethnic Pyjama</t>
  </si>
  <si>
    <t>Track Pants</t>
  </si>
  <si>
    <t>Formal Trousers</t>
  </si>
  <si>
    <t>Leather Loafers</t>
  </si>
  <si>
    <t>Running Sneakers</t>
  </si>
  <si>
    <t>Ethnic Juttis</t>
  </si>
  <si>
    <t>Casual Sandals</t>
  </si>
  <si>
    <t>Formal Oxford Shoes</t>
  </si>
  <si>
    <t>Leather Belt</t>
  </si>
  <si>
    <t>Silk Pocket Square</t>
  </si>
  <si>
    <t>Wrist Watch</t>
  </si>
  <si>
    <t>Sunglasses</t>
  </si>
  <si>
    <t>Leather Wallet</t>
  </si>
  <si>
    <t>Woolen Sweater</t>
  </si>
  <si>
    <t>Quilted Jacket</t>
  </si>
  <si>
    <t>Fleece Hoodie</t>
  </si>
  <si>
    <t>Thermal Innerwear Set</t>
  </si>
  <si>
    <t>Woolen Muffler</t>
  </si>
  <si>
    <t>Linen Shirt</t>
  </si>
  <si>
    <t>Cotton Shorts</t>
  </si>
  <si>
    <t>Sleeveless Vest</t>
  </si>
  <si>
    <t>Breathable Joggers</t>
  </si>
  <si>
    <t>Budgeted_Revenue_INR</t>
  </si>
  <si>
    <t>Budgeted_Units</t>
  </si>
  <si>
    <t>Return_ID</t>
  </si>
  <si>
    <t>Units_Returned</t>
  </si>
  <si>
    <t>Reason</t>
  </si>
  <si>
    <t>R0001</t>
  </si>
  <si>
    <t>Quality Issue</t>
  </si>
  <si>
    <t>R0002</t>
  </si>
  <si>
    <t>Changed Mind</t>
  </si>
  <si>
    <t>R0003</t>
  </si>
  <si>
    <t>Wrong Item</t>
  </si>
  <si>
    <t>R0004</t>
  </si>
  <si>
    <t>Damaged Product</t>
  </si>
  <si>
    <t>R0005</t>
  </si>
  <si>
    <t>R0006</t>
  </si>
  <si>
    <t>R0007</t>
  </si>
  <si>
    <t>Size Issue</t>
  </si>
  <si>
    <t>R0008</t>
  </si>
  <si>
    <t>R0009</t>
  </si>
  <si>
    <t>R0010</t>
  </si>
  <si>
    <t>R0011</t>
  </si>
  <si>
    <t>R0012</t>
  </si>
  <si>
    <t>R0013</t>
  </si>
  <si>
    <t>R0014</t>
  </si>
  <si>
    <t>R0015</t>
  </si>
  <si>
    <t>R0016</t>
  </si>
  <si>
    <t>R0017</t>
  </si>
  <si>
    <t>R0018</t>
  </si>
  <si>
    <t>R0019</t>
  </si>
  <si>
    <t>R0020</t>
  </si>
  <si>
    <t>R0021</t>
  </si>
  <si>
    <t>R0022</t>
  </si>
  <si>
    <t>R0023</t>
  </si>
  <si>
    <t>R0024</t>
  </si>
  <si>
    <t>R0025</t>
  </si>
  <si>
    <t>R0026</t>
  </si>
  <si>
    <t>R0027</t>
  </si>
  <si>
    <t>R0028</t>
  </si>
  <si>
    <t>R0029</t>
  </si>
  <si>
    <t>R0030</t>
  </si>
  <si>
    <t>R0031</t>
  </si>
  <si>
    <t>R0032</t>
  </si>
  <si>
    <t>R0033</t>
  </si>
  <si>
    <t>R0034</t>
  </si>
  <si>
    <t>R0035</t>
  </si>
  <si>
    <t>R0036</t>
  </si>
  <si>
    <t>R0037</t>
  </si>
  <si>
    <t>R0038</t>
  </si>
  <si>
    <t>R0039</t>
  </si>
  <si>
    <t>R0040</t>
  </si>
  <si>
    <t>R0041</t>
  </si>
  <si>
    <t>R0042</t>
  </si>
  <si>
    <t>R0043</t>
  </si>
  <si>
    <t>R0044</t>
  </si>
  <si>
    <t>R0045</t>
  </si>
  <si>
    <t>R0046</t>
  </si>
  <si>
    <t>R0047</t>
  </si>
  <si>
    <t>R0048</t>
  </si>
  <si>
    <t>2024-07-16</t>
  </si>
  <si>
    <t>R0049</t>
  </si>
  <si>
    <t>R0050</t>
  </si>
  <si>
    <t>R0051</t>
  </si>
  <si>
    <t>R0052</t>
  </si>
  <si>
    <t>R0053</t>
  </si>
  <si>
    <t>R0054</t>
  </si>
  <si>
    <t>R0055</t>
  </si>
  <si>
    <t>R0056</t>
  </si>
  <si>
    <t>R0057</t>
  </si>
  <si>
    <t>R0058</t>
  </si>
  <si>
    <t>R0059</t>
  </si>
  <si>
    <t>R0060</t>
  </si>
  <si>
    <t>R0061</t>
  </si>
  <si>
    <t>R0062</t>
  </si>
  <si>
    <t>R0063</t>
  </si>
  <si>
    <t>R0064</t>
  </si>
  <si>
    <t>R0065</t>
  </si>
  <si>
    <t>R0066</t>
  </si>
  <si>
    <t>R0067</t>
  </si>
  <si>
    <t>R0068</t>
  </si>
  <si>
    <t>R0069</t>
  </si>
  <si>
    <t>R0070</t>
  </si>
  <si>
    <t>R0071</t>
  </si>
  <si>
    <t>R0072</t>
  </si>
  <si>
    <t>R0073</t>
  </si>
  <si>
    <t>R0074</t>
  </si>
  <si>
    <t>R0075</t>
  </si>
  <si>
    <t>R0076</t>
  </si>
  <si>
    <t>R0077</t>
  </si>
  <si>
    <t>R0078</t>
  </si>
  <si>
    <t>R0079</t>
  </si>
  <si>
    <t>R0080</t>
  </si>
  <si>
    <t>R0081</t>
  </si>
  <si>
    <t>R0082</t>
  </si>
  <si>
    <t>R0083</t>
  </si>
  <si>
    <t>2024-08-06</t>
  </si>
  <si>
    <t>R0084</t>
  </si>
  <si>
    <t>R0085</t>
  </si>
  <si>
    <t>R0086</t>
  </si>
  <si>
    <t>R0087</t>
  </si>
  <si>
    <t>R0088</t>
  </si>
  <si>
    <t>R0089</t>
  </si>
  <si>
    <t>R0090</t>
  </si>
  <si>
    <t>R0091</t>
  </si>
  <si>
    <t>R0092</t>
  </si>
  <si>
    <t>R0093</t>
  </si>
  <si>
    <t>R0094</t>
  </si>
  <si>
    <t>R0095</t>
  </si>
  <si>
    <t>R0096</t>
  </si>
  <si>
    <t>R0097</t>
  </si>
  <si>
    <t>R0098</t>
  </si>
  <si>
    <t>R0099</t>
  </si>
  <si>
    <t>R0100</t>
  </si>
  <si>
    <t>R0101</t>
  </si>
  <si>
    <t>R0102</t>
  </si>
  <si>
    <t>R0103</t>
  </si>
  <si>
    <t>R0104</t>
  </si>
  <si>
    <t>Revenue_INR</t>
  </si>
  <si>
    <t>Total_COGS</t>
  </si>
  <si>
    <t>Gross_Profit</t>
  </si>
  <si>
    <t>Gross_Margin_%</t>
  </si>
  <si>
    <t>Units_Returned_Clean</t>
  </si>
  <si>
    <t>Net_Units_Sold</t>
  </si>
  <si>
    <t>Net_Revenue_INR</t>
  </si>
  <si>
    <t>MONTHLY METRICS</t>
  </si>
  <si>
    <t>RUNNING TOTALS</t>
  </si>
  <si>
    <t>TOP 5 PRODUCTS</t>
  </si>
  <si>
    <t>BUDGET VS ACTUAL</t>
  </si>
  <si>
    <t>Total_Revenue_INR</t>
  </si>
  <si>
    <t>Total_Units_Sold</t>
  </si>
  <si>
    <t xml:space="preserve">March </t>
  </si>
  <si>
    <t>MoM_Growth_%</t>
  </si>
  <si>
    <t>Weekly_Revenue</t>
  </si>
  <si>
    <t>WoW_Growth_%</t>
  </si>
  <si>
    <t>3M_Moving_Avg</t>
  </si>
  <si>
    <t>Rank</t>
  </si>
  <si>
    <t>Total_Revenue</t>
  </si>
  <si>
    <t>% of Total</t>
  </si>
  <si>
    <t>MoM GROWTH</t>
  </si>
  <si>
    <t>WoW GROWTH</t>
  </si>
  <si>
    <t>Product_Revenue</t>
  </si>
  <si>
    <t>TOP 5 CATEGORIES</t>
  </si>
  <si>
    <t>Actual_Revenue</t>
  </si>
  <si>
    <t>Budgeted_Revenue</t>
  </si>
  <si>
    <t>Variance_INR</t>
  </si>
  <si>
    <t>Variance_%</t>
  </si>
  <si>
    <t>Status</t>
  </si>
  <si>
    <t>Total Units Sold</t>
  </si>
  <si>
    <t>Total Net Revenue</t>
  </si>
  <si>
    <t>Return Rate %</t>
  </si>
  <si>
    <t>Avg Gross Margin</t>
  </si>
  <si>
    <t>Best Month</t>
  </si>
  <si>
    <t>Top Category</t>
  </si>
  <si>
    <t>KPI Summary Block</t>
  </si>
  <si>
    <t>3-month moving average</t>
  </si>
  <si>
    <t>Helper Table</t>
  </si>
  <si>
    <t>Row Labels</t>
  </si>
  <si>
    <t>Grand Total</t>
  </si>
  <si>
    <t>Sum of Net_Revenue_INR</t>
  </si>
  <si>
    <t>Sum of Units_Sold</t>
  </si>
  <si>
    <t>Sum of Gross_Profit</t>
  </si>
  <si>
    <t>Sum of Margin_%</t>
  </si>
  <si>
    <t>Revenue</t>
  </si>
  <si>
    <t>PT6 — Category x Month Matrix</t>
  </si>
  <si>
    <t>Column Labels</t>
  </si>
  <si>
    <t>PT7 — Returns Analysis</t>
  </si>
  <si>
    <t>Total_Returns</t>
  </si>
  <si>
    <t>Total_Sold</t>
  </si>
  <si>
    <t>Sum of Return_Rate_%</t>
  </si>
  <si>
    <t>PT1 — Monthly Revenue Trend</t>
  </si>
  <si>
    <t>PT2 — Category Performance</t>
  </si>
  <si>
    <t>PT3 — Top 10 Products</t>
  </si>
  <si>
    <t>PT4 — Budget vs Actual</t>
  </si>
  <si>
    <t>PT5 — Weekly Revenue</t>
  </si>
  <si>
    <t>👗 FASHION &amp; APPAREL RETAIL PERFORMANCE DASHBOARD  |  FY 2024  |  India Market</t>
  </si>
  <si>
    <t>REVENUE HEATMAP — CATEGORY x MONTH</t>
  </si>
  <si>
    <t>PT7- For Chart</t>
  </si>
  <si>
    <t>PT-2 - For Chart</t>
  </si>
  <si>
    <t>PT3 - For Chart</t>
  </si>
  <si>
    <t>Actual</t>
  </si>
  <si>
    <t>Budgeted</t>
  </si>
  <si>
    <t>Cumulative Revenue</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</si>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</sst>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quot;₹&quot;\ #,##0.00"/>
    <numFmt numFmtId="166" formatCode="&quot;₹&quot;#,##0.00"/>
    <numFmt numFmtId="167" formatCode="0.0%"/>
    <numFmt numFmtId="168" formatCode=";;;"/>
    <numFmt numFmtId="169" formatCode="&quot;₹&quot;\ #,##0"/>
  </numFmts>
  <fonts count="9">
    <font>
      <sz val="11"/>
      <color theme="1"/>
      <name val="Calibri"/>
      <family val="2"/>
      <scheme val="minor"/>
    </font>
    <font>
      <b/>
      <sz val="11"/>
      <color theme="1"/>
      <name val="Calibri"/>
      <family val="2"/>
      <scheme val="minor"/>
    </font>
    <font>
      <sz val="8"/>
      <name val="Calibri"/>
      <family val="2"/>
      <scheme val="minor"/>
    </font>
    <font>
      <sz val="10"/>
      <color theme="1"/>
      <name val="Arial Unicode MS"/>
    </font>
    <font>
      <sz val="11"/>
      <color theme="0"/>
      <name val="Calibri"/>
      <family val="2"/>
      <scheme val="minor"/>
    </font>
    <font>
      <b/>
      <sz val="20"/>
      <color theme="0"/>
      <name val="Calibri"/>
      <family val="2"/>
      <scheme val="minor"/>
    </font>
    <font>
      <b/>
      <sz val="11"/>
      <color theme="0"/>
      <name val="Calibri"/>
      <family val="2"/>
      <scheme val="minor"/>
    </font>
    <font>
      <b/>
      <sz val="12"/>
      <color rgb="FFF5A623"/>
      <name val="Calibri"/>
      <family val="2"/>
      <scheme val="minor"/>
    </font>
    <font>
      <b/>
      <sz val="24"/>
      <color theme="0"/>
      <name val="Cambria"/>
      <family val="1"/>
      <scheme val="major"/>
    </font>
  </fonts>
  <fills count="16">
    <fill>
      <patternFill patternType="none"/>
    </fill>
    <fill>
      <patternFill patternType="gray125"/>
    </fill>
    <fill>
      <patternFill patternType="solid">
        <fgColor theme="2" tint="-0.249977111117893"/>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theme="6" tint="0.59999389629810485"/>
        <bgColor indexed="64"/>
      </patternFill>
    </fill>
    <fill>
      <patternFill patternType="solid">
        <fgColor rgb="FF1F2D40"/>
        <bgColor indexed="64"/>
      </patternFill>
    </fill>
    <fill>
      <patternFill patternType="solid">
        <fgColor rgb="FF2E86AB"/>
        <bgColor indexed="64"/>
      </patternFill>
    </fill>
    <fill>
      <patternFill patternType="solid">
        <fgColor rgb="FFF5A623"/>
        <bgColor indexed="64"/>
      </patternFill>
    </fill>
    <fill>
      <patternFill patternType="solid">
        <fgColor rgb="FF2A3F54"/>
        <bgColor indexed="64"/>
      </patternFill>
    </fill>
    <fill>
      <patternFill patternType="solid">
        <fgColor theme="4" tint="-0.249977111117893"/>
        <bgColor theme="4" tint="-0.249977111117893"/>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4" tint="0.79998168889431442"/>
      </top>
      <bottom style="thin">
        <color theme="4" tint="0.79998168889431442"/>
      </bottom>
      <diagonal/>
    </border>
    <border>
      <left/>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79998168889431442"/>
      </top>
      <bottom style="thin">
        <color theme="4" tint="0.79998168889431442"/>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style="thin">
        <color theme="4" tint="-0.249977111117893"/>
      </top>
      <bottom style="thin">
        <color theme="4" tint="0.79998168889431442"/>
      </bottom>
      <diagonal/>
    </border>
    <border>
      <left/>
      <right/>
      <top style="thin">
        <color theme="4" tint="-0.249977111117893"/>
      </top>
      <bottom style="thin">
        <color theme="4" tint="0.59999389629810485"/>
      </bottom>
      <diagonal/>
    </border>
  </borders>
  <cellStyleXfs count="1">
    <xf numFmtId="0" fontId="0" fillId="0" borderId="0"/>
  </cellStyleXfs>
  <cellXfs count="59">
    <xf numFmtId="0" fontId="0" fillId="0" borderId="0" xfId="0"/>
    <xf numFmtId="14" fontId="0" fillId="0" borderId="0" xfId="0" applyNumberFormat="1"/>
    <xf numFmtId="10" fontId="0" fillId="0" borderId="0" xfId="0" applyNumberFormat="1"/>
    <xf numFmtId="0" fontId="0" fillId="0" borderId="1" xfId="0" applyBorder="1"/>
    <xf numFmtId="165" fontId="0" fillId="0" borderId="1" xfId="0" applyNumberFormat="1" applyBorder="1"/>
    <xf numFmtId="10" fontId="0" fillId="0" borderId="1" xfId="0" applyNumberFormat="1" applyBorder="1"/>
    <xf numFmtId="0" fontId="1" fillId="5" borderId="2" xfId="0" applyFont="1" applyFill="1" applyBorder="1"/>
    <xf numFmtId="0" fontId="0" fillId="0" borderId="3" xfId="0" applyBorder="1"/>
    <xf numFmtId="0" fontId="0" fillId="0" borderId="4" xfId="0" applyBorder="1"/>
    <xf numFmtId="0" fontId="0" fillId="0" borderId="5" xfId="0" applyBorder="1"/>
    <xf numFmtId="0" fontId="0" fillId="0" borderId="6" xfId="0" applyBorder="1"/>
    <xf numFmtId="10" fontId="0" fillId="0" borderId="6" xfId="0" applyNumberFormat="1" applyBorder="1"/>
    <xf numFmtId="0" fontId="0" fillId="0" borderId="7" xfId="0" applyBorder="1"/>
    <xf numFmtId="0" fontId="0" fillId="0" borderId="8" xfId="0" applyBorder="1"/>
    <xf numFmtId="165" fontId="0" fillId="0" borderId="8" xfId="0" applyNumberFormat="1" applyBorder="1"/>
    <xf numFmtId="10" fontId="0" fillId="0" borderId="9" xfId="0" applyNumberFormat="1" applyBorder="1"/>
    <xf numFmtId="166" fontId="0" fillId="0" borderId="1" xfId="0" applyNumberFormat="1" applyBorder="1"/>
    <xf numFmtId="0" fontId="1" fillId="2" borderId="2" xfId="0" applyFont="1" applyFill="1" applyBorder="1"/>
    <xf numFmtId="166" fontId="0" fillId="0" borderId="8" xfId="0" applyNumberFormat="1" applyBorder="1"/>
    <xf numFmtId="0" fontId="1" fillId="3" borderId="2" xfId="0" applyFont="1" applyFill="1" applyBorder="1"/>
    <xf numFmtId="165" fontId="0" fillId="0" borderId="6" xfId="0" applyNumberFormat="1" applyBorder="1"/>
    <xf numFmtId="165" fontId="0" fillId="0" borderId="9" xfId="0" applyNumberFormat="1" applyBorder="1"/>
    <xf numFmtId="0" fontId="1" fillId="7" borderId="2" xfId="0" applyFont="1" applyFill="1" applyBorder="1"/>
    <xf numFmtId="0" fontId="1" fillId="4" borderId="2" xfId="0" applyFont="1" applyFill="1" applyBorder="1"/>
    <xf numFmtId="164" fontId="0" fillId="0" borderId="1" xfId="0" applyNumberFormat="1" applyBorder="1"/>
    <xf numFmtId="0" fontId="0" fillId="10" borderId="2" xfId="0" applyFill="1" applyBorder="1"/>
    <xf numFmtId="164" fontId="0" fillId="0" borderId="6" xfId="0" applyNumberFormat="1" applyBorder="1"/>
    <xf numFmtId="164" fontId="0" fillId="0" borderId="9" xfId="0" applyNumberFormat="1" applyBorder="1"/>
    <xf numFmtId="0" fontId="1" fillId="9" borderId="2" xfId="0" applyFont="1" applyFill="1" applyBorder="1"/>
    <xf numFmtId="0" fontId="0" fillId="0" borderId="9" xfId="0" applyBorder="1"/>
    <xf numFmtId="0" fontId="0" fillId="0" borderId="1" xfId="0" applyBorder="1" applyAlignment="1">
      <alignment horizontal="left"/>
    </xf>
    <xf numFmtId="165" fontId="0" fillId="0" borderId="1" xfId="0" applyNumberFormat="1" applyBorder="1" applyAlignment="1">
      <alignment horizontal="left" indent="5"/>
    </xf>
    <xf numFmtId="0" fontId="1" fillId="8" borderId="2" xfId="0" applyFont="1" applyFill="1" applyBorder="1"/>
    <xf numFmtId="165" fontId="0" fillId="0" borderId="8" xfId="0" applyNumberFormat="1" applyBorder="1" applyAlignment="1">
      <alignment horizontal="left" indent="5"/>
    </xf>
    <xf numFmtId="0" fontId="1" fillId="6" borderId="2" xfId="0" applyFont="1" applyFill="1" applyBorder="1"/>
    <xf numFmtId="164" fontId="0" fillId="0" borderId="8" xfId="0" applyNumberFormat="1" applyBorder="1"/>
    <xf numFmtId="10" fontId="0" fillId="0" borderId="8" xfId="0" applyNumberFormat="1" applyBorder="1"/>
    <xf numFmtId="0" fontId="1" fillId="0" borderId="1" xfId="0" applyFont="1" applyBorder="1"/>
    <xf numFmtId="165" fontId="1" fillId="0" borderId="1" xfId="0" applyNumberFormat="1" applyFont="1" applyBorder="1" applyAlignment="1">
      <alignment horizontal="right"/>
    </xf>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0" fontId="4" fillId="11" borderId="0" xfId="0" applyFont="1" applyFill="1"/>
    <xf numFmtId="0" fontId="4" fillId="13" borderId="0" xfId="0" applyFont="1" applyFill="1"/>
    <xf numFmtId="0" fontId="4" fillId="15" borderId="14" xfId="0" applyFont="1" applyFill="1" applyBorder="1"/>
    <xf numFmtId="0" fontId="6" fillId="12" borderId="15" xfId="0" applyFont="1" applyFill="1" applyBorder="1"/>
    <xf numFmtId="0" fontId="6" fillId="14" borderId="11" xfId="0" applyFont="1" applyFill="1" applyBorder="1" applyAlignment="1">
      <alignment horizontal="left"/>
    </xf>
    <xf numFmtId="0" fontId="6" fillId="14" borderId="10" xfId="0" applyFont="1" applyFill="1" applyBorder="1" applyAlignment="1">
      <alignment horizontal="left"/>
    </xf>
    <xf numFmtId="0" fontId="7" fillId="0" borderId="0" xfId="0" applyFont="1"/>
    <xf numFmtId="168" fontId="0" fillId="0" borderId="13" xfId="0" applyNumberFormat="1" applyBorder="1"/>
    <xf numFmtId="168" fontId="0" fillId="0" borderId="11" xfId="0" applyNumberFormat="1" applyBorder="1"/>
    <xf numFmtId="168" fontId="0" fillId="0" borderId="12" xfId="0" applyNumberFormat="1" applyBorder="1"/>
    <xf numFmtId="168" fontId="0" fillId="0" borderId="10" xfId="0" applyNumberFormat="1" applyBorder="1"/>
    <xf numFmtId="167" fontId="0" fillId="0" borderId="0" xfId="0" applyNumberFormat="1"/>
    <xf numFmtId="169" fontId="3" fillId="0" borderId="6" xfId="0" applyNumberFormat="1" applyFont="1" applyBorder="1"/>
    <xf numFmtId="0" fontId="8" fillId="12" borderId="0" xfId="0" applyFont="1" applyFill="1" applyAlignment="1">
      <alignment horizontal="center"/>
    </xf>
    <xf numFmtId="0" fontId="5" fillId="12" borderId="0" xfId="0" applyFont="1" applyFill="1" applyAlignment="1">
      <alignment horizontal="center"/>
    </xf>
    <xf numFmtId="0" fontId="0" fillId="0" borderId="0" xfId="0" applyNumberFormat="1"/>
  </cellXfs>
  <cellStyles count="1">
    <cellStyle name="Normal" xfId="0" builtinId="0"/>
  </cellStyles>
  <dxfs count="47">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5" formatCode="&quot;₹&quot;\ #,##0.00"/>
    </dxf>
    <dxf>
      <numFmt numFmtId="165" formatCode="&quot;₹&quot;\ #,##0.00"/>
    </dxf>
    <dxf>
      <border outline="0">
        <left style="thin">
          <color indexed="64"/>
        </left>
        <right style="thin">
          <color indexed="64"/>
        </right>
        <top style="thin">
          <color indexed="64"/>
        </top>
        <bottom style="thin">
          <color indexed="64"/>
        </bottom>
      </border>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9" formatCode="dd/mm/yyyy"/>
    </dxf>
    <dxf>
      <numFmt numFmtId="0" formatCode="General"/>
    </dxf>
    <dxf>
      <fill>
        <patternFill>
          <bgColor rgb="FF2E86AB"/>
        </patternFill>
      </fill>
    </dxf>
    <dxf>
      <font>
        <color rgb="FF000000"/>
      </font>
      <fill>
        <patternFill>
          <bgColor rgb="FF2E86AB"/>
        </patternFill>
      </fill>
    </dxf>
  </dxfs>
  <tableStyles count="2" defaultTableStyle="TableStyleMedium9" defaultPivotStyle="PivotStyleLight16">
    <tableStyle name="fashion" pivot="0" table="0" count="1" xr9:uid="{AECECFBB-D4C1-4FA3-9C27-476254E6FE2A}">
      <tableStyleElement type="wholeTable" dxfId="46"/>
    </tableStyle>
    <tableStyle name="Slicer Style 1" pivot="0" table="0" count="2" xr9:uid="{CB5FD3E4-5E49-4DB0-9B4F-1147729D933D}">
      <tableStyleElement type="wholeTable" dxfId="45"/>
    </tableStyle>
  </tableStyles>
  <colors>
    <mruColors>
      <color rgb="FF2A3F54"/>
      <color rgb="FFF5A623"/>
      <color rgb="FF1F2D40"/>
      <color rgb="FF2E86AB"/>
      <color rgb="FF27AE60"/>
      <color rgb="FFC0392B"/>
      <color rgb="FFE84855"/>
      <color rgb="FFF35035"/>
      <color rgb="FF000000"/>
      <color rgb="FF848484"/>
    </mruColors>
  </colors>
  <extLst>
    <ext xmlns:x14="http://schemas.microsoft.com/office/spreadsheetml/2009/9/main" uri="{46F421CA-312F-682f-3DD2-61675219B42D}">
      <x14:dxfs count="1">
        <dxf>
          <fill>
            <patternFill>
              <bgColor rgb="FFF5A623"/>
            </patternFill>
          </fill>
        </dxf>
      </x14:dxfs>
    </ext>
    <ext xmlns:x14="http://schemas.microsoft.com/office/spreadsheetml/2009/9/main" uri="{EB79DEF2-80B8-43e5-95BD-54CBDDF9020C}">
      <x14:slicerStyles defaultSlicerStyle="SlicerStyleLight1">
        <x14:slicerStyle name="fashion"/>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[Fashion_Apparel_Dataset.xlsx]Pivot_Data!PT1 - Monthly Trend</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bg1"/>
                </a:solidFill>
              </a:rPr>
              <a:t>Monthly Net Revenue Trend + 3M Moving Average</a:t>
            </a:r>
            <a:endParaRPr lang="en-IN" sz="1400" baseline="0">
              <a:solidFill>
                <a:schemeClr val="bg1"/>
              </a:solidFill>
            </a:endParaRPr>
          </a:p>
        </c:rich>
      </c:tx>
      <c:layout>
        <c:manualLayout>
          <c:xMode val="edge"/>
          <c:yMode val="edge"/>
          <c:x val="0.17570620719932228"/>
          <c:y val="4.536919196019463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2E86AB"/>
            </a:solidFill>
            <a:round/>
          </a:ln>
          <a:effectLst>
            <a:outerShdw blurRad="50800" dist="50800" dir="5400000" algn="ctr" rotWithShape="0">
              <a:srgbClr val="1F2D40"/>
            </a:outerShdw>
          </a:effectLst>
        </c:spPr>
        <c:marker>
          <c:symbol val="circle"/>
          <c:size val="5"/>
          <c:spPr>
            <a:solidFill>
              <a:schemeClr val="accent1"/>
            </a:solidFill>
            <a:ln w="9525">
              <a:solidFill>
                <a:schemeClr val="accent1"/>
              </a:solidFill>
            </a:ln>
            <a:effectLst>
              <a:outerShdw blurRad="50800" dist="50800" dir="5400000" algn="ctr" rotWithShape="0">
                <a:srgbClr val="1F2D40"/>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3698307183051"/>
          <c:y val="0.17740189720150801"/>
          <c:w val="0.74083007028796566"/>
          <c:h val="0.59611212892163268"/>
        </c:manualLayout>
      </c:layout>
      <c:lineChart>
        <c:grouping val="standard"/>
        <c:varyColors val="0"/>
        <c:ser>
          <c:idx val="0"/>
          <c:order val="0"/>
          <c:tx>
            <c:strRef>
              <c:f>Pivot_Data!$B$2</c:f>
              <c:strCache>
                <c:ptCount val="1"/>
                <c:pt idx="0">
                  <c:v>Total</c:v>
                </c:pt>
              </c:strCache>
            </c:strRef>
          </c:tx>
          <c:spPr>
            <a:ln w="28575" cap="rnd">
              <a:solidFill>
                <a:srgbClr val="2E86AB"/>
              </a:solidFill>
              <a:round/>
            </a:ln>
            <a:effectLst>
              <a:outerShdw blurRad="50800" dist="50800" dir="5400000" algn="ctr" rotWithShape="0">
                <a:srgbClr val="1F2D40"/>
              </a:outerShdw>
            </a:effectLst>
          </c:spPr>
          <c:marker>
            <c:symbol val="circle"/>
            <c:size val="5"/>
            <c:spPr>
              <a:solidFill>
                <a:schemeClr val="accent1"/>
              </a:solidFill>
              <a:ln w="9525">
                <a:solidFill>
                  <a:schemeClr val="accent1"/>
                </a:solidFill>
              </a:ln>
              <a:effectLst>
                <a:outerShdw blurRad="50800" dist="50800" dir="5400000" algn="ctr" rotWithShape="0">
                  <a:srgbClr val="1F2D40"/>
                </a:outerShdw>
              </a:effectLst>
            </c:spPr>
          </c:marker>
          <c:trendline>
            <c:spPr>
              <a:ln w="25400" cap="rnd">
                <a:solidFill>
                  <a:srgbClr val="F5A623"/>
                </a:solidFill>
                <a:prstDash val="dash"/>
              </a:ln>
              <a:effectLst/>
            </c:spPr>
            <c:trendlineType val="movingAvg"/>
            <c:period val="3"/>
            <c:dispRSqr val="0"/>
            <c:dispEq val="0"/>
          </c:trendline>
          <c:cat>
            <c:strRef>
              <c:f>Pivot_Data!$A$3:$A$15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Pivot_Data!$B$3:$B$15</c:f>
              <c:numCache>
                <c:formatCode>General</c:formatCode>
                <c:ptCount val="12"/>
                <c:pt idx="0">
                  <c:v>469314.5</c:v>
                </c:pt>
                <c:pt idx="1">
                  <c:v>426889</c:v>
                </c:pt>
                <c:pt idx="2">
                  <c:v>354001</c:v>
                </c:pt>
                <c:pt idx="3">
                  <c:v>377846</c:v>
                </c:pt>
                <c:pt idx="4">
                  <c:v>399022</c:v>
                </c:pt>
                <c:pt idx="5">
                  <c:v>407301.5</c:v>
                </c:pt>
                <c:pt idx="6">
                  <c:v>345535</c:v>
                </c:pt>
                <c:pt idx="7">
                  <c:v>321812</c:v>
                </c:pt>
                <c:pt idx="8">
                  <c:v>453764.5</c:v>
                </c:pt>
                <c:pt idx="9">
                  <c:v>625725.5</c:v>
                </c:pt>
                <c:pt idx="10">
                  <c:v>698527.5</c:v>
                </c:pt>
                <c:pt idx="11">
                  <c:v>548681</c:v>
                </c:pt>
              </c:numCache>
            </c:numRef>
          </c:val>
          <c:smooth val="0"/>
          <c:extLst>
            <c:ext xmlns:c16="http://schemas.microsoft.com/office/drawing/2014/chart" uri="{C3380CC4-5D6E-409C-BE32-E72D297353CC}">
              <c16:uniqueId val="{00000000-9C55-466D-A566-5AF42915C0A8}"/>
            </c:ext>
          </c:extLst>
        </c:ser>
        <c:dLbls>
          <c:showLegendKey val="0"/>
          <c:showVal val="0"/>
          <c:showCatName val="0"/>
          <c:showSerName val="0"/>
          <c:showPercent val="0"/>
          <c:showBubbleSize val="0"/>
        </c:dLbls>
        <c:marker val="1"/>
        <c:smooth val="0"/>
        <c:axId val="1713082191"/>
        <c:axId val="1713075471"/>
      </c:lineChart>
      <c:catAx>
        <c:axId val="171308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713075471"/>
        <c:crosses val="autoZero"/>
        <c:auto val="1"/>
        <c:lblAlgn val="ctr"/>
        <c:lblOffset val="100"/>
        <c:noMultiLvlLbl val="0"/>
      </c:catAx>
      <c:valAx>
        <c:axId val="1713075471"/>
        <c:scaling>
          <c:orientation val="minMax"/>
        </c:scaling>
        <c:delete val="0"/>
        <c:axPos val="l"/>
        <c:majorGridlines>
          <c:spPr>
            <a:ln w="9525" cap="flat" cmpd="sng" algn="ctr">
              <a:solidFill>
                <a:schemeClr val="bg1">
                  <a:lumMod val="50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713082191"/>
        <c:crosses val="autoZero"/>
        <c:crossBetween val="between"/>
      </c:valAx>
      <c:spPr>
        <a:solidFill>
          <a:srgbClr val="1F2D40"/>
        </a:solidFill>
        <a:ln>
          <a:noFill/>
        </a:ln>
        <a:effectLst/>
      </c:spPr>
    </c:plotArea>
    <c:legend>
      <c:legendPos val="r"/>
      <c:layout>
        <c:manualLayout>
          <c:xMode val="edge"/>
          <c:yMode val="edge"/>
          <c:x val="0.86442799041830576"/>
          <c:y val="0.32209140163199584"/>
          <c:w val="0.11137623291632977"/>
          <c:h val="0.498579024638630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3F54"/>
    </a:solidFill>
    <a:ln w="9525" cap="flat" cmpd="sng" algn="ctr">
      <a:solidFill>
        <a:srgbClr val="2A3F54"/>
      </a:solidFill>
      <a:round/>
    </a:ln>
    <a:effectLst>
      <a:softEdge rad="5080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t>Cumulative Revenue Growth</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areaChart>
        <c:grouping val="stacked"/>
        <c:varyColors val="0"/>
        <c:ser>
          <c:idx val="1"/>
          <c:order val="1"/>
          <c:tx>
            <c:strRef>
              <c:f>Analysis!$K$2</c:f>
              <c:strCache>
                <c:ptCount val="1"/>
                <c:pt idx="0">
                  <c:v>Cumulative Revenue</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5400000" scaled="1"/>
              <a:tileRect/>
            </a:gradFill>
            <a:ln>
              <a:noFill/>
            </a:ln>
            <a:effectLst/>
          </c:spPr>
          <c:cat>
            <c:strRef>
              <c:f>Analysis!$B$3:$B$14</c:f>
              <c:strCache>
                <c:ptCount val="12"/>
                <c:pt idx="0">
                  <c:v>January</c:v>
                </c:pt>
                <c:pt idx="1">
                  <c:v>February</c:v>
                </c:pt>
                <c:pt idx="2">
                  <c:v>March </c:v>
                </c:pt>
                <c:pt idx="3">
                  <c:v>April</c:v>
                </c:pt>
                <c:pt idx="4">
                  <c:v>May</c:v>
                </c:pt>
                <c:pt idx="5">
                  <c:v>June</c:v>
                </c:pt>
                <c:pt idx="6">
                  <c:v>July</c:v>
                </c:pt>
                <c:pt idx="7">
                  <c:v>August</c:v>
                </c:pt>
                <c:pt idx="8">
                  <c:v>September</c:v>
                </c:pt>
                <c:pt idx="9">
                  <c:v>October</c:v>
                </c:pt>
                <c:pt idx="10">
                  <c:v>November</c:v>
                </c:pt>
                <c:pt idx="11">
                  <c:v>December</c:v>
                </c:pt>
              </c:strCache>
            </c:strRef>
          </c:cat>
          <c:val>
            <c:numRef>
              <c:f>Analysis!$K$3:$K$14</c:f>
              <c:numCache>
                <c:formatCode>"₹"\ #,##0.00</c:formatCode>
                <c:ptCount val="12"/>
                <c:pt idx="0">
                  <c:v>469314.5</c:v>
                </c:pt>
                <c:pt idx="1">
                  <c:v>896203.5</c:v>
                </c:pt>
                <c:pt idx="2">
                  <c:v>1250204.5</c:v>
                </c:pt>
                <c:pt idx="3">
                  <c:v>1628050.5</c:v>
                </c:pt>
                <c:pt idx="4">
                  <c:v>2027072.5</c:v>
                </c:pt>
                <c:pt idx="5">
                  <c:v>2434374</c:v>
                </c:pt>
                <c:pt idx="6">
                  <c:v>2779909</c:v>
                </c:pt>
                <c:pt idx="7">
                  <c:v>3101721</c:v>
                </c:pt>
                <c:pt idx="8">
                  <c:v>3555485.5</c:v>
                </c:pt>
                <c:pt idx="9">
                  <c:v>4181211</c:v>
                </c:pt>
                <c:pt idx="10">
                  <c:v>4879738.5</c:v>
                </c:pt>
                <c:pt idx="11">
                  <c:v>5428419.5</c:v>
                </c:pt>
              </c:numCache>
            </c:numRef>
          </c:val>
          <c:extLst>
            <c:ext xmlns:c16="http://schemas.microsoft.com/office/drawing/2014/chart" uri="{C3380CC4-5D6E-409C-BE32-E72D297353CC}">
              <c16:uniqueId val="{00000001-2129-445B-809A-F014CAD22264}"/>
            </c:ext>
          </c:extLst>
        </c:ser>
        <c:dLbls>
          <c:showLegendKey val="0"/>
          <c:showVal val="0"/>
          <c:showCatName val="0"/>
          <c:showSerName val="0"/>
          <c:showPercent val="0"/>
          <c:showBubbleSize val="0"/>
        </c:dLbls>
        <c:axId val="1712047407"/>
        <c:axId val="1712048367"/>
        <c:extLst>
          <c:ext xmlns:c15="http://schemas.microsoft.com/office/drawing/2012/chart" uri="{02D57815-91ED-43cb-92C2-25804820EDAC}">
            <c15:filteredAreaSeries>
              <c15:ser>
                <c:idx val="0"/>
                <c:order val="0"/>
                <c:tx>
                  <c:strRef>
                    <c:extLst>
                      <c:ext uri="{02D57815-91ED-43cb-92C2-25804820EDAC}">
                        <c15:formulaRef>
                          <c15:sqref>Analysis!$J$2</c15:sqref>
                        </c15:formulaRef>
                      </c:ext>
                    </c:extLst>
                    <c:strCache>
                      <c:ptCount val="1"/>
                      <c:pt idx="0">
                        <c:v>Month</c:v>
                      </c:pt>
                    </c:strCache>
                  </c:strRef>
                </c:tx>
                <c:spPr>
                  <a:solidFill>
                    <a:schemeClr val="accent1"/>
                  </a:solidFill>
                  <a:ln>
                    <a:noFill/>
                  </a:ln>
                  <a:effectLst/>
                </c:spPr>
                <c:cat>
                  <c:strRef>
                    <c:extLst>
                      <c:ext uri="{02D57815-91ED-43cb-92C2-25804820EDAC}">
                        <c15:formulaRef>
                          <c15:sqref>Analysis!$B$3:$B$14</c15:sqref>
                        </c15:formulaRef>
                      </c:ext>
                    </c:extLst>
                    <c:strCache>
                      <c:ptCount val="12"/>
                      <c:pt idx="0">
                        <c:v>January</c:v>
                      </c:pt>
                      <c:pt idx="1">
                        <c:v>February</c:v>
                      </c:pt>
                      <c:pt idx="2">
                        <c:v>March </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Analysis!$J$3:$J$14</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extLst>
                  <c:ext xmlns:c16="http://schemas.microsoft.com/office/drawing/2014/chart" uri="{C3380CC4-5D6E-409C-BE32-E72D297353CC}">
                    <c16:uniqueId val="{00000000-2129-445B-809A-F014CAD22264}"/>
                  </c:ext>
                </c:extLst>
              </c15:ser>
            </c15:filteredAreaSeries>
          </c:ext>
        </c:extLst>
      </c:areaChart>
      <c:catAx>
        <c:axId val="1712047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2048367"/>
        <c:crosses val="autoZero"/>
        <c:auto val="1"/>
        <c:lblAlgn val="ctr"/>
        <c:lblOffset val="100"/>
        <c:noMultiLvlLbl val="0"/>
      </c:catAx>
      <c:valAx>
        <c:axId val="1712048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712047407"/>
        <c:crosses val="autoZero"/>
        <c:crossBetween val="midCat"/>
      </c:valAx>
      <c:spPr>
        <a:solidFill>
          <a:srgbClr val="1F2D40"/>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2A3F54"/>
    </a:solidFill>
    <a:ln w="9525" cap="flat" cmpd="sng" algn="ctr">
      <a:solidFill>
        <a:srgbClr val="2A3F54"/>
      </a:solidFill>
      <a:round/>
    </a:ln>
    <a:effectLst>
      <a:softEdge rad="50800"/>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[Fashion_Apparel_Dataset.xlsx]Pivot_Data!PivotTable1</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0" i="0" u="none" strike="noStrike" kern="1200" spc="0" baseline="0">
                <a:solidFill>
                  <a:sysClr val="windowText" lastClr="000000"/>
                </a:solidFill>
                <a:latin typeface="+mn-lt"/>
                <a:ea typeface="+mn-ea"/>
                <a:cs typeface="+mn-cs"/>
              </a:defRPr>
            </a:pPr>
            <a:r>
              <a:rPr lang="en-IN" sz="1600" b="0" i="0" u="none" strike="noStrike" kern="1200" spc="0" baseline="0">
                <a:solidFill>
                  <a:schemeClr val="bg1"/>
                </a:solidFill>
              </a:rPr>
              <a:t>Revenue by Category</a:t>
            </a:r>
            <a:endParaRPr lang="en-US" sz="1600" b="0" i="0" u="none" strike="noStrike" kern="1200" spc="0" baseline="0">
              <a:solidFill>
                <a:schemeClr val="bg1"/>
              </a:solidFill>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pivotFmt>
      <c:pivotFmt>
        <c:idx val="22"/>
        <c:spPr>
          <a:solidFill>
            <a:schemeClr val="accent1"/>
          </a:solidFill>
          <a:ln w="19050">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w="19050">
            <a:noFill/>
          </a:ln>
          <a:effectLst/>
        </c:spPr>
      </c:pivotFmt>
      <c:pivotFmt>
        <c:idx val="24"/>
        <c:spPr>
          <a:solidFill>
            <a:schemeClr val="accent1"/>
          </a:solidFill>
          <a:ln w="19050">
            <a:noFill/>
          </a:ln>
          <a:effectLst/>
        </c:spPr>
      </c:pivotFmt>
      <c:pivotFmt>
        <c:idx val="25"/>
        <c:spPr>
          <a:solidFill>
            <a:schemeClr val="accent1"/>
          </a:solidFill>
          <a:ln w="19050">
            <a:noFill/>
          </a:ln>
          <a:effectLst/>
        </c:spPr>
      </c:pivotFmt>
      <c:pivotFmt>
        <c:idx val="26"/>
        <c:spPr>
          <a:solidFill>
            <a:schemeClr val="accent1"/>
          </a:solidFill>
          <a:ln w="19050">
            <a:noFill/>
          </a:ln>
          <a:effectLst/>
        </c:spPr>
      </c:pivotFmt>
      <c:pivotFmt>
        <c:idx val="27"/>
        <c:spPr>
          <a:solidFill>
            <a:schemeClr val="accent1"/>
          </a:solidFill>
          <a:ln w="19050">
            <a:noFill/>
          </a:ln>
          <a:effectLst/>
        </c:spPr>
      </c:pivotFmt>
      <c:pivotFmt>
        <c:idx val="28"/>
        <c:spPr>
          <a:solidFill>
            <a:schemeClr val="accent1"/>
          </a:solidFill>
          <a:ln w="19050">
            <a:noFill/>
          </a:ln>
          <a:effectLst/>
        </c:spPr>
      </c:pivotFmt>
      <c:pivotFmt>
        <c:idx val="29"/>
        <c:spPr>
          <a:ln>
            <a:noFill/>
          </a:ln>
        </c:spPr>
        <c:marker>
          <c:symbol val="none"/>
        </c:marker>
        <c:dLbl>
          <c:idx val="0"/>
          <c:delete val="1"/>
          <c:extLst>
            <c:ext xmlns:c15="http://schemas.microsoft.com/office/drawing/2012/chart" uri="{CE6537A1-D6FC-4f65-9D91-7224C49458BB}"/>
          </c:extLst>
        </c:dLbl>
      </c:pivotFmt>
      <c:pivotFmt>
        <c:idx val="30"/>
        <c:spPr>
          <a:solidFill>
            <a:schemeClr val="accent1"/>
          </a:solidFill>
          <a:ln w="19050">
            <a:noFill/>
          </a:ln>
          <a:effectLst/>
        </c:spPr>
      </c:pivotFmt>
      <c:pivotFmt>
        <c:idx val="31"/>
        <c:spPr>
          <a:solidFill>
            <a:schemeClr val="accent2"/>
          </a:solidFill>
          <a:ln w="19050">
            <a:noFill/>
          </a:ln>
          <a:effectLst/>
        </c:spPr>
      </c:pivotFmt>
      <c:pivotFmt>
        <c:idx val="32"/>
        <c:spPr>
          <a:solidFill>
            <a:schemeClr val="accent3"/>
          </a:solidFill>
          <a:ln w="19050">
            <a:noFill/>
          </a:ln>
          <a:effectLst/>
        </c:spPr>
      </c:pivotFmt>
      <c:pivotFmt>
        <c:idx val="33"/>
        <c:spPr>
          <a:solidFill>
            <a:schemeClr val="accent4"/>
          </a:solidFill>
          <a:ln w="19050">
            <a:noFill/>
          </a:ln>
          <a:effectLst/>
        </c:spPr>
      </c:pivotFmt>
      <c:pivotFmt>
        <c:idx val="34"/>
        <c:spPr>
          <a:solidFill>
            <a:schemeClr val="accent5"/>
          </a:solidFill>
          <a:ln w="19050">
            <a:noFill/>
          </a:ln>
          <a:effectLst/>
        </c:spPr>
      </c:pivotFmt>
      <c:pivotFmt>
        <c:idx val="35"/>
        <c:spPr>
          <a:solidFill>
            <a:schemeClr val="accent6"/>
          </a:solidFill>
          <a:ln w="19050">
            <a:noFill/>
          </a:ln>
          <a:effectLst/>
        </c:spPr>
      </c:pivotFmt>
      <c:pivotFmt>
        <c:idx val="36"/>
        <c:spPr>
          <a:ln>
            <a:noFill/>
          </a:ln>
        </c:spPr>
        <c:marker>
          <c:symbol val="none"/>
        </c:marker>
        <c:dLbl>
          <c:idx val="0"/>
          <c:delete val="1"/>
          <c:extLst>
            <c:ext xmlns:c15="http://schemas.microsoft.com/office/drawing/2012/chart" uri="{CE6537A1-D6FC-4f65-9D91-7224C49458BB}"/>
          </c:extLst>
        </c:dLbl>
      </c:pivotFmt>
      <c:pivotFmt>
        <c:idx val="37"/>
        <c:spPr>
          <a:solidFill>
            <a:schemeClr val="accent1"/>
          </a:solidFill>
          <a:ln w="19050">
            <a:noFill/>
          </a:ln>
          <a:effectLst/>
        </c:spPr>
      </c:pivotFmt>
      <c:pivotFmt>
        <c:idx val="38"/>
        <c:spPr>
          <a:solidFill>
            <a:schemeClr val="accent2"/>
          </a:solidFill>
          <a:ln w="19050">
            <a:noFill/>
          </a:ln>
          <a:effectLst/>
        </c:spPr>
      </c:pivotFmt>
      <c:pivotFmt>
        <c:idx val="39"/>
        <c:spPr>
          <a:solidFill>
            <a:schemeClr val="accent3"/>
          </a:solidFill>
          <a:ln w="19050">
            <a:noFill/>
          </a:ln>
          <a:effectLst/>
        </c:spPr>
      </c:pivotFmt>
      <c:pivotFmt>
        <c:idx val="40"/>
        <c:spPr>
          <a:solidFill>
            <a:schemeClr val="accent4"/>
          </a:solidFill>
          <a:ln w="19050">
            <a:noFill/>
          </a:ln>
          <a:effectLst/>
        </c:spPr>
      </c:pivotFmt>
      <c:pivotFmt>
        <c:idx val="41"/>
        <c:spPr>
          <a:solidFill>
            <a:schemeClr val="accent5"/>
          </a:solidFill>
          <a:ln w="19050">
            <a:noFill/>
          </a:ln>
          <a:effectLst/>
        </c:spPr>
      </c:pivotFmt>
      <c:pivotFmt>
        <c:idx val="42"/>
        <c:spPr>
          <a:solidFill>
            <a:schemeClr val="accent6"/>
          </a:solidFill>
          <a:ln w="19050">
            <a:noFill/>
          </a:ln>
          <a:effectLst/>
        </c:spPr>
      </c:pivotFmt>
      <c:pivotFmt>
        <c:idx val="43"/>
        <c:spPr>
          <a:ln>
            <a:noFill/>
          </a:ln>
        </c:spPr>
        <c:marker>
          <c:symbol val="none"/>
        </c:marker>
        <c:dLbl>
          <c:idx val="0"/>
          <c:delete val="1"/>
          <c:extLst>
            <c:ext xmlns:c15="http://schemas.microsoft.com/office/drawing/2012/chart" uri="{CE6537A1-D6FC-4f65-9D91-7224C49458BB}"/>
          </c:extLst>
        </c:dLbl>
      </c:pivotFmt>
      <c:pivotFmt>
        <c:idx val="44"/>
        <c:spPr>
          <a:solidFill>
            <a:schemeClr val="accent1"/>
          </a:solidFill>
          <a:ln w="19050">
            <a:noFill/>
          </a:ln>
          <a:effectLst/>
        </c:spPr>
      </c:pivotFmt>
      <c:pivotFmt>
        <c:idx val="45"/>
        <c:spPr>
          <a:solidFill>
            <a:schemeClr val="accent2"/>
          </a:solidFill>
          <a:ln w="19050">
            <a:noFill/>
          </a:ln>
          <a:effectLst/>
        </c:spPr>
      </c:pivotFmt>
      <c:pivotFmt>
        <c:idx val="46"/>
        <c:spPr>
          <a:solidFill>
            <a:schemeClr val="accent3"/>
          </a:solidFill>
          <a:ln w="19050">
            <a:noFill/>
          </a:ln>
          <a:effectLst/>
        </c:spPr>
      </c:pivotFmt>
      <c:pivotFmt>
        <c:idx val="47"/>
        <c:spPr>
          <a:solidFill>
            <a:schemeClr val="accent4"/>
          </a:solidFill>
          <a:ln w="19050">
            <a:noFill/>
          </a:ln>
          <a:effectLst/>
        </c:spPr>
      </c:pivotFmt>
      <c:pivotFmt>
        <c:idx val="48"/>
        <c:spPr>
          <a:solidFill>
            <a:schemeClr val="accent5"/>
          </a:solidFill>
          <a:ln w="19050">
            <a:noFill/>
          </a:ln>
          <a:effectLst/>
        </c:spPr>
      </c:pivotFmt>
      <c:pivotFmt>
        <c:idx val="49"/>
        <c:spPr>
          <a:solidFill>
            <a:schemeClr val="accent6"/>
          </a:solidFill>
          <a:ln w="19050">
            <a:noFill/>
          </a:ln>
          <a:effectLst/>
        </c:spPr>
      </c:pivotFmt>
      <c:pivotFmt>
        <c:idx val="50"/>
        <c:spPr>
          <a:ln>
            <a:noFill/>
          </a:ln>
        </c:spPr>
        <c:marker>
          <c:symbol val="none"/>
        </c:marker>
        <c:dLbl>
          <c:idx val="0"/>
          <c:delete val="1"/>
          <c:extLst>
            <c:ext xmlns:c15="http://schemas.microsoft.com/office/drawing/2012/chart" uri="{CE6537A1-D6FC-4f65-9D91-7224C49458BB}"/>
          </c:extLst>
        </c:dLbl>
      </c:pivotFmt>
      <c:pivotFmt>
        <c:idx val="51"/>
        <c:spPr>
          <a:solidFill>
            <a:schemeClr val="accent1"/>
          </a:solidFill>
          <a:ln w="19050">
            <a:noFill/>
          </a:ln>
          <a:effectLst/>
        </c:spPr>
      </c:pivotFmt>
      <c:pivotFmt>
        <c:idx val="52"/>
        <c:spPr>
          <a:solidFill>
            <a:schemeClr val="accent2"/>
          </a:solidFill>
          <a:ln w="19050">
            <a:noFill/>
          </a:ln>
          <a:effectLst/>
        </c:spPr>
      </c:pivotFmt>
      <c:pivotFmt>
        <c:idx val="53"/>
        <c:spPr>
          <a:solidFill>
            <a:schemeClr val="accent3"/>
          </a:solidFill>
          <a:ln w="19050">
            <a:noFill/>
          </a:ln>
          <a:effectLst/>
        </c:spPr>
      </c:pivotFmt>
      <c:pivotFmt>
        <c:idx val="54"/>
        <c:spPr>
          <a:solidFill>
            <a:schemeClr val="accent4"/>
          </a:solidFill>
          <a:ln w="19050">
            <a:noFill/>
          </a:ln>
          <a:effectLst/>
        </c:spPr>
      </c:pivotFmt>
      <c:pivotFmt>
        <c:idx val="55"/>
        <c:spPr>
          <a:solidFill>
            <a:schemeClr val="accent5"/>
          </a:solidFill>
          <a:ln w="19050">
            <a:noFill/>
          </a:ln>
          <a:effectLst/>
        </c:spPr>
      </c:pivotFmt>
      <c:pivotFmt>
        <c:idx val="56"/>
        <c:spPr>
          <a:solidFill>
            <a:schemeClr val="accent6"/>
          </a:solidFill>
          <a:ln w="19050">
            <a:noFill/>
          </a:ln>
          <a:effectLst/>
        </c:spPr>
      </c:pivotFmt>
      <c:pivotFmt>
        <c:idx val="57"/>
        <c:spPr>
          <a:ln>
            <a:noFill/>
          </a:ln>
        </c:spPr>
        <c:marker>
          <c:symbol val="none"/>
        </c:marker>
        <c:dLbl>
          <c:idx val="0"/>
          <c:delete val="1"/>
          <c:extLst>
            <c:ext xmlns:c15="http://schemas.microsoft.com/office/drawing/2012/chart" uri="{CE6537A1-D6FC-4f65-9D91-7224C49458BB}"/>
          </c:extLst>
        </c:dLbl>
      </c:pivotFmt>
      <c:pivotFmt>
        <c:idx val="58"/>
        <c:spPr>
          <a:solidFill>
            <a:schemeClr val="accent1"/>
          </a:solidFill>
          <a:ln w="19050">
            <a:noFill/>
          </a:ln>
          <a:effectLst/>
        </c:spPr>
      </c:pivotFmt>
      <c:pivotFmt>
        <c:idx val="59"/>
        <c:spPr>
          <a:solidFill>
            <a:schemeClr val="accent2"/>
          </a:solidFill>
          <a:ln w="19050">
            <a:noFill/>
          </a:ln>
          <a:effectLst/>
        </c:spPr>
      </c:pivotFmt>
      <c:pivotFmt>
        <c:idx val="60"/>
        <c:spPr>
          <a:solidFill>
            <a:schemeClr val="accent3"/>
          </a:solidFill>
          <a:ln w="19050">
            <a:noFill/>
          </a:ln>
          <a:effectLst/>
        </c:spPr>
      </c:pivotFmt>
      <c:pivotFmt>
        <c:idx val="61"/>
        <c:spPr>
          <a:solidFill>
            <a:schemeClr val="accent4"/>
          </a:solidFill>
          <a:ln w="19050">
            <a:noFill/>
          </a:ln>
          <a:effectLst/>
        </c:spPr>
      </c:pivotFmt>
      <c:pivotFmt>
        <c:idx val="62"/>
        <c:spPr>
          <a:solidFill>
            <a:schemeClr val="accent5"/>
          </a:solidFill>
          <a:ln w="19050">
            <a:noFill/>
          </a:ln>
          <a:effectLst/>
        </c:spPr>
      </c:pivotFmt>
      <c:pivotFmt>
        <c:idx val="63"/>
        <c:spPr>
          <a:solidFill>
            <a:schemeClr val="accent6"/>
          </a:solidFill>
          <a:ln w="19050">
            <a:noFill/>
          </a:ln>
          <a:effectLst/>
        </c:spPr>
      </c:pivotFmt>
      <c:pivotFmt>
        <c:idx val="64"/>
        <c:spPr>
          <a:ln>
            <a:noFill/>
          </a:ln>
        </c:spPr>
        <c:marker>
          <c:symbol val="none"/>
        </c:marker>
        <c:dLbl>
          <c:idx val="0"/>
          <c:delete val="1"/>
          <c:extLst>
            <c:ext xmlns:c15="http://schemas.microsoft.com/office/drawing/2012/chart" uri="{CE6537A1-D6FC-4f65-9D91-7224C49458BB}"/>
          </c:extLst>
        </c:dLbl>
      </c:pivotFmt>
      <c:pivotFmt>
        <c:idx val="65"/>
        <c:spPr>
          <a:solidFill>
            <a:schemeClr val="accent1"/>
          </a:solidFill>
          <a:ln w="19050">
            <a:noFill/>
          </a:ln>
          <a:effectLst/>
        </c:spPr>
      </c:pivotFmt>
      <c:pivotFmt>
        <c:idx val="66"/>
        <c:spPr>
          <a:solidFill>
            <a:schemeClr val="accent2"/>
          </a:solidFill>
          <a:ln w="19050">
            <a:noFill/>
          </a:ln>
          <a:effectLst/>
        </c:spPr>
      </c:pivotFmt>
      <c:pivotFmt>
        <c:idx val="67"/>
        <c:spPr>
          <a:solidFill>
            <a:schemeClr val="accent3"/>
          </a:solidFill>
          <a:ln w="19050">
            <a:noFill/>
          </a:ln>
          <a:effectLst/>
        </c:spPr>
      </c:pivotFmt>
      <c:pivotFmt>
        <c:idx val="68"/>
        <c:spPr>
          <a:solidFill>
            <a:schemeClr val="accent4"/>
          </a:solidFill>
          <a:ln w="19050">
            <a:noFill/>
          </a:ln>
          <a:effectLst/>
        </c:spPr>
      </c:pivotFmt>
      <c:pivotFmt>
        <c:idx val="69"/>
        <c:spPr>
          <a:solidFill>
            <a:schemeClr val="accent5"/>
          </a:solidFill>
          <a:ln w="19050">
            <a:noFill/>
          </a:ln>
          <a:effectLst/>
        </c:spPr>
      </c:pivotFmt>
      <c:pivotFmt>
        <c:idx val="70"/>
        <c:spPr>
          <a:solidFill>
            <a:schemeClr val="accent6"/>
          </a:solidFill>
          <a:ln w="19050">
            <a:noFill/>
          </a:ln>
          <a:effectLst/>
        </c:spPr>
      </c:pivotFmt>
      <c:pivotFmt>
        <c:idx val="71"/>
        <c:spPr>
          <a:ln>
            <a:noFill/>
          </a:ln>
        </c:spPr>
        <c:marker>
          <c:symbol val="none"/>
        </c:marker>
        <c:dLbl>
          <c:idx val="0"/>
          <c:delete val="1"/>
          <c:extLst>
            <c:ext xmlns:c15="http://schemas.microsoft.com/office/drawing/2012/chart" uri="{CE6537A1-D6FC-4f65-9D91-7224C49458BB}"/>
          </c:extLst>
        </c:dLbl>
      </c:pivotFmt>
      <c:pivotFmt>
        <c:idx val="72"/>
        <c:spPr>
          <a:solidFill>
            <a:schemeClr val="accent1"/>
          </a:solidFill>
          <a:ln w="19050">
            <a:noFill/>
          </a:ln>
          <a:effectLst/>
        </c:spPr>
      </c:pivotFmt>
      <c:pivotFmt>
        <c:idx val="73"/>
        <c:spPr>
          <a:solidFill>
            <a:schemeClr val="accent2"/>
          </a:solidFill>
          <a:ln w="19050">
            <a:noFill/>
          </a:ln>
          <a:effectLst/>
        </c:spPr>
      </c:pivotFmt>
      <c:pivotFmt>
        <c:idx val="74"/>
        <c:spPr>
          <a:solidFill>
            <a:schemeClr val="accent3"/>
          </a:solidFill>
          <a:ln w="19050">
            <a:noFill/>
          </a:ln>
          <a:effectLst/>
        </c:spPr>
      </c:pivotFmt>
      <c:pivotFmt>
        <c:idx val="75"/>
        <c:spPr>
          <a:solidFill>
            <a:schemeClr val="accent4"/>
          </a:solidFill>
          <a:ln w="19050">
            <a:noFill/>
          </a:ln>
          <a:effectLst/>
        </c:spPr>
      </c:pivotFmt>
      <c:pivotFmt>
        <c:idx val="76"/>
        <c:spPr>
          <a:solidFill>
            <a:schemeClr val="accent5"/>
          </a:solidFill>
          <a:ln w="19050">
            <a:noFill/>
          </a:ln>
          <a:effectLst/>
        </c:spPr>
      </c:pivotFmt>
      <c:pivotFmt>
        <c:idx val="77"/>
        <c:spPr>
          <a:solidFill>
            <a:schemeClr val="accent6"/>
          </a:solidFill>
          <a:ln w="19050">
            <a:noFill/>
          </a:ln>
          <a:effectLst/>
        </c:spPr>
      </c:pivotFmt>
      <c:pivotFmt>
        <c:idx val="78"/>
        <c:spPr>
          <a:ln>
            <a:noFill/>
          </a:ln>
        </c:spPr>
        <c:marker>
          <c:symbol val="none"/>
        </c:marker>
        <c:dLbl>
          <c:idx val="0"/>
          <c:delete val="1"/>
          <c:extLst>
            <c:ext xmlns:c15="http://schemas.microsoft.com/office/drawing/2012/chart" uri="{CE6537A1-D6FC-4f65-9D91-7224C49458BB}"/>
          </c:extLst>
        </c:dLbl>
      </c:pivotFmt>
      <c:pivotFmt>
        <c:idx val="79"/>
        <c:spPr>
          <a:solidFill>
            <a:schemeClr val="accent1"/>
          </a:solidFill>
          <a:ln w="19050">
            <a:noFill/>
          </a:ln>
          <a:effectLst/>
        </c:spPr>
      </c:pivotFmt>
      <c:pivotFmt>
        <c:idx val="80"/>
        <c:spPr>
          <a:solidFill>
            <a:schemeClr val="accent2"/>
          </a:solidFill>
          <a:ln w="19050">
            <a:noFill/>
          </a:ln>
          <a:effectLst/>
        </c:spPr>
      </c:pivotFmt>
      <c:pivotFmt>
        <c:idx val="81"/>
        <c:spPr>
          <a:solidFill>
            <a:schemeClr val="accent3"/>
          </a:solidFill>
          <a:ln w="19050">
            <a:noFill/>
          </a:ln>
          <a:effectLst/>
        </c:spPr>
      </c:pivotFmt>
      <c:pivotFmt>
        <c:idx val="82"/>
        <c:spPr>
          <a:solidFill>
            <a:schemeClr val="accent4"/>
          </a:solidFill>
          <a:ln w="19050">
            <a:noFill/>
          </a:ln>
          <a:effectLst/>
        </c:spPr>
      </c:pivotFmt>
      <c:pivotFmt>
        <c:idx val="83"/>
        <c:spPr>
          <a:solidFill>
            <a:schemeClr val="accent5"/>
          </a:solidFill>
          <a:ln w="19050">
            <a:noFill/>
          </a:ln>
          <a:effectLst/>
        </c:spPr>
      </c:pivotFmt>
      <c:pivotFmt>
        <c:idx val="84"/>
        <c:spPr>
          <a:solidFill>
            <a:schemeClr val="accent6"/>
          </a:solidFill>
          <a:ln w="19050">
            <a:noFill/>
          </a:ln>
          <a:effectLst/>
        </c:spPr>
      </c:pivotFmt>
      <c:pivotFmt>
        <c:idx val="85"/>
        <c:spPr>
          <a:ln>
            <a:noFill/>
          </a:ln>
        </c:spPr>
        <c:marker>
          <c:symbol val="none"/>
        </c:marker>
        <c:dLbl>
          <c:idx val="0"/>
          <c:delete val="1"/>
          <c:extLst>
            <c:ext xmlns:c15="http://schemas.microsoft.com/office/drawing/2012/chart" uri="{CE6537A1-D6FC-4f65-9D91-7224C49458BB}"/>
          </c:extLst>
        </c:dLbl>
      </c:pivotFmt>
      <c:pivotFmt>
        <c:idx val="86"/>
        <c:spPr>
          <a:solidFill>
            <a:schemeClr val="accent1"/>
          </a:solidFill>
          <a:ln w="19050">
            <a:noFill/>
          </a:ln>
          <a:effectLst/>
        </c:spPr>
      </c:pivotFmt>
      <c:pivotFmt>
        <c:idx val="87"/>
        <c:spPr>
          <a:solidFill>
            <a:schemeClr val="accent2"/>
          </a:solidFill>
          <a:ln w="19050">
            <a:noFill/>
          </a:ln>
          <a:effectLst/>
        </c:spPr>
      </c:pivotFmt>
      <c:pivotFmt>
        <c:idx val="88"/>
        <c:spPr>
          <a:solidFill>
            <a:schemeClr val="accent3"/>
          </a:solidFill>
          <a:ln w="19050">
            <a:noFill/>
          </a:ln>
          <a:effectLst/>
        </c:spPr>
      </c:pivotFmt>
      <c:pivotFmt>
        <c:idx val="89"/>
        <c:spPr>
          <a:solidFill>
            <a:schemeClr val="accent4"/>
          </a:solidFill>
          <a:ln w="19050">
            <a:noFill/>
          </a:ln>
          <a:effectLst/>
        </c:spPr>
      </c:pivotFmt>
      <c:pivotFmt>
        <c:idx val="90"/>
        <c:spPr>
          <a:solidFill>
            <a:schemeClr val="accent5"/>
          </a:solidFill>
          <a:ln w="19050">
            <a:noFill/>
          </a:ln>
          <a:effectLst/>
        </c:spPr>
      </c:pivotFmt>
      <c:pivotFmt>
        <c:idx val="91"/>
        <c:spPr>
          <a:solidFill>
            <a:schemeClr val="accent6"/>
          </a:solidFill>
          <a:ln w="19050">
            <a:noFill/>
          </a:ln>
          <a:effectLst/>
        </c:spPr>
      </c:pivotFmt>
      <c:pivotFmt>
        <c:idx val="92"/>
        <c:spPr>
          <a:ln>
            <a:noFill/>
          </a:ln>
        </c:spPr>
        <c:marker>
          <c:symbol val="none"/>
        </c:marker>
        <c:dLbl>
          <c:idx val="0"/>
          <c:delete val="1"/>
          <c:extLst>
            <c:ext xmlns:c15="http://schemas.microsoft.com/office/drawing/2012/chart" uri="{CE6537A1-D6FC-4f65-9D91-7224C49458BB}"/>
          </c:extLst>
        </c:dLbl>
      </c:pivotFmt>
      <c:pivotFmt>
        <c:idx val="93"/>
        <c:spPr>
          <a:solidFill>
            <a:schemeClr val="accent1"/>
          </a:solidFill>
          <a:ln w="19050">
            <a:noFill/>
          </a:ln>
          <a:effectLst/>
        </c:spPr>
      </c:pivotFmt>
      <c:pivotFmt>
        <c:idx val="94"/>
        <c:spPr>
          <a:solidFill>
            <a:schemeClr val="accent2"/>
          </a:solidFill>
          <a:ln w="19050">
            <a:noFill/>
          </a:ln>
          <a:effectLst/>
        </c:spPr>
      </c:pivotFmt>
      <c:pivotFmt>
        <c:idx val="95"/>
        <c:spPr>
          <a:solidFill>
            <a:schemeClr val="accent3"/>
          </a:solidFill>
          <a:ln w="19050">
            <a:noFill/>
          </a:ln>
          <a:effectLst/>
        </c:spPr>
      </c:pivotFmt>
      <c:pivotFmt>
        <c:idx val="96"/>
        <c:spPr>
          <a:solidFill>
            <a:schemeClr val="accent4"/>
          </a:solidFill>
          <a:ln w="19050">
            <a:noFill/>
          </a:ln>
          <a:effectLst/>
        </c:spPr>
      </c:pivotFmt>
      <c:pivotFmt>
        <c:idx val="97"/>
        <c:spPr>
          <a:solidFill>
            <a:schemeClr val="accent5"/>
          </a:solidFill>
          <a:ln w="19050">
            <a:noFill/>
          </a:ln>
          <a:effectLst/>
        </c:spPr>
      </c:pivotFmt>
      <c:pivotFmt>
        <c:idx val="98"/>
        <c:spPr>
          <a:solidFill>
            <a:schemeClr val="accent6"/>
          </a:solidFill>
          <a:ln w="19050">
            <a:noFill/>
          </a:ln>
          <a:effectLst/>
        </c:spPr>
      </c:pivotFmt>
      <c:pivotFmt>
        <c:idx val="99"/>
        <c:spPr>
          <a:ln>
            <a:noFill/>
          </a:ln>
        </c:spPr>
        <c:marker>
          <c:symbol val="none"/>
        </c:marker>
        <c:dLbl>
          <c:idx val="0"/>
          <c:delete val="1"/>
          <c:extLst>
            <c:ext xmlns:c15="http://schemas.microsoft.com/office/drawing/2012/chart" uri="{CE6537A1-D6FC-4f65-9D91-7224C49458BB}"/>
          </c:extLst>
        </c:dLbl>
      </c:pivotFmt>
      <c:pivotFmt>
        <c:idx val="100"/>
        <c:spPr>
          <a:solidFill>
            <a:schemeClr val="accent1"/>
          </a:solidFill>
          <a:ln w="19050">
            <a:noFill/>
          </a:ln>
          <a:effectLst/>
        </c:spPr>
      </c:pivotFmt>
      <c:pivotFmt>
        <c:idx val="101"/>
        <c:spPr>
          <a:solidFill>
            <a:schemeClr val="accent2"/>
          </a:solidFill>
          <a:ln w="19050">
            <a:noFill/>
          </a:ln>
          <a:effectLst/>
        </c:spPr>
      </c:pivotFmt>
      <c:pivotFmt>
        <c:idx val="102"/>
        <c:spPr>
          <a:solidFill>
            <a:schemeClr val="accent3"/>
          </a:solidFill>
          <a:ln w="19050">
            <a:noFill/>
          </a:ln>
          <a:effectLst/>
        </c:spPr>
      </c:pivotFmt>
      <c:pivotFmt>
        <c:idx val="103"/>
        <c:spPr>
          <a:solidFill>
            <a:schemeClr val="accent4"/>
          </a:solidFill>
          <a:ln w="19050">
            <a:noFill/>
          </a:ln>
          <a:effectLst/>
        </c:spPr>
      </c:pivotFmt>
      <c:pivotFmt>
        <c:idx val="104"/>
        <c:spPr>
          <a:solidFill>
            <a:schemeClr val="accent5"/>
          </a:solidFill>
          <a:ln w="19050">
            <a:noFill/>
          </a:ln>
          <a:effectLst/>
        </c:spPr>
      </c:pivotFmt>
      <c:pivotFmt>
        <c:idx val="105"/>
        <c:spPr>
          <a:solidFill>
            <a:schemeClr val="accent6"/>
          </a:solidFill>
          <a:ln w="19050">
            <a:noFill/>
          </a:ln>
          <a:effectLst/>
        </c:spPr>
      </c:pivotFmt>
      <c:pivotFmt>
        <c:idx val="106"/>
        <c:spPr>
          <a:ln>
            <a:noFill/>
          </a:ln>
        </c:spPr>
        <c:marker>
          <c:symbol val="none"/>
        </c:marker>
        <c:dLbl>
          <c:idx val="0"/>
          <c:delete val="1"/>
          <c:extLst>
            <c:ext xmlns:c15="http://schemas.microsoft.com/office/drawing/2012/chart" uri="{CE6537A1-D6FC-4f65-9D91-7224C49458BB}"/>
          </c:extLst>
        </c:dLbl>
      </c:pivotFmt>
      <c:pivotFmt>
        <c:idx val="107"/>
        <c:spPr>
          <a:solidFill>
            <a:schemeClr val="accent1"/>
          </a:solidFill>
          <a:ln w="19050">
            <a:noFill/>
          </a:ln>
          <a:effectLst/>
        </c:spPr>
      </c:pivotFmt>
      <c:pivotFmt>
        <c:idx val="108"/>
        <c:spPr>
          <a:solidFill>
            <a:schemeClr val="accent2"/>
          </a:solidFill>
          <a:ln w="19050">
            <a:noFill/>
          </a:ln>
          <a:effectLst/>
        </c:spPr>
      </c:pivotFmt>
      <c:pivotFmt>
        <c:idx val="109"/>
        <c:spPr>
          <a:solidFill>
            <a:schemeClr val="accent3"/>
          </a:solidFill>
          <a:ln w="19050">
            <a:noFill/>
          </a:ln>
          <a:effectLst/>
        </c:spPr>
      </c:pivotFmt>
      <c:pivotFmt>
        <c:idx val="110"/>
        <c:spPr>
          <a:solidFill>
            <a:schemeClr val="accent4"/>
          </a:solidFill>
          <a:ln w="19050">
            <a:noFill/>
          </a:ln>
          <a:effectLst/>
        </c:spPr>
      </c:pivotFmt>
      <c:pivotFmt>
        <c:idx val="111"/>
        <c:spPr>
          <a:solidFill>
            <a:schemeClr val="accent5"/>
          </a:solidFill>
          <a:ln w="19050">
            <a:noFill/>
          </a:ln>
          <a:effectLst/>
        </c:spPr>
      </c:pivotFmt>
      <c:pivotFmt>
        <c:idx val="112"/>
        <c:spPr>
          <a:solidFill>
            <a:schemeClr val="accent6"/>
          </a:solidFill>
          <a:ln w="19050">
            <a:noFill/>
          </a:ln>
          <a:effectLst/>
        </c:spPr>
      </c:pivotFmt>
      <c:pivotFmt>
        <c:idx val="113"/>
        <c:spPr>
          <a:ln>
            <a:noFill/>
          </a:ln>
        </c:spPr>
        <c:marker>
          <c:symbol val="none"/>
        </c:marker>
        <c:dLbl>
          <c:idx val="0"/>
          <c:spPr>
            <a:noFill/>
            <a:ln>
              <a:noFill/>
            </a:ln>
            <a:effectLst/>
          </c:spPr>
          <c:txPr>
            <a:bodyPr wrap="square" lIns="38100" tIns="19050" rIns="38100" bIns="19050" anchor="ctr">
              <a:spAutoFit/>
            </a:bodyPr>
            <a:lstStyle/>
            <a:p>
              <a:pPr>
                <a:defRPr sz="800">
                  <a:solidFill>
                    <a:schemeClr val="bg1">
                      <a:lumMod val="95000"/>
                    </a:schemeClr>
                  </a:solidFill>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14"/>
        <c:spPr>
          <a:solidFill>
            <a:schemeClr val="accent1"/>
          </a:solidFill>
          <a:ln w="19050">
            <a:noFill/>
          </a:ln>
          <a:effectLst/>
        </c:spPr>
        <c:dLbl>
          <c:idx val="0"/>
          <c:layout>
            <c:manualLayout>
              <c:x val="9.8208306149869584E-2"/>
              <c:y val="-5.7863300981967299E-2"/>
            </c:manualLayout>
          </c:layout>
          <c:spPr>
            <a:noFill/>
            <a:ln>
              <a:noFill/>
            </a:ln>
            <a:effectLst/>
          </c:spPr>
          <c:txPr>
            <a:bodyPr wrap="square" lIns="38100" tIns="19050" rIns="38100" bIns="19050" anchor="ctr">
              <a:spAutoFit/>
            </a:bodyPr>
            <a:lstStyle/>
            <a:p>
              <a:pPr>
                <a:defRPr sz="800">
                  <a:solidFill>
                    <a:schemeClr val="bg1">
                      <a:lumMod val="95000"/>
                    </a:schemeClr>
                  </a:solidFill>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15"/>
        <c:spPr>
          <a:solidFill>
            <a:schemeClr val="accent2"/>
          </a:solidFill>
          <a:ln w="19050">
            <a:noFill/>
          </a:ln>
          <a:effectLst/>
        </c:spPr>
        <c:dLbl>
          <c:idx val="0"/>
          <c:layout>
            <c:manualLayout>
              <c:x val="9.3599889004927495E-2"/>
              <c:y val="0.10338215275445617"/>
            </c:manualLayout>
          </c:layout>
          <c:spPr>
            <a:noFill/>
            <a:ln>
              <a:noFill/>
            </a:ln>
            <a:effectLst/>
          </c:spPr>
          <c:txPr>
            <a:bodyPr wrap="square" lIns="38100" tIns="19050" rIns="38100" bIns="19050" anchor="ctr">
              <a:spAutoFit/>
            </a:bodyPr>
            <a:lstStyle/>
            <a:p>
              <a:pPr>
                <a:defRPr sz="800">
                  <a:solidFill>
                    <a:schemeClr val="bg1">
                      <a:lumMod val="95000"/>
                    </a:schemeClr>
                  </a:solidFill>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16"/>
        <c:spPr>
          <a:solidFill>
            <a:schemeClr val="accent3"/>
          </a:solidFill>
          <a:ln w="19050">
            <a:noFill/>
          </a:ln>
          <a:effectLst/>
        </c:spPr>
        <c:dLbl>
          <c:idx val="0"/>
          <c:layout>
            <c:manualLayout>
              <c:x val="-0.11309866597006596"/>
              <c:y val="0.15095118935348392"/>
            </c:manualLayout>
          </c:layout>
          <c:spPr>
            <a:noFill/>
            <a:ln>
              <a:noFill/>
            </a:ln>
            <a:effectLst/>
          </c:spPr>
          <c:txPr>
            <a:bodyPr wrap="square" lIns="38100" tIns="19050" rIns="38100" bIns="19050" anchor="ctr">
              <a:spAutoFit/>
            </a:bodyPr>
            <a:lstStyle/>
            <a:p>
              <a:pPr>
                <a:defRPr sz="800">
                  <a:solidFill>
                    <a:schemeClr val="bg1">
                      <a:lumMod val="95000"/>
                    </a:schemeClr>
                  </a:solidFill>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17"/>
        <c:spPr>
          <a:solidFill>
            <a:schemeClr val="accent4"/>
          </a:solidFill>
          <a:ln w="19050">
            <a:noFill/>
          </a:ln>
          <a:effectLst/>
        </c:spPr>
        <c:dLbl>
          <c:idx val="0"/>
          <c:layout>
            <c:manualLayout>
              <c:x val="-0.12503555834345995"/>
              <c:y val="-1.4482488622209754E-2"/>
            </c:manualLayout>
          </c:layout>
          <c:spPr>
            <a:noFill/>
            <a:ln>
              <a:noFill/>
            </a:ln>
            <a:effectLst/>
          </c:spPr>
          <c:txPr>
            <a:bodyPr wrap="square" lIns="38100" tIns="19050" rIns="38100" bIns="19050" anchor="ctr">
              <a:spAutoFit/>
            </a:bodyPr>
            <a:lstStyle/>
            <a:p>
              <a:pPr>
                <a:defRPr sz="800">
                  <a:solidFill>
                    <a:schemeClr val="bg1">
                      <a:lumMod val="95000"/>
                    </a:schemeClr>
                  </a:solidFill>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18"/>
        <c:spPr>
          <a:solidFill>
            <a:schemeClr val="accent5"/>
          </a:solidFill>
          <a:ln w="19050">
            <a:noFill/>
          </a:ln>
          <a:effectLst/>
        </c:spPr>
        <c:dLbl>
          <c:idx val="0"/>
          <c:layout>
            <c:manualLayout>
              <c:x val="-0.12562626652608036"/>
              <c:y val="-7.5541861881482056E-2"/>
            </c:manualLayout>
          </c:layout>
          <c:spPr>
            <a:noFill/>
            <a:ln>
              <a:noFill/>
            </a:ln>
            <a:effectLst/>
          </c:spPr>
          <c:txPr>
            <a:bodyPr wrap="square" lIns="38100" tIns="19050" rIns="38100" bIns="19050" anchor="ctr">
              <a:spAutoFit/>
            </a:bodyPr>
            <a:lstStyle/>
            <a:p>
              <a:pPr>
                <a:defRPr sz="800">
                  <a:solidFill>
                    <a:schemeClr val="bg1">
                      <a:lumMod val="95000"/>
                    </a:schemeClr>
                  </a:solidFill>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19"/>
        <c:spPr>
          <a:solidFill>
            <a:schemeClr val="accent6"/>
          </a:solidFill>
          <a:ln w="19050">
            <a:noFill/>
          </a:ln>
          <a:effectLst/>
        </c:spPr>
        <c:dLbl>
          <c:idx val="0"/>
          <c:layout>
            <c:manualLayout>
              <c:x val="-1.6191154954536966E-2"/>
              <c:y val="-0.15108335753490429"/>
            </c:manualLayout>
          </c:layout>
          <c:spPr>
            <a:noFill/>
            <a:ln>
              <a:noFill/>
            </a:ln>
            <a:effectLst/>
          </c:spPr>
          <c:txPr>
            <a:bodyPr wrap="square" lIns="38100" tIns="19050" rIns="38100" bIns="19050" anchor="ctr">
              <a:spAutoFit/>
            </a:bodyPr>
            <a:lstStyle/>
            <a:p>
              <a:pPr>
                <a:defRPr sz="800">
                  <a:solidFill>
                    <a:schemeClr val="bg1">
                      <a:lumMod val="95000"/>
                    </a:schemeClr>
                  </a:solidFill>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20"/>
        <c:spPr>
          <a:ln>
            <a:noFill/>
          </a:ln>
        </c:spPr>
        <c:marker>
          <c:symbol val="none"/>
        </c:marker>
        <c:dLbl>
          <c:idx val="0"/>
          <c:spPr>
            <a:noFill/>
            <a:ln>
              <a:noFill/>
            </a:ln>
            <a:effectLst/>
          </c:spPr>
          <c:txPr>
            <a:bodyPr wrap="square" lIns="38100" tIns="19050" rIns="38100" bIns="19050" anchor="ctr">
              <a:spAutoFit/>
            </a:bodyPr>
            <a:lstStyle/>
            <a:p>
              <a:pPr>
                <a:defRPr sz="800">
                  <a:solidFill>
                    <a:schemeClr val="bg1">
                      <a:lumMod val="95000"/>
                    </a:schemeClr>
                  </a:solidFill>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21"/>
        <c:spPr>
          <a:solidFill>
            <a:schemeClr val="accent1"/>
          </a:solidFill>
          <a:ln w="19050">
            <a:noFill/>
          </a:ln>
          <a:effectLst/>
        </c:spPr>
        <c:dLbl>
          <c:idx val="0"/>
          <c:layout>
            <c:manualLayout>
              <c:x val="9.8208306149869584E-2"/>
              <c:y val="-5.7863300981967299E-2"/>
            </c:manualLayout>
          </c:layout>
          <c:spPr>
            <a:noFill/>
            <a:ln>
              <a:noFill/>
            </a:ln>
            <a:effectLst/>
          </c:spPr>
          <c:txPr>
            <a:bodyPr wrap="square" lIns="38100" tIns="19050" rIns="38100" bIns="19050" anchor="ctr">
              <a:spAutoFit/>
            </a:bodyPr>
            <a:lstStyle/>
            <a:p>
              <a:pPr>
                <a:defRPr sz="800">
                  <a:solidFill>
                    <a:schemeClr val="bg1">
                      <a:lumMod val="95000"/>
                    </a:schemeClr>
                  </a:solidFill>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22"/>
        <c:spPr>
          <a:solidFill>
            <a:schemeClr val="accent2"/>
          </a:solidFill>
          <a:ln w="19050">
            <a:noFill/>
          </a:ln>
          <a:effectLst/>
        </c:spPr>
        <c:dLbl>
          <c:idx val="0"/>
          <c:layout>
            <c:manualLayout>
              <c:x val="9.3599889004927495E-2"/>
              <c:y val="0.10338215275445617"/>
            </c:manualLayout>
          </c:layout>
          <c:spPr>
            <a:noFill/>
            <a:ln>
              <a:noFill/>
            </a:ln>
            <a:effectLst/>
          </c:spPr>
          <c:txPr>
            <a:bodyPr wrap="square" lIns="38100" tIns="19050" rIns="38100" bIns="19050" anchor="ctr">
              <a:spAutoFit/>
            </a:bodyPr>
            <a:lstStyle/>
            <a:p>
              <a:pPr>
                <a:defRPr sz="800">
                  <a:solidFill>
                    <a:schemeClr val="bg1">
                      <a:lumMod val="95000"/>
                    </a:schemeClr>
                  </a:solidFill>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23"/>
        <c:spPr>
          <a:solidFill>
            <a:schemeClr val="accent3"/>
          </a:solidFill>
          <a:ln w="19050">
            <a:noFill/>
          </a:ln>
          <a:effectLst/>
        </c:spPr>
        <c:dLbl>
          <c:idx val="0"/>
          <c:layout>
            <c:manualLayout>
              <c:x val="-0.11309866597006596"/>
              <c:y val="0.15095118935348392"/>
            </c:manualLayout>
          </c:layout>
          <c:spPr>
            <a:noFill/>
            <a:ln>
              <a:noFill/>
            </a:ln>
            <a:effectLst/>
          </c:spPr>
          <c:txPr>
            <a:bodyPr wrap="square" lIns="38100" tIns="19050" rIns="38100" bIns="19050" anchor="ctr">
              <a:spAutoFit/>
            </a:bodyPr>
            <a:lstStyle/>
            <a:p>
              <a:pPr>
                <a:defRPr sz="800">
                  <a:solidFill>
                    <a:schemeClr val="bg1">
                      <a:lumMod val="95000"/>
                    </a:schemeClr>
                  </a:solidFill>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24"/>
        <c:spPr>
          <a:solidFill>
            <a:schemeClr val="accent4"/>
          </a:solidFill>
          <a:ln w="19050">
            <a:noFill/>
          </a:ln>
          <a:effectLst/>
        </c:spPr>
        <c:dLbl>
          <c:idx val="0"/>
          <c:layout>
            <c:manualLayout>
              <c:x val="-0.12503555834345995"/>
              <c:y val="-1.4482488622209754E-2"/>
            </c:manualLayout>
          </c:layout>
          <c:spPr>
            <a:noFill/>
            <a:ln>
              <a:noFill/>
            </a:ln>
            <a:effectLst/>
          </c:spPr>
          <c:txPr>
            <a:bodyPr wrap="square" lIns="38100" tIns="19050" rIns="38100" bIns="19050" anchor="ctr">
              <a:spAutoFit/>
            </a:bodyPr>
            <a:lstStyle/>
            <a:p>
              <a:pPr>
                <a:defRPr sz="800">
                  <a:solidFill>
                    <a:schemeClr val="bg1">
                      <a:lumMod val="95000"/>
                    </a:schemeClr>
                  </a:solidFill>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25"/>
        <c:spPr>
          <a:solidFill>
            <a:schemeClr val="accent5"/>
          </a:solidFill>
          <a:ln w="19050">
            <a:noFill/>
          </a:ln>
          <a:effectLst/>
        </c:spPr>
        <c:dLbl>
          <c:idx val="0"/>
          <c:layout>
            <c:manualLayout>
              <c:x val="-0.12562626652608036"/>
              <c:y val="-7.5541861881482056E-2"/>
            </c:manualLayout>
          </c:layout>
          <c:spPr>
            <a:noFill/>
            <a:ln>
              <a:noFill/>
            </a:ln>
            <a:effectLst/>
          </c:spPr>
          <c:txPr>
            <a:bodyPr wrap="square" lIns="38100" tIns="19050" rIns="38100" bIns="19050" anchor="ctr">
              <a:spAutoFit/>
            </a:bodyPr>
            <a:lstStyle/>
            <a:p>
              <a:pPr>
                <a:defRPr sz="800">
                  <a:solidFill>
                    <a:schemeClr val="bg1">
                      <a:lumMod val="95000"/>
                    </a:schemeClr>
                  </a:solidFill>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26"/>
        <c:spPr>
          <a:solidFill>
            <a:schemeClr val="accent6"/>
          </a:solidFill>
          <a:ln w="19050">
            <a:noFill/>
          </a:ln>
          <a:effectLst/>
        </c:spPr>
        <c:dLbl>
          <c:idx val="0"/>
          <c:layout>
            <c:manualLayout>
              <c:x val="-1.6191154954536966E-2"/>
              <c:y val="-0.15108335753490429"/>
            </c:manualLayout>
          </c:layout>
          <c:spPr>
            <a:noFill/>
            <a:ln>
              <a:noFill/>
            </a:ln>
            <a:effectLst/>
          </c:spPr>
          <c:txPr>
            <a:bodyPr wrap="square" lIns="38100" tIns="19050" rIns="38100" bIns="19050" anchor="ctr">
              <a:spAutoFit/>
            </a:bodyPr>
            <a:lstStyle/>
            <a:p>
              <a:pPr>
                <a:defRPr sz="800">
                  <a:solidFill>
                    <a:schemeClr val="bg1">
                      <a:lumMod val="95000"/>
                    </a:schemeClr>
                  </a:solidFill>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27"/>
        <c:spPr>
          <a:ln>
            <a:noFill/>
          </a:ln>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8"/>
        <c:spPr>
          <a:solidFill>
            <a:schemeClr val="accent1"/>
          </a:solidFill>
          <a:ln w="19050">
            <a:noFill/>
          </a:ln>
          <a:effectLst/>
        </c:spPr>
      </c:pivotFmt>
      <c:pivotFmt>
        <c:idx val="129"/>
        <c:spPr>
          <a:solidFill>
            <a:schemeClr val="accent2"/>
          </a:solidFill>
          <a:ln w="19050">
            <a:noFill/>
          </a:ln>
          <a:effectLst/>
        </c:spPr>
      </c:pivotFmt>
      <c:pivotFmt>
        <c:idx val="130"/>
        <c:spPr>
          <a:solidFill>
            <a:schemeClr val="accent3"/>
          </a:solidFill>
          <a:ln w="19050">
            <a:noFill/>
          </a:ln>
          <a:effectLst/>
        </c:spPr>
      </c:pivotFmt>
      <c:pivotFmt>
        <c:idx val="131"/>
        <c:spPr>
          <a:solidFill>
            <a:schemeClr val="accent4"/>
          </a:solidFill>
          <a:ln w="19050">
            <a:noFill/>
          </a:ln>
          <a:effectLst/>
        </c:spPr>
      </c:pivotFmt>
      <c:pivotFmt>
        <c:idx val="132"/>
        <c:spPr>
          <a:solidFill>
            <a:schemeClr val="accent5"/>
          </a:solidFill>
          <a:ln w="19050">
            <a:noFill/>
          </a:ln>
          <a:effectLst/>
        </c:spPr>
      </c:pivotFmt>
      <c:pivotFmt>
        <c:idx val="133"/>
        <c:spPr>
          <a:solidFill>
            <a:schemeClr val="accent6"/>
          </a:solidFill>
          <a:ln w="19050">
            <a:noFill/>
          </a:ln>
          <a:effectLst/>
        </c:spPr>
      </c:pivotFmt>
    </c:pivotFmts>
    <c:plotArea>
      <c:layout>
        <c:manualLayout>
          <c:layoutTarget val="inner"/>
          <c:xMode val="edge"/>
          <c:yMode val="edge"/>
          <c:x val="0.20289317177499888"/>
          <c:y val="0.17081033241288474"/>
          <c:w val="0.5937077422128425"/>
          <c:h val="0.60468064441832892"/>
        </c:manualLayout>
      </c:layout>
      <c:doughnutChart>
        <c:varyColors val="1"/>
        <c:ser>
          <c:idx val="0"/>
          <c:order val="0"/>
          <c:tx>
            <c:strRef>
              <c:f>Pivot_Data!$I$21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FFC-47F9-8480-A12A03B3AB9C}"/>
              </c:ext>
            </c:extLst>
          </c:dPt>
          <c:dPt>
            <c:idx val="1"/>
            <c:bubble3D val="0"/>
            <c:spPr>
              <a:solidFill>
                <a:schemeClr val="accent2"/>
              </a:solidFill>
              <a:ln w="19050">
                <a:noFill/>
              </a:ln>
              <a:effectLst/>
            </c:spPr>
            <c:extLst>
              <c:ext xmlns:c16="http://schemas.microsoft.com/office/drawing/2014/chart" uri="{C3380CC4-5D6E-409C-BE32-E72D297353CC}">
                <c16:uniqueId val="{00000003-4FFC-47F9-8480-A12A03B3AB9C}"/>
              </c:ext>
            </c:extLst>
          </c:dPt>
          <c:dPt>
            <c:idx val="2"/>
            <c:bubble3D val="0"/>
            <c:spPr>
              <a:solidFill>
                <a:schemeClr val="accent3"/>
              </a:solidFill>
              <a:ln w="19050">
                <a:noFill/>
              </a:ln>
              <a:effectLst/>
            </c:spPr>
            <c:extLst>
              <c:ext xmlns:c16="http://schemas.microsoft.com/office/drawing/2014/chart" uri="{C3380CC4-5D6E-409C-BE32-E72D297353CC}">
                <c16:uniqueId val="{00000005-4FFC-47F9-8480-A12A03B3AB9C}"/>
              </c:ext>
            </c:extLst>
          </c:dPt>
          <c:dPt>
            <c:idx val="3"/>
            <c:bubble3D val="0"/>
            <c:spPr>
              <a:solidFill>
                <a:schemeClr val="accent4"/>
              </a:solidFill>
              <a:ln w="19050">
                <a:noFill/>
              </a:ln>
              <a:effectLst/>
            </c:spPr>
            <c:extLst>
              <c:ext xmlns:c16="http://schemas.microsoft.com/office/drawing/2014/chart" uri="{C3380CC4-5D6E-409C-BE32-E72D297353CC}">
                <c16:uniqueId val="{00000007-4FFC-47F9-8480-A12A03B3AB9C}"/>
              </c:ext>
            </c:extLst>
          </c:dPt>
          <c:dPt>
            <c:idx val="4"/>
            <c:bubble3D val="0"/>
            <c:spPr>
              <a:solidFill>
                <a:schemeClr val="accent5"/>
              </a:solidFill>
              <a:ln w="19050">
                <a:noFill/>
              </a:ln>
              <a:effectLst/>
            </c:spPr>
            <c:extLst>
              <c:ext xmlns:c16="http://schemas.microsoft.com/office/drawing/2014/chart" uri="{C3380CC4-5D6E-409C-BE32-E72D297353CC}">
                <c16:uniqueId val="{00000009-4FFC-47F9-8480-A12A03B3AB9C}"/>
              </c:ext>
            </c:extLst>
          </c:dPt>
          <c:dPt>
            <c:idx val="5"/>
            <c:bubble3D val="0"/>
            <c:spPr>
              <a:solidFill>
                <a:schemeClr val="accent6"/>
              </a:solidFill>
              <a:ln w="19050">
                <a:noFill/>
              </a:ln>
              <a:effectLst/>
            </c:spPr>
            <c:extLst>
              <c:ext xmlns:c16="http://schemas.microsoft.com/office/drawing/2014/chart" uri="{C3380CC4-5D6E-409C-BE32-E72D297353CC}">
                <c16:uniqueId val="{0000000B-4FFC-47F9-8480-A12A03B3AB9C}"/>
              </c:ext>
            </c:extLst>
          </c:dPt>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Pivot_Data!$H$22:$H$28</c:f>
              <c:strCache>
                <c:ptCount val="6"/>
                <c:pt idx="0">
                  <c:v>Topwear</c:v>
                </c:pt>
                <c:pt idx="1">
                  <c:v>Accessories</c:v>
                </c:pt>
                <c:pt idx="2">
                  <c:v>Footwear</c:v>
                </c:pt>
                <c:pt idx="3">
                  <c:v>Winter Collection</c:v>
                </c:pt>
                <c:pt idx="4">
                  <c:v>Bottomwear</c:v>
                </c:pt>
                <c:pt idx="5">
                  <c:v>Summer Collection</c:v>
                </c:pt>
              </c:strCache>
            </c:strRef>
          </c:cat>
          <c:val>
            <c:numRef>
              <c:f>Pivot_Data!$I$22:$I$28</c:f>
              <c:numCache>
                <c:formatCode>General</c:formatCode>
                <c:ptCount val="6"/>
                <c:pt idx="0">
                  <c:v>1352934.5</c:v>
                </c:pt>
                <c:pt idx="1">
                  <c:v>1253172</c:v>
                </c:pt>
                <c:pt idx="2">
                  <c:v>1008900</c:v>
                </c:pt>
                <c:pt idx="3">
                  <c:v>939186</c:v>
                </c:pt>
                <c:pt idx="4">
                  <c:v>574800</c:v>
                </c:pt>
                <c:pt idx="5">
                  <c:v>299427</c:v>
                </c:pt>
              </c:numCache>
            </c:numRef>
          </c:val>
          <c:extLst>
            <c:ext xmlns:c16="http://schemas.microsoft.com/office/drawing/2014/chart" uri="{C3380CC4-5D6E-409C-BE32-E72D297353CC}">
              <c16:uniqueId val="{0000000C-4FFC-47F9-8480-A12A03B3AB9C}"/>
            </c:ext>
          </c:extLst>
        </c:ser>
        <c:dLbls>
          <c:showLegendKey val="0"/>
          <c:showVal val="1"/>
          <c:showCatName val="0"/>
          <c:showSerName val="0"/>
          <c:showPercent val="0"/>
          <c:showBubbleSize val="0"/>
          <c:showLeaderLines val="0"/>
        </c:dLbls>
        <c:firstSliceAng val="0"/>
        <c:holeSize val="70"/>
      </c:doughnutChart>
    </c:plotArea>
    <c:legend>
      <c:legendPos val="b"/>
      <c:layout>
        <c:manualLayout>
          <c:xMode val="edge"/>
          <c:yMode val="edge"/>
          <c:x val="3.0662391866559398E-2"/>
          <c:y val="0.79518193340322485"/>
          <c:w val="0.94552109570727583"/>
          <c:h val="0.18390002824758722"/>
        </c:manualLayout>
      </c:layout>
      <c:overlay val="0"/>
      <c:txPr>
        <a:bodyPr/>
        <a:lstStyle/>
        <a:p>
          <a:pPr>
            <a:defRPr sz="1000">
              <a:solidFill>
                <a:schemeClr val="bg1">
                  <a:lumMod val="95000"/>
                </a:schemeClr>
              </a:solidFill>
            </a:defRPr>
          </a:pPr>
          <a:endParaRPr lang="en-US"/>
        </a:p>
      </c:txPr>
    </c:legend>
    <c:plotVisOnly val="1"/>
    <c:dispBlanksAs val="gap"/>
    <c:showDLblsOverMax val="0"/>
    <c:extLst/>
  </c:chart>
  <c:spPr>
    <a:solidFill>
      <a:srgbClr val="2A3F54"/>
    </a:solidFill>
    <a:ln>
      <a:solidFill>
        <a:srgbClr val="2A3F54"/>
      </a:solidFill>
    </a:ln>
    <a:effectLst>
      <a:softEdge rad="50800"/>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[Fashion_Apparel_Dataset.xlsx]Pivot_Data!PivotTable3</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chemeClr val="bg1"/>
                </a:solidFill>
              </a:rPr>
              <a:t>Return Rate by Category</a:t>
            </a:r>
            <a:endParaRPr lang="en-US" sz="1400" b="0" i="0" u="none" strike="noStrike" kern="1200" spc="0" baseline="0">
              <a:solidFill>
                <a:schemeClr val="bg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E84855">
                  <a:alpha val="93000"/>
                </a:srgbClr>
              </a:gs>
              <a:gs pos="74000">
                <a:srgbClr val="FF0000"/>
              </a:gs>
              <a:gs pos="83000">
                <a:srgbClr val="C00000"/>
              </a:gs>
              <a:gs pos="100000">
                <a:srgbClr val="C0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867794561172641"/>
          <c:y val="9.819223951883109E-2"/>
          <c:w val="0.57026737956247764"/>
          <c:h val="0.87268630901966604"/>
        </c:manualLayout>
      </c:layout>
      <c:barChart>
        <c:barDir val="bar"/>
        <c:grouping val="clustered"/>
        <c:varyColors val="0"/>
        <c:ser>
          <c:idx val="0"/>
          <c:order val="0"/>
          <c:tx>
            <c:strRef>
              <c:f>Pivot_Data!$H$166</c:f>
              <c:strCache>
                <c:ptCount val="1"/>
                <c:pt idx="0">
                  <c:v>Total</c:v>
                </c:pt>
              </c:strCache>
            </c:strRef>
          </c:tx>
          <c:spPr>
            <a:gradFill>
              <a:gsLst>
                <a:gs pos="0">
                  <a:srgbClr val="E84855">
                    <a:alpha val="93000"/>
                  </a:srgbClr>
                </a:gs>
                <a:gs pos="74000">
                  <a:srgbClr val="FF0000"/>
                </a:gs>
                <a:gs pos="83000">
                  <a:srgbClr val="C00000"/>
                </a:gs>
                <a:gs pos="100000">
                  <a:srgbClr val="C000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Pivot_Data!$G$167:$G$173</c:f>
              <c:strCache>
                <c:ptCount val="6"/>
                <c:pt idx="0">
                  <c:v>Winter Collection</c:v>
                </c:pt>
                <c:pt idx="1">
                  <c:v>Footwear</c:v>
                </c:pt>
                <c:pt idx="2">
                  <c:v>Accessories</c:v>
                </c:pt>
                <c:pt idx="3">
                  <c:v>Summer Collection</c:v>
                </c:pt>
                <c:pt idx="4">
                  <c:v>Topwear</c:v>
                </c:pt>
                <c:pt idx="5">
                  <c:v>Bottomwear</c:v>
                </c:pt>
              </c:strCache>
            </c:strRef>
          </c:cat>
          <c:val>
            <c:numRef>
              <c:f>Pivot_Data!$H$167:$H$173</c:f>
              <c:numCache>
                <c:formatCode>0.00%</c:formatCode>
                <c:ptCount val="6"/>
                <c:pt idx="0">
                  <c:v>2.8490028490028491E-2</c:v>
                </c:pt>
                <c:pt idx="1">
                  <c:v>3.9577836411609502E-2</c:v>
                </c:pt>
                <c:pt idx="2">
                  <c:v>4.5336787564766841E-2</c:v>
                </c:pt>
                <c:pt idx="3">
                  <c:v>5.1724137931034482E-2</c:v>
                </c:pt>
                <c:pt idx="4">
                  <c:v>5.7971014492753624E-2</c:v>
                </c:pt>
                <c:pt idx="5">
                  <c:v>6.5527065527065526E-2</c:v>
                </c:pt>
              </c:numCache>
            </c:numRef>
          </c:val>
          <c:extLst>
            <c:ext xmlns:c16="http://schemas.microsoft.com/office/drawing/2014/chart" uri="{C3380CC4-5D6E-409C-BE32-E72D297353CC}">
              <c16:uniqueId val="{00000000-DB7B-4618-9A7E-5DB0F0E27215}"/>
            </c:ext>
          </c:extLst>
        </c:ser>
        <c:dLbls>
          <c:dLblPos val="outEnd"/>
          <c:showLegendKey val="0"/>
          <c:showVal val="1"/>
          <c:showCatName val="0"/>
          <c:showSerName val="0"/>
          <c:showPercent val="0"/>
          <c:showBubbleSize val="0"/>
        </c:dLbls>
        <c:gapWidth val="182"/>
        <c:axId val="481710864"/>
        <c:axId val="481713264"/>
      </c:barChart>
      <c:catAx>
        <c:axId val="48171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crossAx val="481713264"/>
        <c:crosses val="autoZero"/>
        <c:auto val="1"/>
        <c:lblAlgn val="ctr"/>
        <c:lblOffset val="100"/>
        <c:noMultiLvlLbl val="0"/>
      </c:catAx>
      <c:valAx>
        <c:axId val="481713264"/>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481710864"/>
        <c:crosses val="autoZero"/>
        <c:crossBetween val="between"/>
      </c:valAx>
      <c:spPr>
        <a:solidFill>
          <a:srgbClr val="1F2D4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3F54"/>
    </a:solidFill>
    <a:ln w="9525" cap="flat" cmpd="sng" algn="ctr">
      <a:solidFill>
        <a:srgbClr val="2A3F54"/>
      </a:solidFill>
      <a:round/>
    </a:ln>
    <a:effectLst>
      <a:softEdge rad="508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[Fashion_Apparel_Dataset.xlsx]Pivot_Data!PivotTable5</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chemeClr val="bg1"/>
                </a:solidFill>
              </a:rPr>
              <a:t>Top 5 Products by Revenue</a:t>
            </a:r>
          </a:p>
        </c:rich>
      </c:tx>
      <c:layout>
        <c:manualLayout>
          <c:xMode val="edge"/>
          <c:yMode val="edge"/>
          <c:x val="0.29191917670672374"/>
          <c:y val="3.858520509555610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2E86AB"/>
              </a:gs>
              <a:gs pos="74000">
                <a:srgbClr val="FFC000"/>
              </a:gs>
              <a:gs pos="83000">
                <a:srgbClr val="F5A623"/>
              </a:gs>
              <a:gs pos="25869">
                <a:srgbClr val="0070C0"/>
              </a:gs>
              <a:gs pos="13986">
                <a:srgbClr val="56918B"/>
              </a:gs>
              <a:gs pos="100000">
                <a:srgbClr val="F5A623"/>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1200000" algn="ctr" rotWithShape="0">
              <a:srgbClr val="000000">
                <a:alpha val="43137"/>
              </a:srgbClr>
            </a:outerShdw>
          </a:effectLst>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2E86AB"/>
              </a:gs>
              <a:gs pos="74000">
                <a:srgbClr val="FFC000"/>
              </a:gs>
              <a:gs pos="83000">
                <a:srgbClr val="F5A623"/>
              </a:gs>
              <a:gs pos="25869">
                <a:srgbClr val="0070C0"/>
              </a:gs>
              <a:gs pos="13986">
                <a:srgbClr val="56918B"/>
              </a:gs>
              <a:gs pos="100000">
                <a:srgbClr val="F5A623"/>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1200000" algn="ctr" rotWithShape="0">
              <a:srgbClr val="000000">
                <a:alpha val="43137"/>
              </a:srgbClr>
            </a:outerShdw>
          </a:effectLst>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2E86AB"/>
              </a:gs>
              <a:gs pos="74000">
                <a:srgbClr val="FFC000"/>
              </a:gs>
              <a:gs pos="83000">
                <a:srgbClr val="F5A623"/>
              </a:gs>
              <a:gs pos="25869">
                <a:srgbClr val="0070C0"/>
              </a:gs>
              <a:gs pos="13986">
                <a:srgbClr val="56918B"/>
              </a:gs>
              <a:gs pos="100000">
                <a:srgbClr val="F5A623"/>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1200000" algn="ctr" rotWithShape="0">
              <a:srgbClr val="000000">
                <a:alpha val="43137"/>
              </a:srgbClr>
            </a:outerShdw>
          </a:effectLst>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100"/>
      <c:rAngAx val="0"/>
      <c:perspective val="0"/>
    </c:view3D>
    <c:floor>
      <c:thickness val="0"/>
      <c:spPr>
        <a:noFill/>
        <a:ln>
          <a:noFill/>
        </a:ln>
        <a:effectLst/>
        <a:sp3d/>
      </c:spPr>
    </c:floor>
    <c:sideWall>
      <c:thickness val="0"/>
      <c:spPr>
        <a:solidFill>
          <a:srgbClr val="1F2D40"/>
        </a:solidFill>
        <a:ln>
          <a:noFill/>
        </a:ln>
        <a:effectLst/>
        <a:sp3d/>
      </c:spPr>
    </c:sideWall>
    <c:backWall>
      <c:thickness val="0"/>
      <c:spPr>
        <a:solidFill>
          <a:srgbClr val="1F2D40"/>
        </a:solidFill>
        <a:ln>
          <a:noFill/>
        </a:ln>
        <a:effectLst>
          <a:outerShdw blurRad="50800" dist="101600" sx="143000" sy="143000" algn="ctr" rotWithShape="0">
            <a:srgbClr val="000000">
              <a:alpha val="73000"/>
            </a:srgbClr>
          </a:outerShdw>
        </a:effectLst>
        <a:sp3d/>
      </c:spPr>
    </c:backWall>
    <c:plotArea>
      <c:layout>
        <c:manualLayout>
          <c:layoutTarget val="inner"/>
          <c:xMode val="edge"/>
          <c:yMode val="edge"/>
          <c:x val="0.2013638456055154"/>
          <c:y val="0.14478853428669877"/>
          <c:w val="0.7179638908248599"/>
          <c:h val="0.81227067635892847"/>
        </c:manualLayout>
      </c:layout>
      <c:bar3DChart>
        <c:barDir val="bar"/>
        <c:grouping val="clustered"/>
        <c:varyColors val="0"/>
        <c:ser>
          <c:idx val="0"/>
          <c:order val="0"/>
          <c:tx>
            <c:strRef>
              <c:f>Pivot_Data!$I$36</c:f>
              <c:strCache>
                <c:ptCount val="1"/>
                <c:pt idx="0">
                  <c:v>Total</c:v>
                </c:pt>
              </c:strCache>
            </c:strRef>
          </c:tx>
          <c:spPr>
            <a:gradFill>
              <a:gsLst>
                <a:gs pos="0">
                  <a:srgbClr val="2E86AB"/>
                </a:gs>
                <a:gs pos="74000">
                  <a:srgbClr val="FFC000"/>
                </a:gs>
                <a:gs pos="83000">
                  <a:srgbClr val="F5A623"/>
                </a:gs>
                <a:gs pos="25869">
                  <a:srgbClr val="0070C0"/>
                </a:gs>
                <a:gs pos="13986">
                  <a:srgbClr val="56918B"/>
                </a:gs>
                <a:gs pos="100000">
                  <a:srgbClr val="F5A623"/>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1200000" algn="ctr" rotWithShape="0">
                <a:srgbClr val="000000">
                  <a:alpha val="43137"/>
                </a:srgbClr>
              </a:outerShdw>
            </a:effectLst>
            <a:sp3d/>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Pivot_Data!$H$37:$H$42</c:f>
              <c:strCache>
                <c:ptCount val="5"/>
                <c:pt idx="0">
                  <c:v>Wrist Watch</c:v>
                </c:pt>
                <c:pt idx="1">
                  <c:v>Ethnic Sherwani</c:v>
                </c:pt>
                <c:pt idx="2">
                  <c:v>Formal Blazer</c:v>
                </c:pt>
                <c:pt idx="3">
                  <c:v>Quilted Jacket</c:v>
                </c:pt>
                <c:pt idx="4">
                  <c:v>Running Sneakers</c:v>
                </c:pt>
              </c:strCache>
            </c:strRef>
          </c:cat>
          <c:val>
            <c:numRef>
              <c:f>Pivot_Data!$I$37:$I$42</c:f>
              <c:numCache>
                <c:formatCode>General</c:formatCode>
                <c:ptCount val="5"/>
                <c:pt idx="0">
                  <c:v>812925</c:v>
                </c:pt>
                <c:pt idx="1">
                  <c:v>566280</c:v>
                </c:pt>
                <c:pt idx="2">
                  <c:v>378048</c:v>
                </c:pt>
                <c:pt idx="3">
                  <c:v>359415</c:v>
                </c:pt>
                <c:pt idx="4">
                  <c:v>320364</c:v>
                </c:pt>
              </c:numCache>
            </c:numRef>
          </c:val>
          <c:extLst>
            <c:ext xmlns:c16="http://schemas.microsoft.com/office/drawing/2014/chart" uri="{C3380CC4-5D6E-409C-BE32-E72D297353CC}">
              <c16:uniqueId val="{00000000-FEF4-4176-8091-720FC126C57A}"/>
            </c:ext>
          </c:extLst>
        </c:ser>
        <c:dLbls>
          <c:showLegendKey val="0"/>
          <c:showVal val="1"/>
          <c:showCatName val="0"/>
          <c:showSerName val="0"/>
          <c:showPercent val="0"/>
          <c:showBubbleSize val="0"/>
        </c:dLbls>
        <c:gapWidth val="130"/>
        <c:gapDepth val="115"/>
        <c:shape val="box"/>
        <c:axId val="481741104"/>
        <c:axId val="481755984"/>
        <c:axId val="0"/>
      </c:bar3DChart>
      <c:catAx>
        <c:axId val="481741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81755984"/>
        <c:crosses val="autoZero"/>
        <c:auto val="1"/>
        <c:lblAlgn val="ctr"/>
        <c:lblOffset val="100"/>
        <c:noMultiLvlLbl val="0"/>
      </c:catAx>
      <c:valAx>
        <c:axId val="481755984"/>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48174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3F54"/>
    </a:solidFill>
    <a:ln w="9525" cap="flat" cmpd="sng" algn="ctr">
      <a:solidFill>
        <a:srgbClr val="2A3F54"/>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chemeClr val="bg1"/>
                </a:solidFill>
              </a:rPr>
              <a:t>Budget vs Actual Revenue by Month</a:t>
            </a:r>
          </a:p>
        </c:rich>
      </c:tx>
      <c:layout>
        <c:manualLayout>
          <c:xMode val="edge"/>
          <c:yMode val="edge"/>
          <c:x val="0.17562073490813648"/>
          <c:y val="3.333333333333333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solidFill>
          <a:srgbClr val="1F2D40"/>
        </a:solidFill>
        <a:ln>
          <a:noFill/>
        </a:ln>
        <a:effectLst/>
        <a:sp3d/>
      </c:spPr>
    </c:sideWall>
    <c:backWall>
      <c:thickness val="0"/>
      <c:spPr>
        <a:solidFill>
          <a:srgbClr val="1F2D40"/>
        </a:solidFill>
        <a:ln>
          <a:noFill/>
        </a:ln>
        <a:effectLst/>
        <a:sp3d/>
      </c:spPr>
    </c:backWall>
    <c:plotArea>
      <c:layout>
        <c:manualLayout>
          <c:layoutTarget val="inner"/>
          <c:xMode val="edge"/>
          <c:yMode val="edge"/>
          <c:x val="8.8823490813648293E-2"/>
          <c:y val="0.15249227179935843"/>
          <c:w val="0.89284317585301842"/>
          <c:h val="0.66775298920968207"/>
        </c:manualLayout>
      </c:layout>
      <c:bar3DChart>
        <c:barDir val="col"/>
        <c:grouping val="clustered"/>
        <c:varyColors val="0"/>
        <c:ser>
          <c:idx val="1"/>
          <c:order val="1"/>
          <c:tx>
            <c:strRef>
              <c:f>Pivot_Data!$B$61</c:f>
              <c:strCache>
                <c:ptCount val="1"/>
                <c:pt idx="0">
                  <c:v>Actual</c:v>
                </c:pt>
              </c:strCache>
            </c:strRef>
          </c:tx>
          <c:spPr>
            <a:solidFill>
              <a:srgbClr val="2E86AB">
                <a:alpha val="95000"/>
              </a:srgbClr>
            </a:solidFill>
            <a:ln>
              <a:noFill/>
            </a:ln>
            <a:effectLst/>
            <a:sp3d/>
          </c:spPr>
          <c:invertIfNegative val="0"/>
          <c:cat>
            <c:strRef>
              <c:f>Pivot_Data!$A$62:$A$73</c:f>
              <c:strCache>
                <c:ptCount val="12"/>
                <c:pt idx="0">
                  <c:v>January</c:v>
                </c:pt>
                <c:pt idx="1">
                  <c:v>February</c:v>
                </c:pt>
                <c:pt idx="2">
                  <c:v>March </c:v>
                </c:pt>
                <c:pt idx="3">
                  <c:v>April</c:v>
                </c:pt>
                <c:pt idx="4">
                  <c:v>May</c:v>
                </c:pt>
                <c:pt idx="5">
                  <c:v>June</c:v>
                </c:pt>
                <c:pt idx="6">
                  <c:v>July</c:v>
                </c:pt>
                <c:pt idx="7">
                  <c:v>August</c:v>
                </c:pt>
                <c:pt idx="8">
                  <c:v>September</c:v>
                </c:pt>
                <c:pt idx="9">
                  <c:v>October</c:v>
                </c:pt>
                <c:pt idx="10">
                  <c:v>November</c:v>
                </c:pt>
                <c:pt idx="11">
                  <c:v>December</c:v>
                </c:pt>
              </c:strCache>
            </c:strRef>
          </c:cat>
          <c:val>
            <c:numRef>
              <c:f>Pivot_Data!$B$62:$B$73</c:f>
              <c:numCache>
                <c:formatCode>"₹"\ #,##0.00</c:formatCode>
                <c:ptCount val="12"/>
                <c:pt idx="0">
                  <c:v>469314.5</c:v>
                </c:pt>
                <c:pt idx="1">
                  <c:v>426889</c:v>
                </c:pt>
                <c:pt idx="2">
                  <c:v>354001</c:v>
                </c:pt>
                <c:pt idx="3">
                  <c:v>377846</c:v>
                </c:pt>
                <c:pt idx="4">
                  <c:v>399022</c:v>
                </c:pt>
                <c:pt idx="5">
                  <c:v>407301.5</c:v>
                </c:pt>
                <c:pt idx="6">
                  <c:v>345535</c:v>
                </c:pt>
                <c:pt idx="7">
                  <c:v>321812</c:v>
                </c:pt>
                <c:pt idx="8">
                  <c:v>453764.5</c:v>
                </c:pt>
                <c:pt idx="9">
                  <c:v>625725.5</c:v>
                </c:pt>
                <c:pt idx="10">
                  <c:v>698527.5</c:v>
                </c:pt>
                <c:pt idx="11">
                  <c:v>548681</c:v>
                </c:pt>
              </c:numCache>
            </c:numRef>
          </c:val>
          <c:shape val="cylinder"/>
          <c:extLst>
            <c:ext xmlns:c16="http://schemas.microsoft.com/office/drawing/2014/chart" uri="{C3380CC4-5D6E-409C-BE32-E72D297353CC}">
              <c16:uniqueId val="{00000001-A812-4CC7-88C7-0C3B4565DA3A}"/>
            </c:ext>
          </c:extLst>
        </c:ser>
        <c:ser>
          <c:idx val="2"/>
          <c:order val="2"/>
          <c:tx>
            <c:strRef>
              <c:f>Pivot_Data!$C$61</c:f>
              <c:strCache>
                <c:ptCount val="1"/>
                <c:pt idx="0">
                  <c:v>Budgeted</c:v>
                </c:pt>
              </c:strCache>
            </c:strRef>
          </c:tx>
          <c:spPr>
            <a:solidFill>
              <a:srgbClr val="F5A623">
                <a:alpha val="95000"/>
              </a:srgbClr>
            </a:solidFill>
            <a:ln>
              <a:noFill/>
            </a:ln>
            <a:effectLst/>
            <a:sp3d/>
          </c:spPr>
          <c:invertIfNegative val="0"/>
          <c:cat>
            <c:strRef>
              <c:f>Pivot_Data!$A$62:$A$73</c:f>
              <c:strCache>
                <c:ptCount val="12"/>
                <c:pt idx="0">
                  <c:v>January</c:v>
                </c:pt>
                <c:pt idx="1">
                  <c:v>February</c:v>
                </c:pt>
                <c:pt idx="2">
                  <c:v>March </c:v>
                </c:pt>
                <c:pt idx="3">
                  <c:v>April</c:v>
                </c:pt>
                <c:pt idx="4">
                  <c:v>May</c:v>
                </c:pt>
                <c:pt idx="5">
                  <c:v>June</c:v>
                </c:pt>
                <c:pt idx="6">
                  <c:v>July</c:v>
                </c:pt>
                <c:pt idx="7">
                  <c:v>August</c:v>
                </c:pt>
                <c:pt idx="8">
                  <c:v>September</c:v>
                </c:pt>
                <c:pt idx="9">
                  <c:v>October</c:v>
                </c:pt>
                <c:pt idx="10">
                  <c:v>November</c:v>
                </c:pt>
                <c:pt idx="11">
                  <c:v>December</c:v>
                </c:pt>
              </c:strCache>
            </c:strRef>
          </c:cat>
          <c:val>
            <c:numRef>
              <c:f>Pivot_Data!$C$62:$C$73</c:f>
              <c:numCache>
                <c:formatCode>"₹"\ #,##0.00</c:formatCode>
                <c:ptCount val="12"/>
                <c:pt idx="0">
                  <c:v>499300</c:v>
                </c:pt>
                <c:pt idx="1">
                  <c:v>457400</c:v>
                </c:pt>
                <c:pt idx="2">
                  <c:v>377000</c:v>
                </c:pt>
                <c:pt idx="3">
                  <c:v>439100</c:v>
                </c:pt>
                <c:pt idx="4">
                  <c:v>429400</c:v>
                </c:pt>
                <c:pt idx="5">
                  <c:v>470200</c:v>
                </c:pt>
                <c:pt idx="6">
                  <c:v>370800</c:v>
                </c:pt>
                <c:pt idx="7">
                  <c:v>343800</c:v>
                </c:pt>
                <c:pt idx="8">
                  <c:v>484200</c:v>
                </c:pt>
                <c:pt idx="9">
                  <c:v>703400</c:v>
                </c:pt>
                <c:pt idx="10">
                  <c:v>813700</c:v>
                </c:pt>
                <c:pt idx="11">
                  <c:v>624100</c:v>
                </c:pt>
              </c:numCache>
            </c:numRef>
          </c:val>
          <c:shape val="cylinder"/>
          <c:extLst>
            <c:ext xmlns:c16="http://schemas.microsoft.com/office/drawing/2014/chart" uri="{C3380CC4-5D6E-409C-BE32-E72D297353CC}">
              <c16:uniqueId val="{00000002-A812-4CC7-88C7-0C3B4565DA3A}"/>
            </c:ext>
          </c:extLst>
        </c:ser>
        <c:dLbls>
          <c:showLegendKey val="0"/>
          <c:showVal val="0"/>
          <c:showCatName val="0"/>
          <c:showSerName val="0"/>
          <c:showPercent val="0"/>
          <c:showBubbleSize val="0"/>
        </c:dLbls>
        <c:gapWidth val="90"/>
        <c:shape val="box"/>
        <c:axId val="1446360736"/>
        <c:axId val="1446362656"/>
        <c:axId val="0"/>
        <c:extLst>
          <c:ext xmlns:c15="http://schemas.microsoft.com/office/drawing/2012/chart" uri="{02D57815-91ED-43cb-92C2-25804820EDAC}">
            <c15:filteredBarSeries>
              <c15:ser>
                <c:idx val="0"/>
                <c:order val="0"/>
                <c:tx>
                  <c:strRef>
                    <c:extLst>
                      <c:ext uri="{02D57815-91ED-43cb-92C2-25804820EDAC}">
                        <c15:formulaRef>
                          <c15:sqref>Pivot_Data!$A$61</c15:sqref>
                        </c15:formulaRef>
                      </c:ext>
                    </c:extLst>
                    <c:strCache>
                      <c:ptCount val="1"/>
                      <c:pt idx="0">
                        <c:v>Month_Name</c:v>
                      </c:pt>
                    </c:strCache>
                  </c:strRef>
                </c:tx>
                <c:spPr>
                  <a:solidFill>
                    <a:schemeClr val="accent1"/>
                  </a:solidFill>
                  <a:ln>
                    <a:noFill/>
                  </a:ln>
                  <a:effectLst/>
                  <a:sp3d/>
                </c:spPr>
                <c:invertIfNegative val="0"/>
                <c:cat>
                  <c:strRef>
                    <c:extLst>
                      <c:ext uri="{02D57815-91ED-43cb-92C2-25804820EDAC}">
                        <c15:formulaRef>
                          <c15:sqref>Pivot_Data!$A$62:$A$73</c15:sqref>
                        </c15:formulaRef>
                      </c:ext>
                    </c:extLst>
                    <c:strCache>
                      <c:ptCount val="12"/>
                      <c:pt idx="0">
                        <c:v>January</c:v>
                      </c:pt>
                      <c:pt idx="1">
                        <c:v>February</c:v>
                      </c:pt>
                      <c:pt idx="2">
                        <c:v>March </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Pivot_Data!$A$62:$A$73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A812-4CC7-88C7-0C3B4565DA3A}"/>
                  </c:ext>
                </c:extLst>
              </c15:ser>
            </c15:filteredBarSeries>
          </c:ext>
        </c:extLst>
      </c:bar3DChart>
      <c:catAx>
        <c:axId val="1446360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446362656"/>
        <c:crosses val="autoZero"/>
        <c:auto val="1"/>
        <c:lblAlgn val="ctr"/>
        <c:lblOffset val="100"/>
        <c:noMultiLvlLbl val="0"/>
      </c:catAx>
      <c:valAx>
        <c:axId val="1446362656"/>
        <c:scaling>
          <c:orientation val="minMax"/>
        </c:scaling>
        <c:delete val="0"/>
        <c:axPos val="l"/>
        <c:majorGridlines>
          <c:spPr>
            <a:ln w="9525" cap="flat" cmpd="sng" algn="ctr">
              <a:solidFill>
                <a:schemeClr val="bg1">
                  <a:lumMod val="6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446360736"/>
        <c:crosses val="autoZero"/>
        <c:crossBetween val="between"/>
      </c:valAx>
      <c:spPr>
        <a:noFill/>
        <a:ln>
          <a:noFill/>
        </a:ln>
        <a:effectLst/>
      </c:spPr>
    </c:plotArea>
    <c:legend>
      <c:legendPos val="t"/>
      <c:layout>
        <c:manualLayout>
          <c:xMode val="edge"/>
          <c:yMode val="edge"/>
          <c:x val="0.65080314960629926"/>
          <c:y val="1.8851851851851866E-2"/>
          <c:w val="0.3017269028871391"/>
          <c:h val="0.106944881889763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3F54"/>
    </a:solidFill>
    <a:ln w="9525" cap="flat" cmpd="sng" algn="ctr">
      <a:solidFill>
        <a:srgbClr val="2A3F54"/>
      </a:solidFill>
      <a:round/>
    </a:ln>
    <a:effectLst>
      <a:softEdge rad="50800"/>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355250</xdr:colOff>
      <xdr:row>1</xdr:row>
      <xdr:rowOff>134009</xdr:rowOff>
    </xdr:from>
    <xdr:to>
      <xdr:col>9</xdr:col>
      <xdr:colOff>409992</xdr:colOff>
      <xdr:row>13</xdr:row>
      <xdr:rowOff>13138</xdr:rowOff>
    </xdr:to>
    <mc:AlternateContent xmlns:mc="http://schemas.openxmlformats.org/markup-compatibility/2006" xmlns:a14="http://schemas.microsoft.com/office/drawing/2010/main">
      <mc:Choice Requires="a14">
        <xdr:graphicFrame macro="">
          <xdr:nvGraphicFramePr>
            <xdr:cNvPr id="2" name="Month_Name">
              <a:extLst>
                <a:ext uri="{FF2B5EF4-FFF2-40B4-BE49-F238E27FC236}">
                  <a16:creationId xmlns:a16="http://schemas.microsoft.com/office/drawing/2014/main" id="{318F3084-DA55-07F2-832C-2FB2F475C1C4}"/>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9359551" y="318158"/>
              <a:ext cx="1323027" cy="356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360767</xdr:colOff>
      <xdr:row>1</xdr:row>
      <xdr:rowOff>141102</xdr:rowOff>
    </xdr:from>
    <xdr:to>
      <xdr:col>7</xdr:col>
      <xdr:colOff>2967</xdr:colOff>
      <xdr:row>12</xdr:row>
      <xdr:rowOff>105104</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BEE45283-2AF0-0542-A0CA-70A0B3A647A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472767" y="325252"/>
              <a:ext cx="1472726" cy="1989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107</xdr:col>
      <xdr:colOff>66830</xdr:colOff>
      <xdr:row>4</xdr:row>
      <xdr:rowOff>13380</xdr:rowOff>
    </xdr:from>
    <xdr:to>
      <xdr:col>120</xdr:col>
      <xdr:colOff>19224</xdr:colOff>
      <xdr:row>53</xdr:row>
      <xdr:rowOff>66319</xdr:rowOff>
    </xdr:to>
    <xdr:sp macro="" textlink="">
      <xdr:nvSpPr>
        <xdr:cNvPr id="5" name="Rectangle 4">
          <a:extLst>
            <a:ext uri="{FF2B5EF4-FFF2-40B4-BE49-F238E27FC236}">
              <a16:creationId xmlns:a16="http://schemas.microsoft.com/office/drawing/2014/main" id="{934E0631-BAB0-2A6F-2451-C37F374010A5}"/>
            </a:ext>
          </a:extLst>
        </xdr:cNvPr>
        <xdr:cNvSpPr/>
      </xdr:nvSpPr>
      <xdr:spPr>
        <a:xfrm>
          <a:off x="17090412" y="750259"/>
          <a:ext cx="2020680" cy="9104829"/>
        </a:xfrm>
        <a:prstGeom prst="rect">
          <a:avLst/>
        </a:prstGeom>
        <a:solidFill>
          <a:srgbClr val="2A3F54">
            <a:alpha val="90000"/>
          </a:srgbClr>
        </a:solidFill>
        <a:ln>
          <a:solidFill>
            <a:srgbClr val="F5A6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108</xdr:col>
      <xdr:colOff>40292</xdr:colOff>
      <xdr:row>8</xdr:row>
      <xdr:rowOff>103250</xdr:rowOff>
    </xdr:from>
    <xdr:to>
      <xdr:col>119</xdr:col>
      <xdr:colOff>44099</xdr:colOff>
      <xdr:row>31</xdr:row>
      <xdr:rowOff>2916</xdr:rowOff>
    </xdr:to>
    <mc:AlternateContent xmlns:mc="http://schemas.openxmlformats.org/markup-compatibility/2006" xmlns:a14="http://schemas.microsoft.com/office/drawing/2010/main">
      <mc:Choice Requires="a14">
        <xdr:graphicFrame macro="">
          <xdr:nvGraphicFramePr>
            <xdr:cNvPr id="2" name="Month_Name 1">
              <a:extLst>
                <a:ext uri="{FF2B5EF4-FFF2-40B4-BE49-F238E27FC236}">
                  <a16:creationId xmlns:a16="http://schemas.microsoft.com/office/drawing/2014/main" id="{8F94B760-C758-4766-A4F8-07D69F8D6066}"/>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17365766" y="1600513"/>
              <a:ext cx="1768438" cy="4204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108</xdr:col>
      <xdr:colOff>35237</xdr:colOff>
      <xdr:row>32</xdr:row>
      <xdr:rowOff>82244</xdr:rowOff>
    </xdr:from>
    <xdr:to>
      <xdr:col>119</xdr:col>
      <xdr:colOff>50311</xdr:colOff>
      <xdr:row>46</xdr:row>
      <xdr:rowOff>97808</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8DF177BC-E06C-4BEE-9866-5F690C8DE07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670094" y="5742815"/>
              <a:ext cx="1811217" cy="2492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43548</xdr:colOff>
      <xdr:row>15</xdr:row>
      <xdr:rowOff>96981</xdr:rowOff>
    </xdr:from>
    <xdr:to>
      <xdr:col>50</xdr:col>
      <xdr:colOff>27710</xdr:colOff>
      <xdr:row>33</xdr:row>
      <xdr:rowOff>152400</xdr:rowOff>
    </xdr:to>
    <xdr:graphicFrame macro="">
      <xdr:nvGraphicFramePr>
        <xdr:cNvPr id="4" name="Chart 3">
          <a:extLst>
            <a:ext uri="{FF2B5EF4-FFF2-40B4-BE49-F238E27FC236}">
              <a16:creationId xmlns:a16="http://schemas.microsoft.com/office/drawing/2014/main" id="{98312F7F-0651-465A-BB95-6C412442B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51</xdr:col>
      <xdr:colOff>78827</xdr:colOff>
      <xdr:row>34</xdr:row>
      <xdr:rowOff>129941</xdr:rowOff>
    </xdr:from>
    <xdr:to>
      <xdr:col>81</xdr:col>
      <xdr:colOff>110837</xdr:colOff>
      <xdr:row>52</xdr:row>
      <xdr:rowOff>127000</xdr:rowOff>
    </xdr:to>
    <xdr:graphicFrame macro="">
      <xdr:nvGraphicFramePr>
        <xdr:cNvPr id="9" name="Chart 8">
          <a:extLst>
            <a:ext uri="{FF2B5EF4-FFF2-40B4-BE49-F238E27FC236}">
              <a16:creationId xmlns:a16="http://schemas.microsoft.com/office/drawing/2014/main" id="{EBF599FD-1BF0-44CD-ACC7-378CA8AFB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83</xdr:col>
      <xdr:colOff>82626</xdr:colOff>
      <xdr:row>4</xdr:row>
      <xdr:rowOff>165254</xdr:rowOff>
    </xdr:from>
    <xdr:to>
      <xdr:col>106</xdr:col>
      <xdr:colOff>75104</xdr:colOff>
      <xdr:row>24</xdr:row>
      <xdr:rowOff>90407</xdr:rowOff>
    </xdr:to>
    <xdr:graphicFrame macro="">
      <xdr:nvGraphicFramePr>
        <xdr:cNvPr id="11" name="Chart 10">
          <a:extLst>
            <a:ext uri="{FF2B5EF4-FFF2-40B4-BE49-F238E27FC236}">
              <a16:creationId xmlns:a16="http://schemas.microsoft.com/office/drawing/2014/main" id="{1259F26D-4BBA-42C1-99F6-3B0766E94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83</xdr:col>
      <xdr:colOff>13140</xdr:colOff>
      <xdr:row>25</xdr:row>
      <xdr:rowOff>170792</xdr:rowOff>
    </xdr:from>
    <xdr:to>
      <xdr:col>106</xdr:col>
      <xdr:colOff>78829</xdr:colOff>
      <xdr:row>52</xdr:row>
      <xdr:rowOff>127001</xdr:rowOff>
    </xdr:to>
    <xdr:graphicFrame macro="">
      <xdr:nvGraphicFramePr>
        <xdr:cNvPr id="13" name="Chart 12">
          <a:extLst>
            <a:ext uri="{FF2B5EF4-FFF2-40B4-BE49-F238E27FC236}">
              <a16:creationId xmlns:a16="http://schemas.microsoft.com/office/drawing/2014/main" id="{394BF0DE-69FA-422E-8EC4-E081FE4DF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51</xdr:col>
      <xdr:colOff>63500</xdr:colOff>
      <xdr:row>15</xdr:row>
      <xdr:rowOff>84666</xdr:rowOff>
    </xdr:from>
    <xdr:to>
      <xdr:col>81</xdr:col>
      <xdr:colOff>148167</xdr:colOff>
      <xdr:row>33</xdr:row>
      <xdr:rowOff>137583</xdr:rowOff>
    </xdr:to>
    <xdr:graphicFrame macro="">
      <xdr:nvGraphicFramePr>
        <xdr:cNvPr id="15" name="Chart 14">
          <a:extLst>
            <a:ext uri="{FF2B5EF4-FFF2-40B4-BE49-F238E27FC236}">
              <a16:creationId xmlns:a16="http://schemas.microsoft.com/office/drawing/2014/main" id="{AC92F7D5-8DF2-42CD-B962-BD8A7F64F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55754</xdr:colOff>
      <xdr:row>34</xdr:row>
      <xdr:rowOff>148683</xdr:rowOff>
    </xdr:from>
    <xdr:to>
      <xdr:col>50</xdr:col>
      <xdr:colOff>46463</xdr:colOff>
      <xdr:row>52</xdr:row>
      <xdr:rowOff>161636</xdr:rowOff>
    </xdr:to>
    <xdr:graphicFrame macro="">
      <xdr:nvGraphicFramePr>
        <xdr:cNvPr id="18" name="Chart 17">
          <a:extLst>
            <a:ext uri="{FF2B5EF4-FFF2-40B4-BE49-F238E27FC236}">
              <a16:creationId xmlns:a16="http://schemas.microsoft.com/office/drawing/2014/main" id="{8C7780D1-0738-4592-97C2-96426C350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53</xdr:row>
      <xdr:rowOff>56745</xdr:rowOff>
    </xdr:from>
    <xdr:to>
      <xdr:col>107</xdr:col>
      <xdr:colOff>32425</xdr:colOff>
      <xdr:row>53</xdr:row>
      <xdr:rowOff>113489</xdr:rowOff>
    </xdr:to>
    <xdr:cxnSp macro="">
      <xdr:nvCxnSpPr>
        <xdr:cNvPr id="7" name="Straight Connector 6">
          <a:extLst>
            <a:ext uri="{FF2B5EF4-FFF2-40B4-BE49-F238E27FC236}">
              <a16:creationId xmlns:a16="http://schemas.microsoft.com/office/drawing/2014/main" id="{440EEADD-D89C-90DD-FA61-204FE01FA56B}"/>
            </a:ext>
          </a:extLst>
        </xdr:cNvPr>
        <xdr:cNvCxnSpPr/>
      </xdr:nvCxnSpPr>
      <xdr:spPr>
        <a:xfrm flipH="1">
          <a:off x="0" y="9962745"/>
          <a:ext cx="17380085" cy="56744"/>
        </a:xfrm>
        <a:prstGeom prst="line">
          <a:avLst/>
        </a:prstGeom>
        <a:ln w="22225">
          <a:solidFill>
            <a:srgbClr val="F5A62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108</xdr:col>
      <xdr:colOff>22803</xdr:colOff>
      <xdr:row>4</xdr:row>
      <xdr:rowOff>178760</xdr:rowOff>
    </xdr:from>
    <xdr:to>
      <xdr:col>111</xdr:col>
      <xdr:colOff>77391</xdr:colOff>
      <xdr:row>7</xdr:row>
      <xdr:rowOff>53564</xdr:rowOff>
    </xdr:to>
    <xdr:pic>
      <xdr:nvPicPr>
        <xdr:cNvPr id="16" name="Picture 15">
          <a:extLst>
            <a:ext uri="{FF2B5EF4-FFF2-40B4-BE49-F238E27FC236}">
              <a16:creationId xmlns:a16="http://schemas.microsoft.com/office/drawing/2014/main" id="{E5BC182D-B893-B1E4-217B-88E342A8026F}"/>
            </a:ext>
          </a:extLst>
        </xdr:cNvPr>
        <xdr:cNvPicPr>
          <a:picLocks noChangeAspect="1"/>
        </xdr:cNvPicPr>
      </xdr:nvPicPr>
      <xdr:blipFill>
        <a:blip xmlns:r="http://schemas.openxmlformats.org/officeDocument/2006/relationships" r:embed="rId7">
          <a:clrChange>
            <a:clrFrom>
              <a:srgbClr val="2129AD"/>
            </a:clrFrom>
            <a:clrTo>
              <a:srgbClr val="2129AD">
                <a:alpha val="0"/>
              </a:srgbClr>
            </a:clrTo>
          </a:clrChange>
        </a:blip>
        <a:stretch>
          <a:fillRect/>
        </a:stretch>
      </xdr:blipFill>
      <xdr:spPr>
        <a:xfrm>
          <a:off x="17382116" y="916948"/>
          <a:ext cx="536791" cy="440350"/>
        </a:xfrm>
        <a:prstGeom prst="rect">
          <a:avLst/>
        </a:prstGeom>
      </xdr:spPr>
    </xdr:pic>
    <xdr:clientData/>
  </xdr:twoCellAnchor>
  <xdr:twoCellAnchor>
    <xdr:from>
      <xdr:col>112</xdr:col>
      <xdr:colOff>47625</xdr:colOff>
      <xdr:row>5</xdr:row>
      <xdr:rowOff>29765</xdr:rowOff>
    </xdr:from>
    <xdr:to>
      <xdr:col>118</xdr:col>
      <xdr:colOff>59532</xdr:colOff>
      <xdr:row>7</xdr:row>
      <xdr:rowOff>5954</xdr:rowOff>
    </xdr:to>
    <xdr:sp macro="" textlink="">
      <xdr:nvSpPr>
        <xdr:cNvPr id="17" name="TextBox 16">
          <a:extLst>
            <a:ext uri="{FF2B5EF4-FFF2-40B4-BE49-F238E27FC236}">
              <a16:creationId xmlns:a16="http://schemas.microsoft.com/office/drawing/2014/main" id="{5ABB9FC8-08D1-8EDA-0E5C-CE31D1FEB682}"/>
            </a:ext>
          </a:extLst>
        </xdr:cNvPr>
        <xdr:cNvSpPr txBox="1"/>
      </xdr:nvSpPr>
      <xdr:spPr>
        <a:xfrm>
          <a:off x="18049875" y="958453"/>
          <a:ext cx="976313" cy="35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1400" b="1">
              <a:solidFill>
                <a:schemeClr val="bg1"/>
              </a:solidFill>
              <a:latin typeface="+mn-lt"/>
              <a:ea typeface="Cambria Math" panose="02040503050406030204" pitchFamily="18" charset="0"/>
            </a:rPr>
            <a:t>FILTERS</a:t>
          </a:r>
        </a:p>
      </xdr:txBody>
    </xdr:sp>
    <xdr:clientData/>
  </xdr:twoCellAnchor>
  <xdr:twoCellAnchor>
    <xdr:from>
      <xdr:col>0</xdr:col>
      <xdr:colOff>46463</xdr:colOff>
      <xdr:row>14</xdr:row>
      <xdr:rowOff>139391</xdr:rowOff>
    </xdr:from>
    <xdr:to>
      <xdr:col>83</xdr:col>
      <xdr:colOff>0</xdr:colOff>
      <xdr:row>14</xdr:row>
      <xdr:rowOff>148683</xdr:rowOff>
    </xdr:to>
    <xdr:cxnSp macro="">
      <xdr:nvCxnSpPr>
        <xdr:cNvPr id="21" name="Straight Connector 20">
          <a:extLst>
            <a:ext uri="{FF2B5EF4-FFF2-40B4-BE49-F238E27FC236}">
              <a16:creationId xmlns:a16="http://schemas.microsoft.com/office/drawing/2014/main" id="{82356C3D-3758-9D77-A814-D288671D1CAB}"/>
            </a:ext>
          </a:extLst>
        </xdr:cNvPr>
        <xdr:cNvCxnSpPr/>
      </xdr:nvCxnSpPr>
      <xdr:spPr>
        <a:xfrm flipV="1">
          <a:off x="46463" y="2769220"/>
          <a:ext cx="13065513" cy="9292"/>
        </a:xfrm>
        <a:prstGeom prst="line">
          <a:avLst/>
        </a:prstGeom>
        <a:ln w="25400">
          <a:solidFill>
            <a:srgbClr val="F5A62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79848</xdr:colOff>
      <xdr:row>5</xdr:row>
      <xdr:rowOff>80212</xdr:rowOff>
    </xdr:from>
    <xdr:to>
      <xdr:col>82</xdr:col>
      <xdr:colOff>26374</xdr:colOff>
      <xdr:row>13</xdr:row>
      <xdr:rowOff>106948</xdr:rowOff>
    </xdr:to>
    <xdr:sp macro="" textlink="">
      <xdr:nvSpPr>
        <xdr:cNvPr id="6" name="Rectangle: Rounded Corners 5">
          <a:extLst>
            <a:ext uri="{FF2B5EF4-FFF2-40B4-BE49-F238E27FC236}">
              <a16:creationId xmlns:a16="http://schemas.microsoft.com/office/drawing/2014/main" id="{D721719A-7312-3885-42E2-61A33A49723E}"/>
            </a:ext>
          </a:extLst>
        </xdr:cNvPr>
        <xdr:cNvSpPr/>
      </xdr:nvSpPr>
      <xdr:spPr>
        <a:xfrm>
          <a:off x="11125646" y="1015103"/>
          <a:ext cx="2027619" cy="1531526"/>
        </a:xfrm>
        <a:prstGeom prst="roundRect">
          <a:avLst>
            <a:gd name="adj" fmla="val 13837"/>
          </a:avLst>
        </a:prstGeom>
        <a:solidFill>
          <a:srgbClr val="2A3F54"/>
        </a:solidFill>
        <a:ln w="34925">
          <a:solidFill>
            <a:srgbClr val="F5A6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56</xdr:col>
      <xdr:colOff>13368</xdr:colOff>
      <xdr:row>5</xdr:row>
      <xdr:rowOff>66842</xdr:rowOff>
    </xdr:from>
    <xdr:to>
      <xdr:col>68</xdr:col>
      <xdr:colOff>120314</xdr:colOff>
      <xdr:row>13</xdr:row>
      <xdr:rowOff>93578</xdr:rowOff>
    </xdr:to>
    <xdr:sp macro="" textlink="">
      <xdr:nvSpPr>
        <xdr:cNvPr id="19" name="Rectangle: Rounded Corners 18">
          <a:extLst>
            <a:ext uri="{FF2B5EF4-FFF2-40B4-BE49-F238E27FC236}">
              <a16:creationId xmlns:a16="http://schemas.microsoft.com/office/drawing/2014/main" id="{A6E83ADA-D0C7-5E8E-CDD8-63076C9CB13C}"/>
            </a:ext>
          </a:extLst>
        </xdr:cNvPr>
        <xdr:cNvSpPr/>
      </xdr:nvSpPr>
      <xdr:spPr>
        <a:xfrm>
          <a:off x="8996947" y="1002631"/>
          <a:ext cx="2031999" cy="1524000"/>
        </a:xfrm>
        <a:prstGeom prst="roundRect">
          <a:avLst>
            <a:gd name="adj" fmla="val 13837"/>
          </a:avLst>
        </a:prstGeom>
        <a:solidFill>
          <a:srgbClr val="2A3F54"/>
        </a:solidFill>
        <a:ln w="34925">
          <a:solidFill>
            <a:srgbClr val="F5A6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42</xdr:col>
      <xdr:colOff>81484</xdr:colOff>
      <xdr:row>5</xdr:row>
      <xdr:rowOff>77664</xdr:rowOff>
    </xdr:from>
    <xdr:to>
      <xdr:col>55</xdr:col>
      <xdr:colOff>28009</xdr:colOff>
      <xdr:row>13</xdr:row>
      <xdr:rowOff>104400</xdr:rowOff>
    </xdr:to>
    <xdr:sp macro="" textlink="">
      <xdr:nvSpPr>
        <xdr:cNvPr id="20" name="Rectangle: Rounded Corners 19">
          <a:extLst>
            <a:ext uri="{FF2B5EF4-FFF2-40B4-BE49-F238E27FC236}">
              <a16:creationId xmlns:a16="http://schemas.microsoft.com/office/drawing/2014/main" id="{54B953B6-930F-6806-D76E-2150481B9D65}"/>
            </a:ext>
          </a:extLst>
        </xdr:cNvPr>
        <xdr:cNvSpPr/>
      </xdr:nvSpPr>
      <xdr:spPr>
        <a:xfrm>
          <a:off x="6685484" y="996902"/>
          <a:ext cx="1990620" cy="1514450"/>
        </a:xfrm>
        <a:prstGeom prst="roundRect">
          <a:avLst>
            <a:gd name="adj" fmla="val 13837"/>
          </a:avLst>
        </a:prstGeom>
        <a:solidFill>
          <a:srgbClr val="2A3F54"/>
        </a:solidFill>
        <a:ln w="34925">
          <a:solidFill>
            <a:srgbClr val="F5A6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29</xdr:col>
      <xdr:colOff>10186</xdr:colOff>
      <xdr:row>5</xdr:row>
      <xdr:rowOff>69386</xdr:rowOff>
    </xdr:from>
    <xdr:to>
      <xdr:col>41</xdr:col>
      <xdr:colOff>113950</xdr:colOff>
      <xdr:row>13</xdr:row>
      <xdr:rowOff>84028</xdr:rowOff>
    </xdr:to>
    <xdr:sp macro="" textlink="">
      <xdr:nvSpPr>
        <xdr:cNvPr id="22" name="Rectangle: Rounded Corners 21">
          <a:extLst>
            <a:ext uri="{FF2B5EF4-FFF2-40B4-BE49-F238E27FC236}">
              <a16:creationId xmlns:a16="http://schemas.microsoft.com/office/drawing/2014/main" id="{7304A765-84E4-F313-0E24-CF7D791FBA93}"/>
            </a:ext>
          </a:extLst>
        </xdr:cNvPr>
        <xdr:cNvSpPr/>
      </xdr:nvSpPr>
      <xdr:spPr>
        <a:xfrm>
          <a:off x="4570091" y="988624"/>
          <a:ext cx="1990621" cy="1502356"/>
        </a:xfrm>
        <a:prstGeom prst="roundRect">
          <a:avLst>
            <a:gd name="adj" fmla="val 13837"/>
          </a:avLst>
        </a:prstGeom>
        <a:solidFill>
          <a:srgbClr val="2A3F54"/>
        </a:solidFill>
        <a:ln w="34925">
          <a:solidFill>
            <a:srgbClr val="F5A6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74971</xdr:colOff>
      <xdr:row>5</xdr:row>
      <xdr:rowOff>88141</xdr:rowOff>
    </xdr:from>
    <xdr:to>
      <xdr:col>28</xdr:col>
      <xdr:colOff>23358</xdr:colOff>
      <xdr:row>13</xdr:row>
      <xdr:rowOff>114878</xdr:rowOff>
    </xdr:to>
    <xdr:sp macro="" textlink="">
      <xdr:nvSpPr>
        <xdr:cNvPr id="23" name="Rectangle: Rounded Corners 22">
          <a:extLst>
            <a:ext uri="{FF2B5EF4-FFF2-40B4-BE49-F238E27FC236}">
              <a16:creationId xmlns:a16="http://schemas.microsoft.com/office/drawing/2014/main" id="{D5CE2AD9-5401-DF85-DFE4-36579E2051B6}"/>
            </a:ext>
          </a:extLst>
        </xdr:cNvPr>
        <xdr:cNvSpPr/>
      </xdr:nvSpPr>
      <xdr:spPr>
        <a:xfrm>
          <a:off x="2476232" y="1023032"/>
          <a:ext cx="2029479" cy="1531527"/>
        </a:xfrm>
        <a:prstGeom prst="roundRect">
          <a:avLst>
            <a:gd name="adj" fmla="val 13837"/>
          </a:avLst>
        </a:prstGeom>
        <a:solidFill>
          <a:srgbClr val="2A3F54"/>
        </a:solidFill>
        <a:ln w="34925">
          <a:solidFill>
            <a:srgbClr val="F5A6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134322</xdr:colOff>
      <xdr:row>5</xdr:row>
      <xdr:rowOff>73842</xdr:rowOff>
    </xdr:from>
    <xdr:to>
      <xdr:col>14</xdr:col>
      <xdr:colOff>84030</xdr:colOff>
      <xdr:row>13</xdr:row>
      <xdr:rowOff>100578</xdr:rowOff>
    </xdr:to>
    <xdr:sp macro="" textlink="">
      <xdr:nvSpPr>
        <xdr:cNvPr id="24" name="Rectangle: Rounded Corners 23">
          <a:extLst>
            <a:ext uri="{FF2B5EF4-FFF2-40B4-BE49-F238E27FC236}">
              <a16:creationId xmlns:a16="http://schemas.microsoft.com/office/drawing/2014/main" id="{1F4B5AD2-9901-8635-3472-EB13AA7AF5BE}"/>
            </a:ext>
          </a:extLst>
        </xdr:cNvPr>
        <xdr:cNvSpPr/>
      </xdr:nvSpPr>
      <xdr:spPr>
        <a:xfrm>
          <a:off x="291204" y="985254"/>
          <a:ext cx="1989179" cy="1505912"/>
        </a:xfrm>
        <a:prstGeom prst="roundRect">
          <a:avLst>
            <a:gd name="adj" fmla="val 13837"/>
          </a:avLst>
        </a:prstGeom>
        <a:solidFill>
          <a:srgbClr val="2A3F54"/>
        </a:solidFill>
        <a:ln w="34925">
          <a:solidFill>
            <a:srgbClr val="F5A6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73</xdr:col>
      <xdr:colOff>146904</xdr:colOff>
      <xdr:row>6</xdr:row>
      <xdr:rowOff>28057</xdr:rowOff>
    </xdr:from>
    <xdr:to>
      <xdr:col>78</xdr:col>
      <xdr:colOff>13117</xdr:colOff>
      <xdr:row>9</xdr:row>
      <xdr:rowOff>132080</xdr:rowOff>
    </xdr:to>
    <xdr:pic>
      <xdr:nvPicPr>
        <xdr:cNvPr id="47" name="Picture 46">
          <a:extLst>
            <a:ext uri="{FF2B5EF4-FFF2-40B4-BE49-F238E27FC236}">
              <a16:creationId xmlns:a16="http://schemas.microsoft.com/office/drawing/2014/main" id="{F91EB124-AABB-6BA0-4271-949BB9582F72}"/>
            </a:ext>
          </a:extLst>
        </xdr:cNvPr>
        <xdr:cNvPicPr>
          <a:picLocks noChangeAspect="1"/>
        </xdr:cNvPicPr>
      </xdr:nvPicPr>
      <xdr:blipFill>
        <a:blip xmlns:r="http://schemas.openxmlformats.org/officeDocument/2006/relationships" r:embed="rId8">
          <a:clrChange>
            <a:clrFrom>
              <a:srgbClr val="000000"/>
            </a:clrFrom>
            <a:clrTo>
              <a:srgbClr val="000000">
                <a:alpha val="0"/>
              </a:srgbClr>
            </a:clrTo>
          </a:clrChange>
        </a:blip>
        <a:stretch>
          <a:fillRect/>
        </a:stretch>
      </xdr:blipFill>
      <xdr:spPr>
        <a:xfrm>
          <a:off x="12013784" y="1145657"/>
          <a:ext cx="679013" cy="652663"/>
        </a:xfrm>
        <a:prstGeom prst="rect">
          <a:avLst/>
        </a:prstGeom>
      </xdr:spPr>
    </xdr:pic>
    <xdr:clientData/>
  </xdr:twoCellAnchor>
  <xdr:twoCellAnchor editAs="oneCell">
    <xdr:from>
      <xdr:col>60</xdr:col>
      <xdr:colOff>31750</xdr:colOff>
      <xdr:row>5</xdr:row>
      <xdr:rowOff>114300</xdr:rowOff>
    </xdr:from>
    <xdr:to>
      <xdr:col>64</xdr:col>
      <xdr:colOff>121920</xdr:colOff>
      <xdr:row>9</xdr:row>
      <xdr:rowOff>153729</xdr:rowOff>
    </xdr:to>
    <xdr:pic>
      <xdr:nvPicPr>
        <xdr:cNvPr id="49" name="Picture 48">
          <a:extLst>
            <a:ext uri="{FF2B5EF4-FFF2-40B4-BE49-F238E27FC236}">
              <a16:creationId xmlns:a16="http://schemas.microsoft.com/office/drawing/2014/main" id="{81086D7D-3E97-8BAF-C434-EED11CB23866}"/>
            </a:ext>
          </a:extLst>
        </xdr:cNvPr>
        <xdr:cNvPicPr>
          <a:picLocks noChangeAspect="1"/>
        </xdr:cNvPicPr>
      </xdr:nvPicPr>
      <xdr:blipFill>
        <a:blip xmlns:r="http://schemas.openxmlformats.org/officeDocument/2006/relationships" r:embed="rId9">
          <a:clrChange>
            <a:clrFrom>
              <a:srgbClr val="000000"/>
            </a:clrFrom>
            <a:clrTo>
              <a:srgbClr val="000000">
                <a:alpha val="0"/>
              </a:srgbClr>
            </a:clrTo>
          </a:clrChange>
        </a:blip>
        <a:stretch>
          <a:fillRect/>
        </a:stretch>
      </xdr:blipFill>
      <xdr:spPr>
        <a:xfrm>
          <a:off x="9785350" y="1038860"/>
          <a:ext cx="740410" cy="781109"/>
        </a:xfrm>
        <a:prstGeom prst="rect">
          <a:avLst/>
        </a:prstGeom>
      </xdr:spPr>
    </xdr:pic>
    <xdr:clientData/>
  </xdr:twoCellAnchor>
  <xdr:twoCellAnchor editAs="oneCell">
    <xdr:from>
      <xdr:col>46</xdr:col>
      <xdr:colOff>50012</xdr:colOff>
      <xdr:row>6</xdr:row>
      <xdr:rowOff>81280</xdr:rowOff>
    </xdr:from>
    <xdr:to>
      <xdr:col>51</xdr:col>
      <xdr:colOff>137879</xdr:colOff>
      <xdr:row>9</xdr:row>
      <xdr:rowOff>71120</xdr:rowOff>
    </xdr:to>
    <xdr:pic>
      <xdr:nvPicPr>
        <xdr:cNvPr id="32" name="Picture 31">
          <a:extLst>
            <a:ext uri="{FF2B5EF4-FFF2-40B4-BE49-F238E27FC236}">
              <a16:creationId xmlns:a16="http://schemas.microsoft.com/office/drawing/2014/main" id="{937AD07B-B907-96E9-C0CE-5F271EBEB498}"/>
            </a:ext>
          </a:extLst>
        </xdr:cNvPr>
        <xdr:cNvPicPr>
          <a:picLocks noChangeAspect="1"/>
        </xdr:cNvPicPr>
      </xdr:nvPicPr>
      <xdr:blipFill>
        <a:blip xmlns:r="http://schemas.openxmlformats.org/officeDocument/2006/relationships" r:embed="rId10">
          <a:clrChange>
            <a:clrFrom>
              <a:srgbClr val="000000"/>
            </a:clrFrom>
            <a:clrTo>
              <a:srgbClr val="000000">
                <a:alpha val="0"/>
              </a:srgbClr>
            </a:clrTo>
          </a:clrChange>
        </a:blip>
        <a:stretch>
          <a:fillRect/>
        </a:stretch>
      </xdr:blipFill>
      <xdr:spPr>
        <a:xfrm>
          <a:off x="7527772" y="1198880"/>
          <a:ext cx="900667" cy="538480"/>
        </a:xfrm>
        <a:prstGeom prst="rect">
          <a:avLst/>
        </a:prstGeom>
      </xdr:spPr>
    </xdr:pic>
    <xdr:clientData/>
  </xdr:twoCellAnchor>
  <xdr:twoCellAnchor editAs="oneCell">
    <xdr:from>
      <xdr:col>6</xdr:col>
      <xdr:colOff>65404</xdr:colOff>
      <xdr:row>5</xdr:row>
      <xdr:rowOff>182880</xdr:rowOff>
    </xdr:from>
    <xdr:to>
      <xdr:col>10</xdr:col>
      <xdr:colOff>28755</xdr:colOff>
      <xdr:row>10</xdr:row>
      <xdr:rowOff>13061</xdr:rowOff>
    </xdr:to>
    <xdr:pic>
      <xdr:nvPicPr>
        <xdr:cNvPr id="34" name="Picture 33">
          <a:extLst>
            <a:ext uri="{FF2B5EF4-FFF2-40B4-BE49-F238E27FC236}">
              <a16:creationId xmlns:a16="http://schemas.microsoft.com/office/drawing/2014/main" id="{377D1D79-57DC-CAB7-CE38-E4852A888274}"/>
            </a:ext>
          </a:extLst>
        </xdr:cNvPr>
        <xdr:cNvPicPr>
          <a:picLocks noChangeAspect="1"/>
        </xdr:cNvPicPr>
      </xdr:nvPicPr>
      <xdr:blipFill>
        <a:blip xmlns:r="http://schemas.openxmlformats.org/officeDocument/2006/relationships" r:embed="rId11">
          <a:clrChange>
            <a:clrFrom>
              <a:srgbClr val="000000"/>
            </a:clrFrom>
            <a:clrTo>
              <a:srgbClr val="000000">
                <a:alpha val="0"/>
              </a:srgbClr>
            </a:clrTo>
          </a:clrChange>
        </a:blip>
        <a:stretch>
          <a:fillRect/>
        </a:stretch>
      </xdr:blipFill>
      <xdr:spPr>
        <a:xfrm>
          <a:off x="1014310" y="1117408"/>
          <a:ext cx="595954" cy="764710"/>
        </a:xfrm>
        <a:prstGeom prst="rect">
          <a:avLst/>
        </a:prstGeom>
      </xdr:spPr>
    </xdr:pic>
    <xdr:clientData/>
  </xdr:twoCellAnchor>
  <xdr:twoCellAnchor>
    <xdr:from>
      <xdr:col>3</xdr:col>
      <xdr:colOff>30480</xdr:colOff>
      <xdr:row>10</xdr:row>
      <xdr:rowOff>22410</xdr:rowOff>
    </xdr:from>
    <xdr:to>
      <xdr:col>13</xdr:col>
      <xdr:colOff>111759</xdr:colOff>
      <xdr:row>11</xdr:row>
      <xdr:rowOff>142240</xdr:rowOff>
    </xdr:to>
    <xdr:sp macro="" textlink="">
      <xdr:nvSpPr>
        <xdr:cNvPr id="27" name="TextBox 26">
          <a:extLst>
            <a:ext uri="{FF2B5EF4-FFF2-40B4-BE49-F238E27FC236}">
              <a16:creationId xmlns:a16="http://schemas.microsoft.com/office/drawing/2014/main" id="{1B9A3E27-5626-74DF-1E02-51E0802F8552}"/>
            </a:ext>
          </a:extLst>
        </xdr:cNvPr>
        <xdr:cNvSpPr txBox="1"/>
      </xdr:nvSpPr>
      <xdr:spPr>
        <a:xfrm>
          <a:off x="518160" y="1871530"/>
          <a:ext cx="1706879" cy="302710"/>
        </a:xfrm>
        <a:prstGeom prst="rect">
          <a:avLst/>
        </a:prstGeom>
        <a:solidFill>
          <a:srgbClr val="2A3F5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mn-lt"/>
            </a:rPr>
            <a:t>Total Net Revenue</a:t>
          </a:r>
        </a:p>
      </xdr:txBody>
    </xdr:sp>
    <xdr:clientData/>
  </xdr:twoCellAnchor>
  <xdr:twoCellAnchor>
    <xdr:from>
      <xdr:col>2</xdr:col>
      <xdr:colOff>104588</xdr:colOff>
      <xdr:row>12</xdr:row>
      <xdr:rowOff>1</xdr:rowOff>
    </xdr:from>
    <xdr:to>
      <xdr:col>13</xdr:col>
      <xdr:colOff>119529</xdr:colOff>
      <xdr:row>13</xdr:row>
      <xdr:rowOff>31104</xdr:rowOff>
    </xdr:to>
    <xdr:sp macro="" textlink="Analysis!X2">
      <xdr:nvSpPr>
        <xdr:cNvPr id="28" name="TextBox 27">
          <a:extLst>
            <a:ext uri="{FF2B5EF4-FFF2-40B4-BE49-F238E27FC236}">
              <a16:creationId xmlns:a16="http://schemas.microsoft.com/office/drawing/2014/main" id="{EFAD0478-8EC9-013E-33E4-734C0AA62395}"/>
            </a:ext>
          </a:extLst>
        </xdr:cNvPr>
        <xdr:cNvSpPr txBox="1"/>
      </xdr:nvSpPr>
      <xdr:spPr>
        <a:xfrm>
          <a:off x="418353" y="2196354"/>
          <a:ext cx="1740647" cy="225338"/>
        </a:xfrm>
        <a:prstGeom prst="rect">
          <a:avLst/>
        </a:prstGeom>
        <a:solidFill>
          <a:srgbClr val="2A3F5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65AFFC-3B1F-4012-869D-5523A323BCD8}" type="TxLink">
            <a:rPr lang="en-US" sz="1800" b="1" i="0" u="none" strike="noStrike">
              <a:solidFill>
                <a:srgbClr val="F5A623"/>
              </a:solidFill>
              <a:latin typeface="+mn-lt"/>
            </a:rPr>
            <a:pPr algn="ctr"/>
            <a:t>₹ 54,28,420</a:t>
          </a:fld>
          <a:endParaRPr lang="en-IN" sz="2400" b="1">
            <a:solidFill>
              <a:srgbClr val="F5A623"/>
            </a:solidFill>
            <a:latin typeface="+mn-lt"/>
          </a:endParaRPr>
        </a:p>
      </xdr:txBody>
    </xdr:sp>
    <xdr:clientData/>
  </xdr:twoCellAnchor>
  <xdr:twoCellAnchor editAs="oneCell">
    <xdr:from>
      <xdr:col>19</xdr:col>
      <xdr:colOff>107405</xdr:colOff>
      <xdr:row>6</xdr:row>
      <xdr:rowOff>95310</xdr:rowOff>
    </xdr:from>
    <xdr:to>
      <xdr:col>24</xdr:col>
      <xdr:colOff>101652</xdr:colOff>
      <xdr:row>10</xdr:row>
      <xdr:rowOff>10160</xdr:rowOff>
    </xdr:to>
    <xdr:pic>
      <xdr:nvPicPr>
        <xdr:cNvPr id="45" name="Picture 44">
          <a:extLst>
            <a:ext uri="{FF2B5EF4-FFF2-40B4-BE49-F238E27FC236}">
              <a16:creationId xmlns:a16="http://schemas.microsoft.com/office/drawing/2014/main" id="{CEA5304E-6F85-8575-B3E6-54CF5676EB5A}"/>
            </a:ext>
          </a:extLst>
        </xdr:cNvPr>
        <xdr:cNvPicPr>
          <a:picLocks noChangeAspect="1"/>
        </xdr:cNvPicPr>
      </xdr:nvPicPr>
      <xdr:blipFill>
        <a:blip xmlns:r="http://schemas.openxmlformats.org/officeDocument/2006/relationships" r:embed="rId12">
          <a:clrChange>
            <a:clrFrom>
              <a:srgbClr val="000000"/>
            </a:clrFrom>
            <a:clrTo>
              <a:srgbClr val="000000">
                <a:alpha val="0"/>
              </a:srgbClr>
            </a:clrTo>
          </a:clrChange>
        </a:blip>
        <a:stretch>
          <a:fillRect/>
        </a:stretch>
      </xdr:blipFill>
      <xdr:spPr>
        <a:xfrm>
          <a:off x="3196045" y="1212910"/>
          <a:ext cx="807047" cy="646370"/>
        </a:xfrm>
        <a:prstGeom prst="rect">
          <a:avLst/>
        </a:prstGeom>
      </xdr:spPr>
    </xdr:pic>
    <xdr:clientData/>
  </xdr:twoCellAnchor>
  <xdr:twoCellAnchor editAs="oneCell">
    <xdr:from>
      <xdr:col>33</xdr:col>
      <xdr:colOff>40640</xdr:colOff>
      <xdr:row>6</xdr:row>
      <xdr:rowOff>50798</xdr:rowOff>
    </xdr:from>
    <xdr:to>
      <xdr:col>37</xdr:col>
      <xdr:colOff>68883</xdr:colOff>
      <xdr:row>9</xdr:row>
      <xdr:rowOff>173209</xdr:rowOff>
    </xdr:to>
    <xdr:pic>
      <xdr:nvPicPr>
        <xdr:cNvPr id="51" name="Picture 50">
          <a:extLst>
            <a:ext uri="{FF2B5EF4-FFF2-40B4-BE49-F238E27FC236}">
              <a16:creationId xmlns:a16="http://schemas.microsoft.com/office/drawing/2014/main" id="{5D835E10-A5E1-2B1C-A3F0-906B84E60AEF}"/>
            </a:ext>
          </a:extLst>
        </xdr:cNvPr>
        <xdr:cNvPicPr>
          <a:picLocks noChangeAspect="1"/>
        </xdr:cNvPicPr>
      </xdr:nvPicPr>
      <xdr:blipFill>
        <a:blip xmlns:r="http://schemas.openxmlformats.org/officeDocument/2006/relationships" r:embed="rId13">
          <a:clrChange>
            <a:clrFrom>
              <a:srgbClr val="181C1F"/>
            </a:clrFrom>
            <a:clrTo>
              <a:srgbClr val="181C1F">
                <a:alpha val="0"/>
              </a:srgbClr>
            </a:clrTo>
          </a:clrChange>
        </a:blip>
        <a:stretch>
          <a:fillRect/>
        </a:stretch>
      </xdr:blipFill>
      <xdr:spPr>
        <a:xfrm>
          <a:off x="5405120" y="1168398"/>
          <a:ext cx="678483" cy="671051"/>
        </a:xfrm>
        <a:prstGeom prst="rect">
          <a:avLst/>
        </a:prstGeom>
      </xdr:spPr>
    </xdr:pic>
    <xdr:clientData/>
  </xdr:twoCellAnchor>
  <xdr:twoCellAnchor>
    <xdr:from>
      <xdr:col>16</xdr:col>
      <xdr:colOff>53361</xdr:colOff>
      <xdr:row>12</xdr:row>
      <xdr:rowOff>12808</xdr:rowOff>
    </xdr:from>
    <xdr:to>
      <xdr:col>27</xdr:col>
      <xdr:colOff>68302</xdr:colOff>
      <xdr:row>13</xdr:row>
      <xdr:rowOff>43911</xdr:rowOff>
    </xdr:to>
    <xdr:sp macro="" textlink="Analysis!X3">
      <xdr:nvSpPr>
        <xdr:cNvPr id="29" name="TextBox 28">
          <a:extLst>
            <a:ext uri="{FF2B5EF4-FFF2-40B4-BE49-F238E27FC236}">
              <a16:creationId xmlns:a16="http://schemas.microsoft.com/office/drawing/2014/main" id="{5A83C81C-C03E-1835-00FC-D2F020EEDE78}"/>
            </a:ext>
          </a:extLst>
        </xdr:cNvPr>
        <xdr:cNvSpPr txBox="1"/>
      </xdr:nvSpPr>
      <xdr:spPr>
        <a:xfrm>
          <a:off x="2614706" y="2260388"/>
          <a:ext cx="1775865" cy="223204"/>
        </a:xfrm>
        <a:prstGeom prst="rect">
          <a:avLst/>
        </a:prstGeom>
        <a:solidFill>
          <a:srgbClr val="2A3F5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96569D-79D4-4B9D-BDA8-F2023A1AF81C}" type="TxLink">
            <a:rPr lang="en-US" sz="1800" b="1" i="0" u="none" strike="noStrike">
              <a:solidFill>
                <a:srgbClr val="F5A623"/>
              </a:solidFill>
              <a:latin typeface="+mn-lt"/>
              <a:ea typeface="+mn-ea"/>
              <a:cs typeface="+mn-cs"/>
            </a:rPr>
            <a:pPr marL="0" indent="0" algn="ctr"/>
            <a:t>4491</a:t>
          </a:fld>
          <a:endParaRPr lang="en-IN" sz="1800" b="1" i="0" u="none" strike="noStrike">
            <a:solidFill>
              <a:srgbClr val="F5A623"/>
            </a:solidFill>
            <a:latin typeface="+mn-lt"/>
            <a:ea typeface="+mn-ea"/>
            <a:cs typeface="+mn-cs"/>
          </a:endParaRPr>
        </a:p>
      </xdr:txBody>
    </xdr:sp>
    <xdr:clientData/>
  </xdr:twoCellAnchor>
  <xdr:twoCellAnchor>
    <xdr:from>
      <xdr:col>29</xdr:col>
      <xdr:colOff>143009</xdr:colOff>
      <xdr:row>11</xdr:row>
      <xdr:rowOff>185700</xdr:rowOff>
    </xdr:from>
    <xdr:to>
      <xdr:col>40</xdr:col>
      <xdr:colOff>157950</xdr:colOff>
      <xdr:row>13</xdr:row>
      <xdr:rowOff>24702</xdr:rowOff>
    </xdr:to>
    <xdr:sp macro="" textlink="Analysis!X4">
      <xdr:nvSpPr>
        <xdr:cNvPr id="30" name="TextBox 29">
          <a:extLst>
            <a:ext uri="{FF2B5EF4-FFF2-40B4-BE49-F238E27FC236}">
              <a16:creationId xmlns:a16="http://schemas.microsoft.com/office/drawing/2014/main" id="{C58C5EB1-2B93-F2A1-EE60-8C5BB5E821C8}"/>
            </a:ext>
          </a:extLst>
        </xdr:cNvPr>
        <xdr:cNvSpPr txBox="1"/>
      </xdr:nvSpPr>
      <xdr:spPr>
        <a:xfrm>
          <a:off x="4785446" y="2241179"/>
          <a:ext cx="1775865" cy="223204"/>
        </a:xfrm>
        <a:prstGeom prst="rect">
          <a:avLst/>
        </a:prstGeom>
        <a:solidFill>
          <a:srgbClr val="2A3F5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57C1CA-885B-48F6-B9C7-44F63A945F04}" type="TxLink">
            <a:rPr lang="en-US" sz="1800" b="1" i="0" u="none" strike="noStrike">
              <a:solidFill>
                <a:srgbClr val="F5A623"/>
              </a:solidFill>
              <a:latin typeface="+mn-lt"/>
              <a:ea typeface="+mn-ea"/>
              <a:cs typeface="+mn-cs"/>
            </a:rPr>
            <a:pPr marL="0" indent="0" algn="ctr"/>
            <a:t>50.16%</a:t>
          </a:fld>
          <a:endParaRPr lang="en-IN" sz="1800" b="1" i="0" u="none" strike="noStrike">
            <a:solidFill>
              <a:srgbClr val="F5A623"/>
            </a:solidFill>
            <a:latin typeface="+mn-lt"/>
            <a:ea typeface="+mn-ea"/>
            <a:cs typeface="+mn-cs"/>
          </a:endParaRPr>
        </a:p>
      </xdr:txBody>
    </xdr:sp>
    <xdr:clientData/>
  </xdr:twoCellAnchor>
  <xdr:twoCellAnchor>
    <xdr:from>
      <xdr:col>43</xdr:col>
      <xdr:colOff>53363</xdr:colOff>
      <xdr:row>11</xdr:row>
      <xdr:rowOff>185699</xdr:rowOff>
    </xdr:from>
    <xdr:to>
      <xdr:col>54</xdr:col>
      <xdr:colOff>68303</xdr:colOff>
      <xdr:row>13</xdr:row>
      <xdr:rowOff>24701</xdr:rowOff>
    </xdr:to>
    <xdr:sp macro="" textlink="Analysis!X5">
      <xdr:nvSpPr>
        <xdr:cNvPr id="31" name="TextBox 30">
          <a:extLst>
            <a:ext uri="{FF2B5EF4-FFF2-40B4-BE49-F238E27FC236}">
              <a16:creationId xmlns:a16="http://schemas.microsoft.com/office/drawing/2014/main" id="{2563DF37-DCDC-B958-2F8F-693981FFB513}"/>
            </a:ext>
          </a:extLst>
        </xdr:cNvPr>
        <xdr:cNvSpPr txBox="1"/>
      </xdr:nvSpPr>
      <xdr:spPr>
        <a:xfrm>
          <a:off x="6936976" y="2241178"/>
          <a:ext cx="1775865" cy="223204"/>
        </a:xfrm>
        <a:prstGeom prst="rect">
          <a:avLst/>
        </a:prstGeom>
        <a:solidFill>
          <a:srgbClr val="2A3F5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88C049-4096-41CF-9423-5B909FE5351B}" type="TxLink">
            <a:rPr lang="en-US" sz="1800" b="1" i="0" u="none" strike="noStrike">
              <a:solidFill>
                <a:srgbClr val="F5A623"/>
              </a:solidFill>
              <a:latin typeface="+mn-lt"/>
              <a:ea typeface="+mn-ea"/>
              <a:cs typeface="+mn-cs"/>
            </a:rPr>
            <a:pPr marL="0" indent="0" algn="ctr"/>
            <a:t>4.85%</a:t>
          </a:fld>
          <a:endParaRPr lang="en-IN" sz="1800" b="1" i="0" u="none" strike="noStrike">
            <a:solidFill>
              <a:srgbClr val="F5A623"/>
            </a:solidFill>
            <a:latin typeface="+mn-lt"/>
            <a:ea typeface="+mn-ea"/>
            <a:cs typeface="+mn-cs"/>
          </a:endParaRPr>
        </a:p>
      </xdr:txBody>
    </xdr:sp>
    <xdr:clientData/>
  </xdr:twoCellAnchor>
  <xdr:twoCellAnchor>
    <xdr:from>
      <xdr:col>57</xdr:col>
      <xdr:colOff>2135</xdr:colOff>
      <xdr:row>11</xdr:row>
      <xdr:rowOff>179296</xdr:rowOff>
    </xdr:from>
    <xdr:to>
      <xdr:col>68</xdr:col>
      <xdr:colOff>17076</xdr:colOff>
      <xdr:row>13</xdr:row>
      <xdr:rowOff>18298</xdr:rowOff>
    </xdr:to>
    <xdr:sp macro="" textlink="Analysis!X6">
      <xdr:nvSpPr>
        <xdr:cNvPr id="33" name="TextBox 32">
          <a:extLst>
            <a:ext uri="{FF2B5EF4-FFF2-40B4-BE49-F238E27FC236}">
              <a16:creationId xmlns:a16="http://schemas.microsoft.com/office/drawing/2014/main" id="{1D67C379-BB20-D62C-BEFE-A3BBA6622D9C}"/>
            </a:ext>
          </a:extLst>
        </xdr:cNvPr>
        <xdr:cNvSpPr txBox="1"/>
      </xdr:nvSpPr>
      <xdr:spPr>
        <a:xfrm>
          <a:off x="9126925" y="2234775"/>
          <a:ext cx="1775865" cy="223204"/>
        </a:xfrm>
        <a:prstGeom prst="rect">
          <a:avLst/>
        </a:prstGeom>
        <a:solidFill>
          <a:srgbClr val="2A3F5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96687B-24D8-4FA4-9AA3-C5E51D5C31C8}" type="TxLink">
            <a:rPr lang="en-US" sz="1800" b="1" i="0" u="none" strike="noStrike">
              <a:solidFill>
                <a:srgbClr val="F5A623"/>
              </a:solidFill>
              <a:latin typeface="+mn-lt"/>
              <a:ea typeface="+mn-ea"/>
              <a:cs typeface="+mn-cs"/>
            </a:rPr>
            <a:pPr marL="0" indent="0" algn="ctr"/>
            <a:t>November</a:t>
          </a:fld>
          <a:endParaRPr lang="en-IN" sz="1800" b="1" i="0" u="none" strike="noStrike">
            <a:solidFill>
              <a:srgbClr val="F5A623"/>
            </a:solidFill>
            <a:latin typeface="+mn-lt"/>
            <a:ea typeface="+mn-ea"/>
            <a:cs typeface="+mn-cs"/>
          </a:endParaRPr>
        </a:p>
      </xdr:txBody>
    </xdr:sp>
    <xdr:clientData/>
  </xdr:twoCellAnchor>
  <xdr:twoCellAnchor>
    <xdr:from>
      <xdr:col>70</xdr:col>
      <xdr:colOff>59766</xdr:colOff>
      <xdr:row>11</xdr:row>
      <xdr:rowOff>185700</xdr:rowOff>
    </xdr:from>
    <xdr:to>
      <xdr:col>81</xdr:col>
      <xdr:colOff>74706</xdr:colOff>
      <xdr:row>13</xdr:row>
      <xdr:rowOff>24702</xdr:rowOff>
    </xdr:to>
    <xdr:sp macro="" textlink="Analysis!X7">
      <xdr:nvSpPr>
        <xdr:cNvPr id="35" name="TextBox 34">
          <a:extLst>
            <a:ext uri="{FF2B5EF4-FFF2-40B4-BE49-F238E27FC236}">
              <a16:creationId xmlns:a16="http://schemas.microsoft.com/office/drawing/2014/main" id="{E4DB8405-6B22-3BE6-5545-7044450D7263}"/>
            </a:ext>
          </a:extLst>
        </xdr:cNvPr>
        <xdr:cNvSpPr txBox="1"/>
      </xdr:nvSpPr>
      <xdr:spPr>
        <a:xfrm>
          <a:off x="11265648" y="2241179"/>
          <a:ext cx="1775865" cy="223204"/>
        </a:xfrm>
        <a:prstGeom prst="rect">
          <a:avLst/>
        </a:prstGeom>
        <a:solidFill>
          <a:srgbClr val="2A3F5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D013DC-076A-4233-872A-B12B9FD9392B}" type="TxLink">
            <a:rPr lang="en-US" sz="1800" b="1" i="0" u="none" strike="noStrike">
              <a:solidFill>
                <a:srgbClr val="F5A623"/>
              </a:solidFill>
              <a:latin typeface="+mn-lt"/>
              <a:ea typeface="+mn-ea"/>
              <a:cs typeface="+mn-cs"/>
            </a:rPr>
            <a:pPr marL="0" indent="0" algn="ctr"/>
            <a:t>Topwear</a:t>
          </a:fld>
          <a:endParaRPr lang="en-IN" sz="1800" b="1" i="0" u="none" strike="noStrike">
            <a:solidFill>
              <a:srgbClr val="F5A623"/>
            </a:solidFill>
            <a:latin typeface="+mn-lt"/>
            <a:ea typeface="+mn-ea"/>
            <a:cs typeface="+mn-cs"/>
          </a:endParaRPr>
        </a:p>
      </xdr:txBody>
    </xdr:sp>
    <xdr:clientData/>
  </xdr:twoCellAnchor>
  <xdr:twoCellAnchor>
    <xdr:from>
      <xdr:col>17</xdr:col>
      <xdr:colOff>70437</xdr:colOff>
      <xdr:row>9</xdr:row>
      <xdr:rowOff>185697</xdr:rowOff>
    </xdr:from>
    <xdr:to>
      <xdr:col>26</xdr:col>
      <xdr:colOff>64033</xdr:colOff>
      <xdr:row>11</xdr:row>
      <xdr:rowOff>102453</xdr:rowOff>
    </xdr:to>
    <xdr:sp macro="" textlink="">
      <xdr:nvSpPr>
        <xdr:cNvPr id="46" name="TextBox 45">
          <a:extLst>
            <a:ext uri="{FF2B5EF4-FFF2-40B4-BE49-F238E27FC236}">
              <a16:creationId xmlns:a16="http://schemas.microsoft.com/office/drawing/2014/main" id="{A1259697-DC9B-4E39-8282-0FBDE9E659BD}"/>
            </a:ext>
          </a:extLst>
        </xdr:cNvPr>
        <xdr:cNvSpPr txBox="1"/>
      </xdr:nvSpPr>
      <xdr:spPr>
        <a:xfrm>
          <a:off x="2791866" y="1869781"/>
          <a:ext cx="1434352" cy="288151"/>
        </a:xfrm>
        <a:prstGeom prst="rect">
          <a:avLst/>
        </a:prstGeom>
        <a:solidFill>
          <a:srgbClr val="2A3F5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chemeClr val="dk1"/>
              </a:solidFill>
              <a:effectLst/>
              <a:latin typeface="+mn-lt"/>
              <a:ea typeface="+mn-ea"/>
              <a:cs typeface="+mn-cs"/>
            </a:rPr>
            <a:t> </a:t>
          </a:r>
          <a:r>
            <a:rPr lang="en-IN" sz="1400" b="1" i="0" u="none" strike="noStrike">
              <a:solidFill>
                <a:schemeClr val="bg1"/>
              </a:solidFill>
              <a:effectLst/>
              <a:latin typeface="+mn-lt"/>
              <a:ea typeface="+mn-ea"/>
              <a:cs typeface="+mn-cs"/>
            </a:rPr>
            <a:t>Units Sold</a:t>
          </a:r>
          <a:r>
            <a:rPr lang="en-IN" sz="1400">
              <a:solidFill>
                <a:schemeClr val="bg1"/>
              </a:solidFill>
              <a:effectLst/>
            </a:rPr>
            <a:t> </a:t>
          </a:r>
          <a:endParaRPr lang="en-IN" sz="1100">
            <a:solidFill>
              <a:schemeClr val="bg1"/>
            </a:solidFill>
          </a:endParaRPr>
        </a:p>
      </xdr:txBody>
    </xdr:sp>
    <xdr:clientData/>
  </xdr:twoCellAnchor>
  <xdr:twoCellAnchor>
    <xdr:from>
      <xdr:col>30</xdr:col>
      <xdr:colOff>102454</xdr:colOff>
      <xdr:row>10</xdr:row>
      <xdr:rowOff>38420</xdr:rowOff>
    </xdr:from>
    <xdr:to>
      <xdr:col>40</xdr:col>
      <xdr:colOff>83244</xdr:colOff>
      <xdr:row>11</xdr:row>
      <xdr:rowOff>108857</xdr:rowOff>
    </xdr:to>
    <xdr:sp macro="" textlink="">
      <xdr:nvSpPr>
        <xdr:cNvPr id="53" name="TextBox 52">
          <a:extLst>
            <a:ext uri="{FF2B5EF4-FFF2-40B4-BE49-F238E27FC236}">
              <a16:creationId xmlns:a16="http://schemas.microsoft.com/office/drawing/2014/main" id="{5115B208-0301-480B-900E-14240F5B153D}"/>
            </a:ext>
          </a:extLst>
        </xdr:cNvPr>
        <xdr:cNvSpPr txBox="1"/>
      </xdr:nvSpPr>
      <xdr:spPr>
        <a:xfrm>
          <a:off x="4904975" y="1908202"/>
          <a:ext cx="1581630" cy="256134"/>
        </a:xfrm>
        <a:prstGeom prst="rect">
          <a:avLst/>
        </a:prstGeom>
        <a:solidFill>
          <a:srgbClr val="2A3F5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mn-lt"/>
            </a:rPr>
            <a:t>Avg Gross Margin</a:t>
          </a:r>
        </a:p>
      </xdr:txBody>
    </xdr:sp>
    <xdr:clientData/>
  </xdr:twoCellAnchor>
  <xdr:twoCellAnchor>
    <xdr:from>
      <xdr:col>57</xdr:col>
      <xdr:colOff>51227</xdr:colOff>
      <xdr:row>10</xdr:row>
      <xdr:rowOff>32016</xdr:rowOff>
    </xdr:from>
    <xdr:to>
      <xdr:col>68</xdr:col>
      <xdr:colOff>0</xdr:colOff>
      <xdr:row>11</xdr:row>
      <xdr:rowOff>121663</xdr:rowOff>
    </xdr:to>
    <xdr:sp macro="" textlink="">
      <xdr:nvSpPr>
        <xdr:cNvPr id="54" name="TextBox 53">
          <a:extLst>
            <a:ext uri="{FF2B5EF4-FFF2-40B4-BE49-F238E27FC236}">
              <a16:creationId xmlns:a16="http://schemas.microsoft.com/office/drawing/2014/main" id="{796D80F7-5801-42DB-99FA-BF1D1FA4AFDA}"/>
            </a:ext>
          </a:extLst>
        </xdr:cNvPr>
        <xdr:cNvSpPr txBox="1"/>
      </xdr:nvSpPr>
      <xdr:spPr>
        <a:xfrm>
          <a:off x="9176017" y="1901798"/>
          <a:ext cx="1709697" cy="275344"/>
        </a:xfrm>
        <a:prstGeom prst="rect">
          <a:avLst/>
        </a:prstGeom>
        <a:solidFill>
          <a:srgbClr val="2A3F5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mn-lt"/>
            </a:rPr>
            <a:t>Best Month</a:t>
          </a:r>
        </a:p>
      </xdr:txBody>
    </xdr:sp>
    <xdr:clientData/>
  </xdr:twoCellAnchor>
  <xdr:twoCellAnchor>
    <xdr:from>
      <xdr:col>44</xdr:col>
      <xdr:colOff>12806</xdr:colOff>
      <xdr:row>10</xdr:row>
      <xdr:rowOff>25613</xdr:rowOff>
    </xdr:from>
    <xdr:to>
      <xdr:col>53</xdr:col>
      <xdr:colOff>147276</xdr:colOff>
      <xdr:row>11</xdr:row>
      <xdr:rowOff>121663</xdr:rowOff>
    </xdr:to>
    <xdr:sp macro="" textlink="">
      <xdr:nvSpPr>
        <xdr:cNvPr id="55" name="TextBox 54">
          <a:extLst>
            <a:ext uri="{FF2B5EF4-FFF2-40B4-BE49-F238E27FC236}">
              <a16:creationId xmlns:a16="http://schemas.microsoft.com/office/drawing/2014/main" id="{09565D63-17B9-4629-B572-7D6660427462}"/>
            </a:ext>
          </a:extLst>
        </xdr:cNvPr>
        <xdr:cNvSpPr txBox="1"/>
      </xdr:nvSpPr>
      <xdr:spPr>
        <a:xfrm>
          <a:off x="7056503" y="1895395"/>
          <a:ext cx="1575227" cy="281747"/>
        </a:xfrm>
        <a:prstGeom prst="rect">
          <a:avLst/>
        </a:prstGeom>
        <a:solidFill>
          <a:srgbClr val="2A3F5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rPr>
            <a:t> </a:t>
          </a:r>
          <a:r>
            <a:rPr lang="en-IN" sz="1400" b="1">
              <a:solidFill>
                <a:schemeClr val="bg1"/>
              </a:solidFill>
              <a:latin typeface="+mn-lt"/>
            </a:rPr>
            <a:t>Return Rate</a:t>
          </a:r>
        </a:p>
      </xdr:txBody>
    </xdr:sp>
    <xdr:clientData/>
  </xdr:twoCellAnchor>
  <xdr:twoCellAnchor>
    <xdr:from>
      <xdr:col>70</xdr:col>
      <xdr:colOff>153680</xdr:colOff>
      <xdr:row>10</xdr:row>
      <xdr:rowOff>51226</xdr:rowOff>
    </xdr:from>
    <xdr:to>
      <xdr:col>80</xdr:col>
      <xdr:colOff>30480</xdr:colOff>
      <xdr:row>11</xdr:row>
      <xdr:rowOff>91440</xdr:rowOff>
    </xdr:to>
    <xdr:sp macro="" textlink="">
      <xdr:nvSpPr>
        <xdr:cNvPr id="56" name="TextBox 55">
          <a:extLst>
            <a:ext uri="{FF2B5EF4-FFF2-40B4-BE49-F238E27FC236}">
              <a16:creationId xmlns:a16="http://schemas.microsoft.com/office/drawing/2014/main" id="{DF4FF8E5-836B-4639-919A-7DA44E725514}"/>
            </a:ext>
          </a:extLst>
        </xdr:cNvPr>
        <xdr:cNvSpPr txBox="1"/>
      </xdr:nvSpPr>
      <xdr:spPr>
        <a:xfrm>
          <a:off x="11532880" y="1900346"/>
          <a:ext cx="1502400" cy="223094"/>
        </a:xfrm>
        <a:prstGeom prst="rect">
          <a:avLst/>
        </a:prstGeom>
        <a:solidFill>
          <a:srgbClr val="2A3F5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mn-lt"/>
            </a:rPr>
            <a:t> Top Category</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0.8227</cdr:x>
      <cdr:y>0.02162</cdr:y>
    </cdr:from>
    <cdr:to>
      <cdr:x>0.98258</cdr:x>
      <cdr:y>0.10468</cdr:y>
    </cdr:to>
    <cdr:sp macro="" textlink="">
      <cdr:nvSpPr>
        <cdr:cNvPr id="2" name="TextBox 1">
          <a:extLst xmlns:a="http://schemas.openxmlformats.org/drawingml/2006/main">
            <a:ext uri="{FF2B5EF4-FFF2-40B4-BE49-F238E27FC236}">
              <a16:creationId xmlns:a16="http://schemas.microsoft.com/office/drawing/2014/main" id="{317554D2-9F06-8784-01A5-CA761FF2A471}"/>
            </a:ext>
          </a:extLst>
        </cdr:cNvPr>
        <cdr:cNvSpPr txBox="1"/>
      </cdr:nvSpPr>
      <cdr:spPr>
        <a:xfrm xmlns:a="http://schemas.openxmlformats.org/drawingml/2006/main">
          <a:off x="6548122" y="73174"/>
          <a:ext cx="1272466" cy="28112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 refreshedDate="46155.752200694442" createdVersion="8" refreshedVersion="8" minRefreshableVersion="3" recordCount="1500" xr:uid="{19CB780C-BAF8-4716-BF86-7646B4D2356D}">
  <cacheSource type="worksheet">
    <worksheetSource name="Sales_Master"/>
  </cacheSource>
  <cacheFields count="22">
    <cacheField name="Sale_ID" numFmtId="0">
      <sharedItems/>
    </cacheField>
    <cacheField name="Date" numFmtId="14">
      <sharedItems containsSemiMixedTypes="0" containsNonDate="0" containsDate="1" containsString="0" minDate="2024-01-01T00:00:00" maxDate="2025-01-01T00:00:00"/>
    </cacheField>
    <cacheField name="Week_Number" numFmtId="0">
      <sharedItems containsSemiMixedTypes="0" containsString="0" containsNumber="1" containsInteger="1" minValue="1" maxValue="52" count="52">
        <n v="1"/>
        <n v="3"/>
        <n v="2"/>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sharedItems>
    </cacheField>
    <cacheField name="Month" numFmtId="0">
      <sharedItems containsSemiMixedTypes="0" containsString="0" containsNumber="1" containsInteger="1" minValue="1" maxValue="12"/>
    </cacheField>
    <cacheField name="Month_Name" numFmtId="0">
      <sharedItems count="12">
        <s v="January"/>
        <s v="February"/>
        <s v="March"/>
        <s v="April"/>
        <s v="May"/>
        <s v="June"/>
        <s v="July"/>
        <s v="August"/>
        <s v="September"/>
        <s v="October"/>
        <s v="November"/>
        <s v="December"/>
      </sharedItems>
    </cacheField>
    <cacheField name="Product_ID" numFmtId="0">
      <sharedItems/>
    </cacheField>
    <cacheField name="Category" numFmtId="0">
      <sharedItems count="6">
        <s v="Topwear"/>
        <s v="Winter Collection"/>
        <s v="Footwear"/>
        <s v="Bottomwear"/>
        <s v="Accessories"/>
        <s v="Summer Collection"/>
      </sharedItems>
    </cacheField>
    <cacheField name="Units_Sold" numFmtId="0">
      <sharedItems containsSemiMixedTypes="0" containsString="0" containsNumber="1" containsInteger="1" minValue="1" maxValue="5"/>
    </cacheField>
    <cacheField name="Sale_Price" numFmtId="0">
      <sharedItems containsSemiMixedTypes="0" containsString="0" containsNumber="1" minValue="323" maxValue="4500"/>
    </cacheField>
    <cacheField name="Discount_%" numFmtId="0">
      <sharedItems containsSemiMixedTypes="0" containsString="0" containsNumber="1" containsInteger="1" minValue="0" maxValue="15"/>
    </cacheField>
    <cacheField name="Product_Name" numFmtId="0">
      <sharedItems count="30">
        <s v="Polo Neck Tee"/>
        <s v="Woolen Muffler"/>
        <s v="Slim Fit Shirt"/>
        <s v="Leather Loafers"/>
        <s v="Track Pants"/>
        <s v="Formal Blazer"/>
        <s v="Leather Wallet"/>
        <s v="Ethnic Pyjama"/>
        <s v="Sunglasses"/>
        <s v="Formal Trousers"/>
        <s v="Chino Trousers"/>
        <s v="Woolen Sweater"/>
        <s v="Quilted Jacket"/>
        <s v="Formal Oxford Shoes"/>
        <s v="Wrist Watch"/>
        <s v="Leather Belt"/>
        <s v="Silk Pocket Square"/>
        <s v="Casual T-Shirt"/>
        <s v="Ethnic Juttis"/>
        <s v="Thermal Innerwear Set"/>
        <s v="Fleece Hoodie"/>
        <s v="Running Sneakers"/>
        <s v="Slim Fit Jeans"/>
        <s v="Classic Cotton Kurta"/>
        <s v="Casual Sandals"/>
        <s v="Ethnic Sherwani"/>
        <s v="Cotton Shorts"/>
        <s v="Sleeveless Vest"/>
        <s v="Linen Shirt"/>
        <s v="Breathable Joggers"/>
      </sharedItems>
    </cacheField>
    <cacheField name="COGS" numFmtId="0">
      <sharedItems containsSemiMixedTypes="0" containsString="0" containsNumber="1" containsInteger="1" minValue="150" maxValue="2000"/>
    </cacheField>
    <cacheField name="Revenue_INR" numFmtId="0">
      <sharedItems containsSemiMixedTypes="0" containsString="0" containsNumber="1" minValue="323" maxValue="22500"/>
    </cacheField>
    <cacheField name="Total_COGS" numFmtId="0">
      <sharedItems containsSemiMixedTypes="0" containsString="0" containsNumber="1" containsInteger="1" minValue="150" maxValue="10000"/>
    </cacheField>
    <cacheField name="Gross_Profit" numFmtId="0">
      <sharedItems containsSemiMixedTypes="0" containsString="0" containsNumber="1" minValue="140" maxValue="13500"/>
    </cacheField>
    <cacheField name="Gross_Margin_%" numFmtId="0">
      <sharedItems containsSemiMixedTypes="0" containsString="0" containsNumber="1" minValue="0.34640522875816998" maxValue="0.60526315789473695"/>
    </cacheField>
    <cacheField name="Units_Returned" numFmtId="0">
      <sharedItems containsSemiMixedTypes="0" containsString="0" containsNumber="1" containsInteger="1" minValue="0" maxValue="5"/>
    </cacheField>
    <cacheField name="Units_Returned_Clean" numFmtId="0">
      <sharedItems containsSemiMixedTypes="0" containsString="0" containsNumber="1" containsInteger="1" minValue="0" maxValue="5"/>
    </cacheField>
    <cacheField name="Net_Units_Sold" numFmtId="0">
      <sharedItems containsSemiMixedTypes="0" containsString="0" containsNumber="1" containsInteger="1" minValue="0" maxValue="5"/>
    </cacheField>
    <cacheField name="Net_Revenue_INR" numFmtId="0">
      <sharedItems containsSemiMixedTypes="0" containsString="0" containsNumber="1" minValue="0" maxValue="22500"/>
    </cacheField>
    <cacheField name="Margin_%" numFmtId="0" formula="Gross_Profit/Revenue_INR" databaseField="0"/>
    <cacheField name="Return_Rate_%" numFmtId="0" formula="Units_Returned_Clean/Units_Sold" databaseField="0"/>
  </cacheFields>
  <extLst>
    <ext xmlns:x14="http://schemas.microsoft.com/office/spreadsheetml/2009/9/main" uri="{725AE2AE-9491-48be-B2B4-4EB974FC3084}">
      <x14:pivotCacheDefinition pivotCacheId="1375325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S0002"/>
    <d v="2024-01-01T00:00:00"/>
    <x v="0"/>
    <n v="1"/>
    <x v="0"/>
    <s v="P006"/>
    <x v="0"/>
    <n v="5"/>
    <n v="408"/>
    <n v="15"/>
    <x v="0"/>
    <n v="220"/>
    <n v="2040"/>
    <n v="1100"/>
    <n v="940"/>
    <n v="0.46078431372549"/>
    <n v="0"/>
    <n v="0"/>
    <n v="5"/>
    <n v="2040"/>
  </r>
  <r>
    <s v="S0119"/>
    <d v="2024-01-05T00:00:00"/>
    <x v="0"/>
    <n v="1"/>
    <x v="0"/>
    <s v="P006"/>
    <x v="0"/>
    <n v="3"/>
    <n v="408"/>
    <n v="15"/>
    <x v="0"/>
    <n v="220"/>
    <n v="1224"/>
    <n v="660"/>
    <n v="564"/>
    <n v="0.46078431372549"/>
    <n v="0"/>
    <n v="0"/>
    <n v="3"/>
    <n v="1224"/>
  </r>
  <r>
    <s v="S0134"/>
    <d v="2024-01-01T00:00:00"/>
    <x v="0"/>
    <n v="1"/>
    <x v="0"/>
    <s v="P026"/>
    <x v="1"/>
    <n v="1"/>
    <n v="468"/>
    <n v="10"/>
    <x v="1"/>
    <n v="250"/>
    <n v="468"/>
    <n v="250"/>
    <n v="218"/>
    <n v="0.46581196581196599"/>
    <n v="0"/>
    <n v="0"/>
    <n v="1"/>
    <n v="468"/>
  </r>
  <r>
    <s v="S0110"/>
    <d v="2024-01-04T00:00:00"/>
    <x v="0"/>
    <n v="1"/>
    <x v="0"/>
    <s v="P026"/>
    <x v="1"/>
    <n v="4"/>
    <n v="520"/>
    <n v="0"/>
    <x v="1"/>
    <n v="250"/>
    <n v="2080"/>
    <n v="1000"/>
    <n v="1080"/>
    <n v="0.51923076923076905"/>
    <n v="0"/>
    <n v="0"/>
    <n v="4"/>
    <n v="2080"/>
  </r>
  <r>
    <s v="S0033"/>
    <d v="2024-01-03T00:00:00"/>
    <x v="0"/>
    <n v="1"/>
    <x v="0"/>
    <s v="P002"/>
    <x v="0"/>
    <n v="5"/>
    <n v="792"/>
    <n v="10"/>
    <x v="2"/>
    <n v="400"/>
    <n v="3960"/>
    <n v="2000"/>
    <n v="1960"/>
    <n v="0.49494949494949497"/>
    <n v="0"/>
    <n v="0"/>
    <n v="5"/>
    <n v="3960"/>
  </r>
  <r>
    <s v="S0014"/>
    <d v="2024-01-07T00:00:00"/>
    <x v="0"/>
    <n v="1"/>
    <x v="0"/>
    <s v="P002"/>
    <x v="0"/>
    <n v="4"/>
    <n v="748"/>
    <n v="15"/>
    <x v="2"/>
    <n v="400"/>
    <n v="2992"/>
    <n v="1600"/>
    <n v="1392"/>
    <n v="0.46524064171122997"/>
    <n v="0"/>
    <n v="0"/>
    <n v="4"/>
    <n v="2992"/>
  </r>
  <r>
    <s v="S0096"/>
    <d v="2024-01-01T00:00:00"/>
    <x v="0"/>
    <n v="1"/>
    <x v="0"/>
    <s v="P012"/>
    <x v="2"/>
    <n v="4"/>
    <n v="1377"/>
    <n v="15"/>
    <x v="3"/>
    <n v="900"/>
    <n v="5508"/>
    <n v="3600"/>
    <n v="1908"/>
    <n v="0.34640522875816998"/>
    <n v="0"/>
    <n v="0"/>
    <n v="4"/>
    <n v="5508"/>
  </r>
  <r>
    <s v="S0083"/>
    <d v="2024-01-03T00:00:00"/>
    <x v="0"/>
    <n v="1"/>
    <x v="0"/>
    <s v="P012"/>
    <x v="2"/>
    <n v="1"/>
    <n v="1539"/>
    <n v="5"/>
    <x v="3"/>
    <n v="900"/>
    <n v="1539"/>
    <n v="900"/>
    <n v="639"/>
    <n v="0.41520467836257302"/>
    <n v="0"/>
    <n v="0"/>
    <n v="1"/>
    <n v="1539"/>
  </r>
  <r>
    <s v="S0137"/>
    <d v="2024-01-01T00:00:00"/>
    <x v="0"/>
    <n v="1"/>
    <x v="0"/>
    <s v="P010"/>
    <x v="3"/>
    <n v="5"/>
    <n v="500"/>
    <n v="0"/>
    <x v="4"/>
    <n v="250"/>
    <n v="2500"/>
    <n v="1250"/>
    <n v="1250"/>
    <n v="0.5"/>
    <n v="0"/>
    <n v="0"/>
    <n v="5"/>
    <n v="2500"/>
  </r>
  <r>
    <s v="S0038"/>
    <d v="2024-01-02T00:00:00"/>
    <x v="0"/>
    <n v="1"/>
    <x v="0"/>
    <s v="P010"/>
    <x v="3"/>
    <n v="5"/>
    <n v="425"/>
    <n v="15"/>
    <x v="4"/>
    <n v="250"/>
    <n v="2125"/>
    <n v="1250"/>
    <n v="875"/>
    <n v="0.41176470588235298"/>
    <n v="0"/>
    <n v="0"/>
    <n v="5"/>
    <n v="2125"/>
  </r>
  <r>
    <s v="S0062"/>
    <d v="2024-01-03T00:00:00"/>
    <x v="0"/>
    <n v="1"/>
    <x v="0"/>
    <s v="P010"/>
    <x v="3"/>
    <n v="5"/>
    <n v="500"/>
    <n v="0"/>
    <x v="4"/>
    <n v="250"/>
    <n v="2500"/>
    <n v="1250"/>
    <n v="1250"/>
    <n v="0.5"/>
    <n v="0"/>
    <n v="0"/>
    <n v="5"/>
    <n v="2500"/>
  </r>
  <r>
    <s v="S0080"/>
    <d v="2024-01-05T00:00:00"/>
    <x v="0"/>
    <n v="1"/>
    <x v="0"/>
    <s v="P010"/>
    <x v="3"/>
    <n v="1"/>
    <n v="425"/>
    <n v="15"/>
    <x v="4"/>
    <n v="250"/>
    <n v="425"/>
    <n v="250"/>
    <n v="175"/>
    <n v="0.41176470588235298"/>
    <n v="0"/>
    <n v="0"/>
    <n v="1"/>
    <n v="425"/>
  </r>
  <r>
    <s v="S0045"/>
    <d v="2024-01-06T00:00:00"/>
    <x v="0"/>
    <n v="1"/>
    <x v="0"/>
    <s v="P004"/>
    <x v="0"/>
    <n v="1"/>
    <n v="2640"/>
    <n v="0"/>
    <x v="5"/>
    <n v="1200"/>
    <n v="2640"/>
    <n v="1200"/>
    <n v="1440"/>
    <n v="0.54545454545454497"/>
    <n v="0"/>
    <n v="0"/>
    <n v="1"/>
    <n v="2640"/>
  </r>
  <r>
    <s v="S0010"/>
    <d v="2024-01-01T00:00:00"/>
    <x v="0"/>
    <n v="1"/>
    <x v="0"/>
    <s v="P021"/>
    <x v="4"/>
    <n v="2"/>
    <n v="1000"/>
    <n v="0"/>
    <x v="6"/>
    <n v="400"/>
    <n v="2000"/>
    <n v="800"/>
    <n v="1200"/>
    <n v="0.6"/>
    <n v="0"/>
    <n v="0"/>
    <n v="2"/>
    <n v="2000"/>
  </r>
  <r>
    <s v="S0089"/>
    <d v="2024-01-04T00:00:00"/>
    <x v="0"/>
    <n v="1"/>
    <x v="0"/>
    <s v="P021"/>
    <x v="4"/>
    <n v="3"/>
    <n v="850"/>
    <n v="15"/>
    <x v="6"/>
    <n v="400"/>
    <n v="2550"/>
    <n v="1200"/>
    <n v="1350"/>
    <n v="0.52941176470588203"/>
    <n v="0"/>
    <n v="0"/>
    <n v="3"/>
    <n v="2550"/>
  </r>
  <r>
    <s v="S0068"/>
    <d v="2024-01-15T00:00:00"/>
    <x v="1"/>
    <n v="1"/>
    <x v="0"/>
    <s v="P009"/>
    <x v="3"/>
    <n v="3"/>
    <n v="600"/>
    <n v="0"/>
    <x v="7"/>
    <n v="300"/>
    <n v="1800"/>
    <n v="900"/>
    <n v="900"/>
    <n v="0.5"/>
    <n v="1"/>
    <n v="1"/>
    <n v="2"/>
    <n v="1200"/>
  </r>
  <r>
    <s v="S0013"/>
    <d v="2024-01-01T00:00:00"/>
    <x v="0"/>
    <n v="1"/>
    <x v="0"/>
    <s v="P020"/>
    <x v="4"/>
    <n v="2"/>
    <n v="1350"/>
    <n v="10"/>
    <x v="8"/>
    <n v="600"/>
    <n v="2700"/>
    <n v="1200"/>
    <n v="1500"/>
    <n v="0.55555555555555602"/>
    <n v="0"/>
    <n v="0"/>
    <n v="2"/>
    <n v="2700"/>
  </r>
  <r>
    <s v="S0142"/>
    <d v="2024-01-03T00:00:00"/>
    <x v="0"/>
    <n v="1"/>
    <x v="0"/>
    <s v="P020"/>
    <x v="4"/>
    <n v="2"/>
    <n v="1350"/>
    <n v="10"/>
    <x v="8"/>
    <n v="600"/>
    <n v="2700"/>
    <n v="1200"/>
    <n v="1500"/>
    <n v="0.55555555555555602"/>
    <n v="0"/>
    <n v="0"/>
    <n v="2"/>
    <n v="2700"/>
  </r>
  <r>
    <s v="S0139"/>
    <d v="2024-01-02T00:00:00"/>
    <x v="0"/>
    <n v="1"/>
    <x v="0"/>
    <s v="P011"/>
    <x v="3"/>
    <n v="2"/>
    <n v="1400"/>
    <n v="0"/>
    <x v="9"/>
    <n v="700"/>
    <n v="2800"/>
    <n v="1400"/>
    <n v="1400"/>
    <n v="0.5"/>
    <n v="0"/>
    <n v="0"/>
    <n v="2"/>
    <n v="2800"/>
  </r>
  <r>
    <s v="S0023"/>
    <d v="2024-01-05T00:00:00"/>
    <x v="0"/>
    <n v="1"/>
    <x v="0"/>
    <s v="P008"/>
    <x v="3"/>
    <n v="4"/>
    <n v="1000"/>
    <n v="0"/>
    <x v="10"/>
    <n v="500"/>
    <n v="4000"/>
    <n v="2000"/>
    <n v="2000"/>
    <n v="0.5"/>
    <n v="0"/>
    <n v="0"/>
    <n v="4"/>
    <n v="4000"/>
  </r>
  <r>
    <s v="S0094"/>
    <d v="2024-01-10T00:00:00"/>
    <x v="2"/>
    <n v="1"/>
    <x v="0"/>
    <s v="P022"/>
    <x v="1"/>
    <n v="3"/>
    <n v="1396.5"/>
    <n v="5"/>
    <x v="11"/>
    <n v="700"/>
    <n v="4189.5"/>
    <n v="2100"/>
    <n v="2089.5"/>
    <n v="0.49874686716791999"/>
    <n v="2"/>
    <n v="2"/>
    <n v="1"/>
    <n v="1396.5"/>
  </r>
  <r>
    <s v="S0040"/>
    <d v="2024-01-03T00:00:00"/>
    <x v="0"/>
    <n v="1"/>
    <x v="0"/>
    <s v="P023"/>
    <x v="1"/>
    <n v="4"/>
    <n v="3150"/>
    <n v="0"/>
    <x v="12"/>
    <n v="1500"/>
    <n v="12600"/>
    <n v="6000"/>
    <n v="6600"/>
    <n v="0.52380952380952395"/>
    <n v="0"/>
    <n v="0"/>
    <n v="4"/>
    <n v="12600"/>
  </r>
  <r>
    <s v="S0008"/>
    <d v="2024-01-03T00:00:00"/>
    <x v="0"/>
    <n v="1"/>
    <x v="0"/>
    <s v="P023"/>
    <x v="1"/>
    <n v="2"/>
    <n v="2835"/>
    <n v="10"/>
    <x v="12"/>
    <n v="1500"/>
    <n v="5670"/>
    <n v="3000"/>
    <n v="2670"/>
    <n v="0.47089947089947098"/>
    <n v="0"/>
    <n v="0"/>
    <n v="2"/>
    <n v="5670"/>
  </r>
  <r>
    <s v="S0133"/>
    <d v="2024-01-03T00:00:00"/>
    <x v="0"/>
    <n v="1"/>
    <x v="0"/>
    <s v="P023"/>
    <x v="1"/>
    <n v="5"/>
    <n v="3150"/>
    <n v="0"/>
    <x v="12"/>
    <n v="1500"/>
    <n v="15750"/>
    <n v="7500"/>
    <n v="8250"/>
    <n v="0.52380952380952395"/>
    <n v="0"/>
    <n v="0"/>
    <n v="5"/>
    <n v="15750"/>
  </r>
  <r>
    <s v="S0051"/>
    <d v="2024-01-06T00:00:00"/>
    <x v="0"/>
    <n v="1"/>
    <x v="0"/>
    <s v="P023"/>
    <x v="1"/>
    <n v="2"/>
    <n v="2835"/>
    <n v="10"/>
    <x v="12"/>
    <n v="1500"/>
    <n v="5670"/>
    <n v="3000"/>
    <n v="2670"/>
    <n v="0.47089947089947098"/>
    <n v="0"/>
    <n v="0"/>
    <n v="2"/>
    <n v="5670"/>
  </r>
  <r>
    <s v="S0078"/>
    <d v="2024-01-03T00:00:00"/>
    <x v="0"/>
    <n v="1"/>
    <x v="0"/>
    <s v="P009"/>
    <x v="3"/>
    <n v="2"/>
    <n v="600"/>
    <n v="0"/>
    <x v="7"/>
    <n v="300"/>
    <n v="1200"/>
    <n v="600"/>
    <n v="600"/>
    <n v="0.5"/>
    <n v="0"/>
    <n v="0"/>
    <n v="2"/>
    <n v="1200"/>
  </r>
  <r>
    <s v="S0081"/>
    <d v="2024-01-06T00:00:00"/>
    <x v="0"/>
    <n v="1"/>
    <x v="0"/>
    <s v="P009"/>
    <x v="3"/>
    <n v="2"/>
    <n v="510"/>
    <n v="15"/>
    <x v="7"/>
    <n v="300"/>
    <n v="1020"/>
    <n v="600"/>
    <n v="420"/>
    <n v="0.41176470588235298"/>
    <n v="0"/>
    <n v="0"/>
    <n v="2"/>
    <n v="1020"/>
  </r>
  <r>
    <s v="S0115"/>
    <d v="2024-01-03T00:00:00"/>
    <x v="0"/>
    <n v="1"/>
    <x v="0"/>
    <s v="P016"/>
    <x v="2"/>
    <n v="3"/>
    <n v="1989"/>
    <n v="15"/>
    <x v="13"/>
    <n v="1300"/>
    <n v="5967"/>
    <n v="3900"/>
    <n v="2067"/>
    <n v="0.34640522875816998"/>
    <n v="0"/>
    <n v="0"/>
    <n v="3"/>
    <n v="5967"/>
  </r>
  <r>
    <s v="S0140"/>
    <d v="2024-01-03T00:00:00"/>
    <x v="0"/>
    <n v="1"/>
    <x v="0"/>
    <s v="P019"/>
    <x v="4"/>
    <n v="2"/>
    <n v="4500"/>
    <n v="0"/>
    <x v="14"/>
    <n v="1800"/>
    <n v="9000"/>
    <n v="3600"/>
    <n v="5400"/>
    <n v="0.6"/>
    <n v="0"/>
    <n v="0"/>
    <n v="2"/>
    <n v="9000"/>
  </r>
  <r>
    <s v="S0025"/>
    <d v="2024-01-04T00:00:00"/>
    <x v="0"/>
    <n v="1"/>
    <x v="0"/>
    <s v="P017"/>
    <x v="4"/>
    <n v="3"/>
    <n v="500"/>
    <n v="0"/>
    <x v="15"/>
    <n v="200"/>
    <n v="1500"/>
    <n v="600"/>
    <n v="900"/>
    <n v="0.6"/>
    <n v="0"/>
    <n v="0"/>
    <n v="3"/>
    <n v="1500"/>
  </r>
  <r>
    <s v="S0053"/>
    <d v="2024-01-06T00:00:00"/>
    <x v="0"/>
    <n v="1"/>
    <x v="0"/>
    <s v="P017"/>
    <x v="4"/>
    <n v="2"/>
    <n v="475"/>
    <n v="5"/>
    <x v="15"/>
    <n v="200"/>
    <n v="950"/>
    <n v="400"/>
    <n v="550"/>
    <n v="0.57894736842105299"/>
    <n v="0"/>
    <n v="0"/>
    <n v="2"/>
    <n v="950"/>
  </r>
  <r>
    <s v="S0121"/>
    <d v="2024-01-06T00:00:00"/>
    <x v="0"/>
    <n v="1"/>
    <x v="0"/>
    <s v="P018"/>
    <x v="4"/>
    <n v="3"/>
    <n v="380"/>
    <n v="0"/>
    <x v="16"/>
    <n v="150"/>
    <n v="1140"/>
    <n v="450"/>
    <n v="690"/>
    <n v="0.60526315789473695"/>
    <n v="3"/>
    <n v="3"/>
    <n v="0"/>
    <n v="0"/>
  </r>
  <r>
    <s v="S0095"/>
    <d v="2024-01-06T00:00:00"/>
    <x v="0"/>
    <n v="1"/>
    <x v="0"/>
    <s v="P022"/>
    <x v="1"/>
    <n v="3"/>
    <n v="1396.5"/>
    <n v="5"/>
    <x v="11"/>
    <n v="700"/>
    <n v="4189.5"/>
    <n v="2100"/>
    <n v="2089.5"/>
    <n v="0.49874686716791999"/>
    <n v="0"/>
    <n v="0"/>
    <n v="3"/>
    <n v="4189.5"/>
  </r>
  <r>
    <s v="S0104"/>
    <d v="2024-01-07T00:00:00"/>
    <x v="0"/>
    <n v="1"/>
    <x v="0"/>
    <s v="P008"/>
    <x v="3"/>
    <n v="4"/>
    <n v="1000"/>
    <n v="0"/>
    <x v="10"/>
    <n v="500"/>
    <n v="4000"/>
    <n v="2000"/>
    <n v="2000"/>
    <n v="0.5"/>
    <n v="0"/>
    <n v="0"/>
    <n v="4"/>
    <n v="4000"/>
  </r>
  <r>
    <s v="S0011"/>
    <d v="2024-01-07T00:00:00"/>
    <x v="0"/>
    <n v="1"/>
    <x v="0"/>
    <s v="P018"/>
    <x v="4"/>
    <n v="4"/>
    <n v="380"/>
    <n v="0"/>
    <x v="16"/>
    <n v="150"/>
    <n v="1520"/>
    <n v="600"/>
    <n v="920"/>
    <n v="0.60526315789473695"/>
    <n v="0"/>
    <n v="0"/>
    <n v="4"/>
    <n v="1520"/>
  </r>
  <r>
    <s v="S0112"/>
    <d v="2024-01-08T00:00:00"/>
    <x v="2"/>
    <n v="1"/>
    <x v="0"/>
    <s v="P019"/>
    <x v="4"/>
    <n v="1"/>
    <n v="4500"/>
    <n v="0"/>
    <x v="14"/>
    <n v="1800"/>
    <n v="4500"/>
    <n v="1800"/>
    <n v="2700"/>
    <n v="0.6"/>
    <n v="0"/>
    <n v="0"/>
    <n v="1"/>
    <n v="4500"/>
  </r>
  <r>
    <s v="S0059"/>
    <d v="2024-01-08T00:00:00"/>
    <x v="2"/>
    <n v="1"/>
    <x v="0"/>
    <s v="P008"/>
    <x v="3"/>
    <n v="3"/>
    <n v="1000"/>
    <n v="0"/>
    <x v="10"/>
    <n v="500"/>
    <n v="3000"/>
    <n v="1500"/>
    <n v="1500"/>
    <n v="0.5"/>
    <n v="0"/>
    <n v="0"/>
    <n v="3"/>
    <n v="3000"/>
  </r>
  <r>
    <s v="S0113"/>
    <d v="2024-01-08T00:00:00"/>
    <x v="2"/>
    <n v="1"/>
    <x v="0"/>
    <s v="P022"/>
    <x v="1"/>
    <n v="5"/>
    <n v="1323"/>
    <n v="10"/>
    <x v="11"/>
    <n v="700"/>
    <n v="6615"/>
    <n v="3500"/>
    <n v="3115"/>
    <n v="0.47089947089947098"/>
    <n v="0"/>
    <n v="0"/>
    <n v="5"/>
    <n v="6615"/>
  </r>
  <r>
    <s v="S0132"/>
    <d v="2024-01-08T00:00:00"/>
    <x v="2"/>
    <n v="1"/>
    <x v="0"/>
    <s v="P010"/>
    <x v="3"/>
    <n v="3"/>
    <n v="500"/>
    <n v="0"/>
    <x v="4"/>
    <n v="250"/>
    <n v="1500"/>
    <n v="750"/>
    <n v="750"/>
    <n v="0.5"/>
    <n v="0"/>
    <n v="0"/>
    <n v="3"/>
    <n v="1500"/>
  </r>
  <r>
    <s v="S0070"/>
    <d v="2024-01-08T00:00:00"/>
    <x v="2"/>
    <n v="1"/>
    <x v="0"/>
    <s v="P012"/>
    <x v="2"/>
    <n v="3"/>
    <n v="1377"/>
    <n v="15"/>
    <x v="3"/>
    <n v="900"/>
    <n v="4131"/>
    <n v="2700"/>
    <n v="1431"/>
    <n v="0.34640522875816998"/>
    <n v="0"/>
    <n v="0"/>
    <n v="3"/>
    <n v="4131"/>
  </r>
  <r>
    <s v="S0039"/>
    <d v="2024-01-08T00:00:00"/>
    <x v="2"/>
    <n v="1"/>
    <x v="0"/>
    <s v="P003"/>
    <x v="0"/>
    <n v="1"/>
    <n v="400"/>
    <n v="0"/>
    <x v="17"/>
    <n v="180"/>
    <n v="400"/>
    <n v="180"/>
    <n v="220"/>
    <n v="0.55000000000000004"/>
    <n v="0"/>
    <n v="0"/>
    <n v="1"/>
    <n v="400"/>
  </r>
  <r>
    <s v="S0109"/>
    <d v="2024-01-16T00:00:00"/>
    <x v="1"/>
    <n v="1"/>
    <x v="0"/>
    <s v="P021"/>
    <x v="4"/>
    <n v="3"/>
    <n v="1000"/>
    <n v="0"/>
    <x v="6"/>
    <n v="400"/>
    <n v="3000"/>
    <n v="1200"/>
    <n v="1800"/>
    <n v="0.6"/>
    <n v="2"/>
    <n v="2"/>
    <n v="1"/>
    <n v="1000"/>
  </r>
  <r>
    <s v="S0076"/>
    <d v="2024-01-08T00:00:00"/>
    <x v="2"/>
    <n v="1"/>
    <x v="0"/>
    <s v="P014"/>
    <x v="2"/>
    <n v="1"/>
    <n v="900"/>
    <n v="0"/>
    <x v="18"/>
    <n v="500"/>
    <n v="900"/>
    <n v="500"/>
    <n v="400"/>
    <n v="0.44444444444444398"/>
    <n v="0"/>
    <n v="0"/>
    <n v="1"/>
    <n v="900"/>
  </r>
  <r>
    <s v="S0143"/>
    <d v="2024-01-08T00:00:00"/>
    <x v="2"/>
    <n v="1"/>
    <x v="0"/>
    <s v="P009"/>
    <x v="3"/>
    <n v="2"/>
    <n v="600"/>
    <n v="0"/>
    <x v="7"/>
    <n v="300"/>
    <n v="1200"/>
    <n v="600"/>
    <n v="600"/>
    <n v="0.5"/>
    <n v="0"/>
    <n v="0"/>
    <n v="2"/>
    <n v="1200"/>
  </r>
  <r>
    <s v="S0004"/>
    <d v="2024-01-08T00:00:00"/>
    <x v="2"/>
    <n v="1"/>
    <x v="0"/>
    <s v="P006"/>
    <x v="0"/>
    <n v="3"/>
    <n v="480"/>
    <n v="0"/>
    <x v="0"/>
    <n v="220"/>
    <n v="1440"/>
    <n v="660"/>
    <n v="780"/>
    <n v="0.54166666666666696"/>
    <n v="0"/>
    <n v="0"/>
    <n v="3"/>
    <n v="1440"/>
  </r>
  <r>
    <s v="S0057"/>
    <d v="2024-01-08T00:00:00"/>
    <x v="2"/>
    <n v="1"/>
    <x v="0"/>
    <s v="P025"/>
    <x v="1"/>
    <n v="5"/>
    <n v="799"/>
    <n v="15"/>
    <x v="19"/>
    <n v="450"/>
    <n v="3995"/>
    <n v="2250"/>
    <n v="1745"/>
    <n v="0.436795994993742"/>
    <n v="0"/>
    <n v="0"/>
    <n v="5"/>
    <n v="3995"/>
  </r>
  <r>
    <s v="S0017"/>
    <d v="2024-01-08T00:00:00"/>
    <x v="2"/>
    <n v="1"/>
    <x v="0"/>
    <s v="P020"/>
    <x v="4"/>
    <n v="3"/>
    <n v="1425"/>
    <n v="5"/>
    <x v="8"/>
    <n v="600"/>
    <n v="4275"/>
    <n v="1800"/>
    <n v="2475"/>
    <n v="0.57894736842105299"/>
    <n v="0"/>
    <n v="0"/>
    <n v="3"/>
    <n v="4275"/>
  </r>
  <r>
    <s v="S0072"/>
    <d v="2024-01-09T00:00:00"/>
    <x v="2"/>
    <n v="1"/>
    <x v="0"/>
    <s v="P014"/>
    <x v="2"/>
    <n v="5"/>
    <n v="765"/>
    <n v="15"/>
    <x v="18"/>
    <n v="500"/>
    <n v="3825"/>
    <n v="2500"/>
    <n v="1325"/>
    <n v="0.34640522875816998"/>
    <n v="0"/>
    <n v="0"/>
    <n v="5"/>
    <n v="3825"/>
  </r>
  <r>
    <s v="S0069"/>
    <d v="2024-01-09T00:00:00"/>
    <x v="2"/>
    <n v="1"/>
    <x v="0"/>
    <s v="P014"/>
    <x v="2"/>
    <n v="4"/>
    <n v="900"/>
    <n v="0"/>
    <x v="18"/>
    <n v="500"/>
    <n v="3600"/>
    <n v="2000"/>
    <n v="1600"/>
    <n v="0.44444444444444398"/>
    <n v="0"/>
    <n v="0"/>
    <n v="4"/>
    <n v="3600"/>
  </r>
  <r>
    <s v="S0086"/>
    <d v="2024-01-09T00:00:00"/>
    <x v="2"/>
    <n v="1"/>
    <x v="0"/>
    <s v="P026"/>
    <x v="1"/>
    <n v="4"/>
    <n v="468"/>
    <n v="10"/>
    <x v="1"/>
    <n v="250"/>
    <n v="1872"/>
    <n v="1000"/>
    <n v="872"/>
    <n v="0.46581196581196599"/>
    <n v="0"/>
    <n v="0"/>
    <n v="4"/>
    <n v="1872"/>
  </r>
  <r>
    <s v="S0003"/>
    <d v="2024-01-09T00:00:00"/>
    <x v="2"/>
    <n v="1"/>
    <x v="0"/>
    <s v="P020"/>
    <x v="4"/>
    <n v="2"/>
    <n v="1500"/>
    <n v="0"/>
    <x v="8"/>
    <n v="600"/>
    <n v="3000"/>
    <n v="1200"/>
    <n v="1800"/>
    <n v="0.6"/>
    <n v="0"/>
    <n v="0"/>
    <n v="2"/>
    <n v="3000"/>
  </r>
  <r>
    <s v="S0098"/>
    <d v="2024-01-09T00:00:00"/>
    <x v="2"/>
    <n v="1"/>
    <x v="0"/>
    <s v="P024"/>
    <x v="1"/>
    <n v="3"/>
    <n v="1512"/>
    <n v="10"/>
    <x v="20"/>
    <n v="800"/>
    <n v="4536"/>
    <n v="2400"/>
    <n v="2136"/>
    <n v="0.47089947089947098"/>
    <n v="0"/>
    <n v="0"/>
    <n v="3"/>
    <n v="4536"/>
  </r>
  <r>
    <s v="S0034"/>
    <d v="2024-01-10T00:00:00"/>
    <x v="2"/>
    <n v="1"/>
    <x v="0"/>
    <s v="P013"/>
    <x v="2"/>
    <n v="2"/>
    <n v="1683"/>
    <n v="15"/>
    <x v="21"/>
    <n v="1100"/>
    <n v="3366"/>
    <n v="2200"/>
    <n v="1166"/>
    <n v="0.34640522875816998"/>
    <n v="1"/>
    <n v="1"/>
    <n v="1"/>
    <n v="1683"/>
  </r>
  <r>
    <s v="S0102"/>
    <d v="2024-01-10T00:00:00"/>
    <x v="2"/>
    <n v="1"/>
    <x v="0"/>
    <s v="P006"/>
    <x v="0"/>
    <n v="1"/>
    <n v="408"/>
    <n v="15"/>
    <x v="0"/>
    <n v="220"/>
    <n v="408"/>
    <n v="220"/>
    <n v="188"/>
    <n v="0.46078431372549"/>
    <n v="0"/>
    <n v="0"/>
    <n v="1"/>
    <n v="408"/>
  </r>
  <r>
    <s v="S0093"/>
    <d v="2024-01-11T00:00:00"/>
    <x v="2"/>
    <n v="1"/>
    <x v="0"/>
    <s v="P025"/>
    <x v="1"/>
    <n v="4"/>
    <n v="940"/>
    <n v="0"/>
    <x v="19"/>
    <n v="450"/>
    <n v="3760"/>
    <n v="1800"/>
    <n v="1960"/>
    <n v="0.52127659574468099"/>
    <n v="0"/>
    <n v="0"/>
    <n v="4"/>
    <n v="3760"/>
  </r>
  <r>
    <s v="S0058"/>
    <d v="2024-01-11T00:00:00"/>
    <x v="2"/>
    <n v="1"/>
    <x v="0"/>
    <s v="P018"/>
    <x v="4"/>
    <n v="5"/>
    <n v="380"/>
    <n v="0"/>
    <x v="16"/>
    <n v="150"/>
    <n v="1900"/>
    <n v="750"/>
    <n v="1150"/>
    <n v="0.60526315789473695"/>
    <n v="0"/>
    <n v="0"/>
    <n v="5"/>
    <n v="1900"/>
  </r>
  <r>
    <s v="S0022"/>
    <d v="2024-01-11T00:00:00"/>
    <x v="2"/>
    <n v="1"/>
    <x v="0"/>
    <s v="P010"/>
    <x v="3"/>
    <n v="5"/>
    <n v="500"/>
    <n v="0"/>
    <x v="4"/>
    <n v="250"/>
    <n v="2500"/>
    <n v="1250"/>
    <n v="1250"/>
    <n v="0.5"/>
    <n v="0"/>
    <n v="0"/>
    <n v="5"/>
    <n v="2500"/>
  </r>
  <r>
    <s v="S0065"/>
    <d v="2024-01-11T00:00:00"/>
    <x v="2"/>
    <n v="1"/>
    <x v="0"/>
    <s v="P025"/>
    <x v="1"/>
    <n v="3"/>
    <n v="940"/>
    <n v="0"/>
    <x v="19"/>
    <n v="450"/>
    <n v="2820"/>
    <n v="1350"/>
    <n v="1470"/>
    <n v="0.52127659574468099"/>
    <n v="0"/>
    <n v="0"/>
    <n v="3"/>
    <n v="2820"/>
  </r>
  <r>
    <s v="S0027"/>
    <d v="2024-01-12T00:00:00"/>
    <x v="2"/>
    <n v="1"/>
    <x v="0"/>
    <s v="P006"/>
    <x v="0"/>
    <n v="4"/>
    <n v="480"/>
    <n v="0"/>
    <x v="0"/>
    <n v="220"/>
    <n v="1920"/>
    <n v="880"/>
    <n v="1040"/>
    <n v="0.54166666666666696"/>
    <n v="0"/>
    <n v="0"/>
    <n v="4"/>
    <n v="1920"/>
  </r>
  <r>
    <s v="S0046"/>
    <d v="2024-01-12T00:00:00"/>
    <x v="2"/>
    <n v="1"/>
    <x v="0"/>
    <s v="P021"/>
    <x v="4"/>
    <n v="2"/>
    <n v="1000"/>
    <n v="0"/>
    <x v="6"/>
    <n v="400"/>
    <n v="2000"/>
    <n v="800"/>
    <n v="1200"/>
    <n v="0.6"/>
    <n v="0"/>
    <n v="0"/>
    <n v="2"/>
    <n v="2000"/>
  </r>
  <r>
    <s v="S0105"/>
    <d v="2024-01-12T00:00:00"/>
    <x v="2"/>
    <n v="1"/>
    <x v="0"/>
    <s v="P019"/>
    <x v="4"/>
    <n v="3"/>
    <n v="4500"/>
    <n v="0"/>
    <x v="14"/>
    <n v="1800"/>
    <n v="13500"/>
    <n v="5400"/>
    <n v="8100"/>
    <n v="0.6"/>
    <n v="0"/>
    <n v="0"/>
    <n v="3"/>
    <n v="13500"/>
  </r>
  <r>
    <s v="S0084"/>
    <d v="2024-01-13T00:00:00"/>
    <x v="2"/>
    <n v="1"/>
    <x v="0"/>
    <s v="P008"/>
    <x v="3"/>
    <n v="2"/>
    <n v="900"/>
    <n v="10"/>
    <x v="10"/>
    <n v="500"/>
    <n v="1800"/>
    <n v="1000"/>
    <n v="800"/>
    <n v="0.44444444444444398"/>
    <n v="0"/>
    <n v="0"/>
    <n v="2"/>
    <n v="1800"/>
  </r>
  <r>
    <s v="S0075"/>
    <d v="2024-01-13T00:00:00"/>
    <x v="2"/>
    <n v="1"/>
    <x v="0"/>
    <s v="P011"/>
    <x v="3"/>
    <n v="1"/>
    <n v="1400"/>
    <n v="0"/>
    <x v="9"/>
    <n v="700"/>
    <n v="1400"/>
    <n v="700"/>
    <n v="700"/>
    <n v="0.5"/>
    <n v="0"/>
    <n v="0"/>
    <n v="1"/>
    <n v="1400"/>
  </r>
  <r>
    <s v="S0026"/>
    <d v="2024-01-13T00:00:00"/>
    <x v="2"/>
    <n v="1"/>
    <x v="0"/>
    <s v="P025"/>
    <x v="1"/>
    <n v="4"/>
    <n v="940"/>
    <n v="0"/>
    <x v="19"/>
    <n v="450"/>
    <n v="3760"/>
    <n v="1800"/>
    <n v="1960"/>
    <n v="0.52127659574468099"/>
    <n v="0"/>
    <n v="0"/>
    <n v="4"/>
    <n v="3760"/>
  </r>
  <r>
    <s v="S0067"/>
    <d v="2024-01-13T00:00:00"/>
    <x v="2"/>
    <n v="1"/>
    <x v="0"/>
    <s v="P012"/>
    <x v="2"/>
    <n v="1"/>
    <n v="1377"/>
    <n v="15"/>
    <x v="3"/>
    <n v="900"/>
    <n v="1377"/>
    <n v="900"/>
    <n v="477"/>
    <n v="0.34640522875816998"/>
    <n v="0"/>
    <n v="0"/>
    <n v="1"/>
    <n v="1377"/>
  </r>
  <r>
    <s v="S0123"/>
    <d v="2024-01-14T00:00:00"/>
    <x v="2"/>
    <n v="1"/>
    <x v="0"/>
    <s v="P016"/>
    <x v="2"/>
    <n v="3"/>
    <n v="2340"/>
    <n v="0"/>
    <x v="13"/>
    <n v="1300"/>
    <n v="7020"/>
    <n v="3900"/>
    <n v="3120"/>
    <n v="0.44444444444444398"/>
    <n v="3"/>
    <n v="3"/>
    <n v="0"/>
    <n v="0"/>
  </r>
  <r>
    <s v="S0042"/>
    <d v="2024-01-13T00:00:00"/>
    <x v="2"/>
    <n v="1"/>
    <x v="0"/>
    <s v="P007"/>
    <x v="3"/>
    <n v="3"/>
    <n v="1200"/>
    <n v="0"/>
    <x v="22"/>
    <n v="600"/>
    <n v="3600"/>
    <n v="1800"/>
    <n v="1800"/>
    <n v="0.5"/>
    <n v="0"/>
    <n v="0"/>
    <n v="3"/>
    <n v="3600"/>
  </r>
  <r>
    <s v="S0128"/>
    <d v="2024-01-13T00:00:00"/>
    <x v="2"/>
    <n v="1"/>
    <x v="0"/>
    <s v="P017"/>
    <x v="4"/>
    <n v="4"/>
    <n v="425"/>
    <n v="15"/>
    <x v="15"/>
    <n v="200"/>
    <n v="1700"/>
    <n v="800"/>
    <n v="900"/>
    <n v="0.52941176470588203"/>
    <n v="0"/>
    <n v="0"/>
    <n v="4"/>
    <n v="1700"/>
  </r>
  <r>
    <s v="S0061"/>
    <d v="2024-01-13T00:00:00"/>
    <x v="2"/>
    <n v="1"/>
    <x v="0"/>
    <s v="P026"/>
    <x v="1"/>
    <n v="5"/>
    <n v="520"/>
    <n v="0"/>
    <x v="1"/>
    <n v="250"/>
    <n v="2600"/>
    <n v="1250"/>
    <n v="1350"/>
    <n v="0.51923076923076905"/>
    <n v="1"/>
    <n v="1"/>
    <n v="4"/>
    <n v="2080"/>
  </r>
  <r>
    <s v="S0054"/>
    <d v="2024-01-13T00:00:00"/>
    <x v="2"/>
    <n v="1"/>
    <x v="0"/>
    <s v="P001"/>
    <x v="0"/>
    <n v="5"/>
    <n v="770"/>
    <n v="0"/>
    <x v="23"/>
    <n v="350"/>
    <n v="3850"/>
    <n v="1750"/>
    <n v="2100"/>
    <n v="0.54545454545454497"/>
    <n v="0"/>
    <n v="0"/>
    <n v="5"/>
    <n v="3850"/>
  </r>
  <r>
    <s v="S0082"/>
    <d v="2024-01-14T00:00:00"/>
    <x v="2"/>
    <n v="1"/>
    <x v="0"/>
    <s v="P017"/>
    <x v="4"/>
    <n v="5"/>
    <n v="450"/>
    <n v="10"/>
    <x v="15"/>
    <n v="200"/>
    <n v="2250"/>
    <n v="1000"/>
    <n v="1250"/>
    <n v="0.55555555555555602"/>
    <n v="0"/>
    <n v="0"/>
    <n v="5"/>
    <n v="2250"/>
  </r>
  <r>
    <s v="S0009"/>
    <d v="2024-01-14T00:00:00"/>
    <x v="2"/>
    <n v="1"/>
    <x v="0"/>
    <s v="P006"/>
    <x v="0"/>
    <n v="5"/>
    <n v="480"/>
    <n v="0"/>
    <x v="0"/>
    <n v="220"/>
    <n v="2400"/>
    <n v="1100"/>
    <n v="1300"/>
    <n v="0.54166666666666696"/>
    <n v="0"/>
    <n v="0"/>
    <n v="5"/>
    <n v="2400"/>
  </r>
  <r>
    <s v="S0085"/>
    <d v="2024-01-15T00:00:00"/>
    <x v="1"/>
    <n v="1"/>
    <x v="0"/>
    <s v="P018"/>
    <x v="4"/>
    <n v="2"/>
    <n v="342"/>
    <n v="10"/>
    <x v="16"/>
    <n v="150"/>
    <n v="684"/>
    <n v="300"/>
    <n v="384"/>
    <n v="0.56140350877193002"/>
    <n v="0"/>
    <n v="0"/>
    <n v="2"/>
    <n v="684"/>
  </r>
  <r>
    <s v="S0131"/>
    <d v="2024-01-15T00:00:00"/>
    <x v="1"/>
    <n v="1"/>
    <x v="0"/>
    <s v="P026"/>
    <x v="1"/>
    <n v="5"/>
    <n v="520"/>
    <n v="0"/>
    <x v="1"/>
    <n v="250"/>
    <n v="2600"/>
    <n v="1250"/>
    <n v="1350"/>
    <n v="0.51923076923076905"/>
    <n v="0"/>
    <n v="0"/>
    <n v="5"/>
    <n v="2600"/>
  </r>
  <r>
    <s v="S0043"/>
    <d v="2024-01-15T00:00:00"/>
    <x v="1"/>
    <n v="1"/>
    <x v="0"/>
    <s v="P024"/>
    <x v="1"/>
    <n v="3"/>
    <n v="1428"/>
    <n v="15"/>
    <x v="20"/>
    <n v="800"/>
    <n v="4284"/>
    <n v="2400"/>
    <n v="1884"/>
    <n v="0.43977591036414598"/>
    <n v="0"/>
    <n v="0"/>
    <n v="3"/>
    <n v="4284"/>
  </r>
  <r>
    <s v="S0130"/>
    <d v="2024-01-15T00:00:00"/>
    <x v="1"/>
    <n v="1"/>
    <x v="0"/>
    <s v="P002"/>
    <x v="0"/>
    <n v="4"/>
    <n v="792"/>
    <n v="10"/>
    <x v="2"/>
    <n v="400"/>
    <n v="3168"/>
    <n v="1600"/>
    <n v="1568"/>
    <n v="0.49494949494949497"/>
    <n v="0"/>
    <n v="0"/>
    <n v="4"/>
    <n v="3168"/>
  </r>
  <r>
    <s v="S0116"/>
    <d v="2024-01-16T00:00:00"/>
    <x v="1"/>
    <n v="1"/>
    <x v="0"/>
    <s v="P022"/>
    <x v="1"/>
    <n v="1"/>
    <n v="1470"/>
    <n v="0"/>
    <x v="11"/>
    <n v="700"/>
    <n v="1470"/>
    <n v="700"/>
    <n v="770"/>
    <n v="0.52380952380952395"/>
    <n v="0"/>
    <n v="0"/>
    <n v="1"/>
    <n v="1470"/>
  </r>
  <r>
    <s v="S0120"/>
    <d v="2024-01-16T00:00:00"/>
    <x v="1"/>
    <n v="1"/>
    <x v="0"/>
    <s v="P022"/>
    <x v="1"/>
    <n v="1"/>
    <n v="1323"/>
    <n v="10"/>
    <x v="11"/>
    <n v="700"/>
    <n v="1323"/>
    <n v="700"/>
    <n v="623"/>
    <n v="0.47089947089947098"/>
    <n v="0"/>
    <n v="0"/>
    <n v="1"/>
    <n v="1323"/>
  </r>
  <r>
    <s v="S0103"/>
    <d v="2024-01-17T00:00:00"/>
    <x v="1"/>
    <n v="1"/>
    <x v="0"/>
    <s v="P017"/>
    <x v="4"/>
    <n v="1"/>
    <n v="450"/>
    <n v="10"/>
    <x v="15"/>
    <n v="200"/>
    <n v="450"/>
    <n v="200"/>
    <n v="250"/>
    <n v="0.55555555555555602"/>
    <n v="0"/>
    <n v="0"/>
    <n v="1"/>
    <n v="450"/>
  </r>
  <r>
    <s v="S0100"/>
    <d v="2024-01-17T00:00:00"/>
    <x v="1"/>
    <n v="1"/>
    <x v="0"/>
    <s v="P007"/>
    <x v="3"/>
    <n v="2"/>
    <n v="1200"/>
    <n v="0"/>
    <x v="22"/>
    <n v="600"/>
    <n v="2400"/>
    <n v="1200"/>
    <n v="1200"/>
    <n v="0.5"/>
    <n v="0"/>
    <n v="0"/>
    <n v="2"/>
    <n v="2400"/>
  </r>
  <r>
    <s v="S0012"/>
    <d v="2024-01-17T00:00:00"/>
    <x v="1"/>
    <n v="1"/>
    <x v="0"/>
    <s v="P001"/>
    <x v="0"/>
    <n v="3"/>
    <n v="693"/>
    <n v="10"/>
    <x v="23"/>
    <n v="350"/>
    <n v="2079"/>
    <n v="1050"/>
    <n v="1029"/>
    <n v="0.49494949494949497"/>
    <n v="0"/>
    <n v="0"/>
    <n v="3"/>
    <n v="2079"/>
  </r>
  <r>
    <s v="S0077"/>
    <d v="2024-01-17T00:00:00"/>
    <x v="1"/>
    <n v="1"/>
    <x v="0"/>
    <s v="P009"/>
    <x v="3"/>
    <n v="4"/>
    <n v="570"/>
    <n v="5"/>
    <x v="7"/>
    <n v="300"/>
    <n v="2280"/>
    <n v="1200"/>
    <n v="1080"/>
    <n v="0.47368421052631599"/>
    <n v="0"/>
    <n v="0"/>
    <n v="4"/>
    <n v="2280"/>
  </r>
  <r>
    <s v="S0122"/>
    <d v="2024-01-17T00:00:00"/>
    <x v="1"/>
    <n v="1"/>
    <x v="0"/>
    <s v="P012"/>
    <x v="2"/>
    <n v="5"/>
    <n v="1458"/>
    <n v="10"/>
    <x v="3"/>
    <n v="900"/>
    <n v="7290"/>
    <n v="4500"/>
    <n v="2790"/>
    <n v="0.38271604938271597"/>
    <n v="0"/>
    <n v="0"/>
    <n v="5"/>
    <n v="7290"/>
  </r>
  <r>
    <s v="S0135"/>
    <d v="2024-01-18T00:00:00"/>
    <x v="1"/>
    <n v="1"/>
    <x v="0"/>
    <s v="P018"/>
    <x v="4"/>
    <n v="3"/>
    <n v="380"/>
    <n v="0"/>
    <x v="16"/>
    <n v="150"/>
    <n v="1140"/>
    <n v="450"/>
    <n v="690"/>
    <n v="0.60526315789473695"/>
    <n v="0"/>
    <n v="0"/>
    <n v="3"/>
    <n v="1140"/>
  </r>
  <r>
    <s v="S0071"/>
    <d v="2024-01-18T00:00:00"/>
    <x v="1"/>
    <n v="1"/>
    <x v="0"/>
    <s v="P001"/>
    <x v="0"/>
    <n v="3"/>
    <n v="693"/>
    <n v="10"/>
    <x v="23"/>
    <n v="350"/>
    <n v="2079"/>
    <n v="1050"/>
    <n v="1029"/>
    <n v="0.49494949494949497"/>
    <n v="0"/>
    <n v="0"/>
    <n v="3"/>
    <n v="2079"/>
  </r>
  <r>
    <s v="S0016"/>
    <d v="2024-01-18T00:00:00"/>
    <x v="1"/>
    <n v="1"/>
    <x v="0"/>
    <s v="P013"/>
    <x v="2"/>
    <n v="4"/>
    <n v="1881"/>
    <n v="5"/>
    <x v="21"/>
    <n v="1100"/>
    <n v="7524"/>
    <n v="4400"/>
    <n v="3124"/>
    <n v="0.41520467836257302"/>
    <n v="0"/>
    <n v="0"/>
    <n v="4"/>
    <n v="7524"/>
  </r>
  <r>
    <s v="S0106"/>
    <d v="2024-01-18T00:00:00"/>
    <x v="1"/>
    <n v="1"/>
    <x v="0"/>
    <s v="P007"/>
    <x v="3"/>
    <n v="1"/>
    <n v="1080"/>
    <n v="10"/>
    <x v="22"/>
    <n v="600"/>
    <n v="1080"/>
    <n v="600"/>
    <n v="480"/>
    <n v="0.44444444444444398"/>
    <n v="0"/>
    <n v="0"/>
    <n v="1"/>
    <n v="1080"/>
  </r>
  <r>
    <s v="S0031"/>
    <d v="2024-01-18T00:00:00"/>
    <x v="1"/>
    <n v="1"/>
    <x v="0"/>
    <s v="P015"/>
    <x v="2"/>
    <n v="2"/>
    <n v="630"/>
    <n v="0"/>
    <x v="24"/>
    <n v="350"/>
    <n v="1260"/>
    <n v="700"/>
    <n v="560"/>
    <n v="0.44444444444444398"/>
    <n v="0"/>
    <n v="0"/>
    <n v="2"/>
    <n v="1260"/>
  </r>
  <r>
    <s v="S0073"/>
    <d v="2024-01-19T00:00:00"/>
    <x v="1"/>
    <n v="1"/>
    <x v="0"/>
    <s v="P022"/>
    <x v="1"/>
    <n v="2"/>
    <n v="1396.5"/>
    <n v="5"/>
    <x v="11"/>
    <n v="700"/>
    <n v="2793"/>
    <n v="1400"/>
    <n v="1393"/>
    <n v="0.49874686716791999"/>
    <n v="0"/>
    <n v="0"/>
    <n v="2"/>
    <n v="2793"/>
  </r>
  <r>
    <s v="S0036"/>
    <d v="2024-01-19T00:00:00"/>
    <x v="1"/>
    <n v="1"/>
    <x v="0"/>
    <s v="P026"/>
    <x v="1"/>
    <n v="4"/>
    <n v="520"/>
    <n v="0"/>
    <x v="1"/>
    <n v="250"/>
    <n v="2080"/>
    <n v="1000"/>
    <n v="1080"/>
    <n v="0.51923076923076905"/>
    <n v="0"/>
    <n v="0"/>
    <n v="4"/>
    <n v="2080"/>
  </r>
  <r>
    <s v="S0018"/>
    <d v="2024-01-19T00:00:00"/>
    <x v="1"/>
    <n v="1"/>
    <x v="0"/>
    <s v="P025"/>
    <x v="1"/>
    <n v="5"/>
    <n v="940"/>
    <n v="0"/>
    <x v="19"/>
    <n v="450"/>
    <n v="4700"/>
    <n v="2250"/>
    <n v="2450"/>
    <n v="0.52127659574468099"/>
    <n v="0"/>
    <n v="0"/>
    <n v="5"/>
    <n v="4700"/>
  </r>
  <r>
    <s v="S0136"/>
    <d v="2024-01-19T00:00:00"/>
    <x v="1"/>
    <n v="1"/>
    <x v="0"/>
    <s v="P026"/>
    <x v="1"/>
    <n v="4"/>
    <n v="520"/>
    <n v="0"/>
    <x v="1"/>
    <n v="250"/>
    <n v="2080"/>
    <n v="1000"/>
    <n v="1080"/>
    <n v="0.51923076923076905"/>
    <n v="0"/>
    <n v="0"/>
    <n v="4"/>
    <n v="2080"/>
  </r>
  <r>
    <s v="S0035"/>
    <d v="2024-01-20T00:00:00"/>
    <x v="1"/>
    <n v="1"/>
    <x v="0"/>
    <s v="P018"/>
    <x v="4"/>
    <n v="2"/>
    <n v="380"/>
    <n v="0"/>
    <x v="16"/>
    <n v="150"/>
    <n v="760"/>
    <n v="300"/>
    <n v="460"/>
    <n v="0.60526315789473695"/>
    <n v="0"/>
    <n v="0"/>
    <n v="2"/>
    <n v="760"/>
  </r>
  <r>
    <s v="S0108"/>
    <d v="2024-01-20T00:00:00"/>
    <x v="1"/>
    <n v="1"/>
    <x v="0"/>
    <s v="P025"/>
    <x v="1"/>
    <n v="1"/>
    <n v="940"/>
    <n v="0"/>
    <x v="19"/>
    <n v="450"/>
    <n v="940"/>
    <n v="450"/>
    <n v="490"/>
    <n v="0.52127659574468099"/>
    <n v="0"/>
    <n v="0"/>
    <n v="1"/>
    <n v="940"/>
  </r>
  <r>
    <s v="S0028"/>
    <d v="2024-01-20T00:00:00"/>
    <x v="1"/>
    <n v="1"/>
    <x v="0"/>
    <s v="P011"/>
    <x v="3"/>
    <n v="2"/>
    <n v="1400"/>
    <n v="0"/>
    <x v="9"/>
    <n v="700"/>
    <n v="2800"/>
    <n v="1400"/>
    <n v="1400"/>
    <n v="0.5"/>
    <n v="0"/>
    <n v="0"/>
    <n v="2"/>
    <n v="2800"/>
  </r>
  <r>
    <s v="S0050"/>
    <d v="2024-01-20T00:00:00"/>
    <x v="1"/>
    <n v="1"/>
    <x v="0"/>
    <s v="P004"/>
    <x v="0"/>
    <n v="3"/>
    <n v="2244"/>
    <n v="15"/>
    <x v="5"/>
    <n v="1200"/>
    <n v="6732"/>
    <n v="3600"/>
    <n v="3132"/>
    <n v="0.46524064171122997"/>
    <n v="0"/>
    <n v="0"/>
    <n v="3"/>
    <n v="6732"/>
  </r>
  <r>
    <s v="S0129"/>
    <d v="2024-01-21T00:00:00"/>
    <x v="1"/>
    <n v="1"/>
    <x v="0"/>
    <s v="P001"/>
    <x v="0"/>
    <n v="1"/>
    <n v="770"/>
    <n v="0"/>
    <x v="23"/>
    <n v="350"/>
    <n v="770"/>
    <n v="350"/>
    <n v="420"/>
    <n v="0.54545454545454497"/>
    <n v="0"/>
    <n v="0"/>
    <n v="1"/>
    <n v="770"/>
  </r>
  <r>
    <s v="S0001"/>
    <d v="2024-01-21T00:00:00"/>
    <x v="1"/>
    <n v="1"/>
    <x v="0"/>
    <s v="P013"/>
    <x v="2"/>
    <n v="5"/>
    <n v="1980"/>
    <n v="0"/>
    <x v="21"/>
    <n v="1100"/>
    <n v="9900"/>
    <n v="5500"/>
    <n v="4400"/>
    <n v="0.44444444444444398"/>
    <n v="0"/>
    <n v="0"/>
    <n v="5"/>
    <n v="9900"/>
  </r>
  <r>
    <s v="S0049"/>
    <d v="2024-01-21T00:00:00"/>
    <x v="1"/>
    <n v="1"/>
    <x v="0"/>
    <s v="P019"/>
    <x v="4"/>
    <n v="3"/>
    <n v="4500"/>
    <n v="0"/>
    <x v="14"/>
    <n v="1800"/>
    <n v="13500"/>
    <n v="5400"/>
    <n v="8100"/>
    <n v="0.6"/>
    <n v="0"/>
    <n v="0"/>
    <n v="3"/>
    <n v="13500"/>
  </r>
  <r>
    <s v="S0015"/>
    <d v="2024-01-21T00:00:00"/>
    <x v="1"/>
    <n v="1"/>
    <x v="0"/>
    <s v="P012"/>
    <x v="2"/>
    <n v="3"/>
    <n v="1377"/>
    <n v="15"/>
    <x v="3"/>
    <n v="900"/>
    <n v="4131"/>
    <n v="2700"/>
    <n v="1431"/>
    <n v="0.34640522875816998"/>
    <n v="0"/>
    <n v="0"/>
    <n v="3"/>
    <n v="4131"/>
  </r>
  <r>
    <s v="S0066"/>
    <d v="2024-01-21T00:00:00"/>
    <x v="1"/>
    <n v="1"/>
    <x v="0"/>
    <s v="P011"/>
    <x v="3"/>
    <n v="4"/>
    <n v="1330"/>
    <n v="5"/>
    <x v="9"/>
    <n v="700"/>
    <n v="5320"/>
    <n v="2800"/>
    <n v="2520"/>
    <n v="0.47368421052631599"/>
    <n v="0"/>
    <n v="0"/>
    <n v="4"/>
    <n v="5320"/>
  </r>
  <r>
    <s v="S0006"/>
    <d v="2024-01-22T00:00:00"/>
    <x v="3"/>
    <n v="1"/>
    <x v="0"/>
    <s v="P020"/>
    <x v="4"/>
    <n v="3"/>
    <n v="1275"/>
    <n v="15"/>
    <x v="8"/>
    <n v="600"/>
    <n v="3825"/>
    <n v="1800"/>
    <n v="2025"/>
    <n v="0.52941176470588203"/>
    <n v="0"/>
    <n v="0"/>
    <n v="3"/>
    <n v="3825"/>
  </r>
  <r>
    <s v="S0088"/>
    <d v="2024-01-22T00:00:00"/>
    <x v="3"/>
    <n v="1"/>
    <x v="0"/>
    <s v="P008"/>
    <x v="3"/>
    <n v="5"/>
    <n v="850"/>
    <n v="15"/>
    <x v="10"/>
    <n v="500"/>
    <n v="4250"/>
    <n v="2500"/>
    <n v="1750"/>
    <n v="0.41176470588235298"/>
    <n v="0"/>
    <n v="0"/>
    <n v="5"/>
    <n v="4250"/>
  </r>
  <r>
    <s v="S0047"/>
    <d v="2024-01-22T00:00:00"/>
    <x v="3"/>
    <n v="1"/>
    <x v="0"/>
    <s v="P004"/>
    <x v="0"/>
    <n v="5"/>
    <n v="2640"/>
    <n v="0"/>
    <x v="5"/>
    <n v="1200"/>
    <n v="13200"/>
    <n v="6000"/>
    <n v="7200"/>
    <n v="0.54545454545454497"/>
    <n v="0"/>
    <n v="0"/>
    <n v="5"/>
    <n v="13200"/>
  </r>
  <r>
    <s v="S0127"/>
    <d v="2024-01-23T00:00:00"/>
    <x v="3"/>
    <n v="1"/>
    <x v="0"/>
    <s v="P007"/>
    <x v="3"/>
    <n v="5"/>
    <n v="1200"/>
    <n v="0"/>
    <x v="22"/>
    <n v="600"/>
    <n v="6000"/>
    <n v="3000"/>
    <n v="3000"/>
    <n v="0.5"/>
    <n v="0"/>
    <n v="0"/>
    <n v="5"/>
    <n v="6000"/>
  </r>
  <r>
    <s v="S0048"/>
    <d v="2024-01-23T00:00:00"/>
    <x v="3"/>
    <n v="1"/>
    <x v="0"/>
    <s v="P023"/>
    <x v="1"/>
    <n v="3"/>
    <n v="2677.5"/>
    <n v="15"/>
    <x v="12"/>
    <n v="1500"/>
    <n v="8032.5"/>
    <n v="4500"/>
    <n v="3532.5"/>
    <n v="0.43977591036414598"/>
    <n v="0"/>
    <n v="0"/>
    <n v="3"/>
    <n v="8032.5"/>
  </r>
  <r>
    <s v="S0126"/>
    <d v="2024-01-23T00:00:00"/>
    <x v="3"/>
    <n v="1"/>
    <x v="0"/>
    <s v="P022"/>
    <x v="1"/>
    <n v="1"/>
    <n v="1470"/>
    <n v="0"/>
    <x v="11"/>
    <n v="700"/>
    <n v="1470"/>
    <n v="700"/>
    <n v="770"/>
    <n v="0.52380952380952395"/>
    <n v="0"/>
    <n v="0"/>
    <n v="1"/>
    <n v="1470"/>
  </r>
  <r>
    <s v="S0037"/>
    <d v="2024-01-23T00:00:00"/>
    <x v="3"/>
    <n v="1"/>
    <x v="0"/>
    <s v="P018"/>
    <x v="4"/>
    <n v="1"/>
    <n v="380"/>
    <n v="0"/>
    <x v="16"/>
    <n v="150"/>
    <n v="380"/>
    <n v="150"/>
    <n v="230"/>
    <n v="0.60526315789473695"/>
    <n v="0"/>
    <n v="0"/>
    <n v="1"/>
    <n v="380"/>
  </r>
  <r>
    <s v="S0021"/>
    <d v="2024-01-23T00:00:00"/>
    <x v="3"/>
    <n v="1"/>
    <x v="0"/>
    <s v="P019"/>
    <x v="4"/>
    <n v="2"/>
    <n v="4275"/>
    <n v="5"/>
    <x v="14"/>
    <n v="1800"/>
    <n v="8550"/>
    <n v="3600"/>
    <n v="4950"/>
    <n v="0.57894736842105299"/>
    <n v="0"/>
    <n v="0"/>
    <n v="2"/>
    <n v="8550"/>
  </r>
  <r>
    <s v="S0138"/>
    <d v="2024-01-23T00:00:00"/>
    <x v="3"/>
    <n v="1"/>
    <x v="0"/>
    <s v="P007"/>
    <x v="3"/>
    <n v="1"/>
    <n v="1020"/>
    <n v="15"/>
    <x v="22"/>
    <n v="600"/>
    <n v="1020"/>
    <n v="600"/>
    <n v="420"/>
    <n v="0.41176470588235298"/>
    <n v="0"/>
    <n v="0"/>
    <n v="1"/>
    <n v="1020"/>
  </r>
  <r>
    <s v="S0056"/>
    <d v="2024-01-23T00:00:00"/>
    <x v="3"/>
    <n v="1"/>
    <x v="0"/>
    <s v="P011"/>
    <x v="3"/>
    <n v="4"/>
    <n v="1260"/>
    <n v="10"/>
    <x v="9"/>
    <n v="700"/>
    <n v="5040"/>
    <n v="2800"/>
    <n v="2240"/>
    <n v="0.44444444444444398"/>
    <n v="0"/>
    <n v="0"/>
    <n v="4"/>
    <n v="5040"/>
  </r>
  <r>
    <s v="S0030"/>
    <d v="2024-01-24T00:00:00"/>
    <x v="3"/>
    <n v="1"/>
    <x v="0"/>
    <s v="P026"/>
    <x v="1"/>
    <n v="2"/>
    <n v="494"/>
    <n v="5"/>
    <x v="1"/>
    <n v="250"/>
    <n v="988"/>
    <n v="500"/>
    <n v="488"/>
    <n v="0.49392712550607298"/>
    <n v="0"/>
    <n v="0"/>
    <n v="2"/>
    <n v="988"/>
  </r>
  <r>
    <s v="S0005"/>
    <d v="2024-01-24T00:00:00"/>
    <x v="3"/>
    <n v="1"/>
    <x v="0"/>
    <s v="P015"/>
    <x v="2"/>
    <n v="5"/>
    <n v="630"/>
    <n v="0"/>
    <x v="24"/>
    <n v="350"/>
    <n v="3150"/>
    <n v="1750"/>
    <n v="1400"/>
    <n v="0.44444444444444398"/>
    <n v="0"/>
    <n v="0"/>
    <n v="5"/>
    <n v="3150"/>
  </r>
  <r>
    <s v="S0052"/>
    <d v="2024-01-24T00:00:00"/>
    <x v="3"/>
    <n v="1"/>
    <x v="0"/>
    <s v="P008"/>
    <x v="3"/>
    <n v="3"/>
    <n v="1000"/>
    <n v="0"/>
    <x v="10"/>
    <n v="500"/>
    <n v="3000"/>
    <n v="1500"/>
    <n v="1500"/>
    <n v="0.5"/>
    <n v="0"/>
    <n v="0"/>
    <n v="3"/>
    <n v="3000"/>
  </r>
  <r>
    <s v="S0125"/>
    <d v="2024-01-25T00:00:00"/>
    <x v="3"/>
    <n v="1"/>
    <x v="0"/>
    <s v="P017"/>
    <x v="4"/>
    <n v="4"/>
    <n v="425"/>
    <n v="15"/>
    <x v="15"/>
    <n v="200"/>
    <n v="1700"/>
    <n v="800"/>
    <n v="900"/>
    <n v="0.52941176470588203"/>
    <n v="0"/>
    <n v="0"/>
    <n v="4"/>
    <n v="1700"/>
  </r>
  <r>
    <s v="S0020"/>
    <d v="2024-01-25T00:00:00"/>
    <x v="3"/>
    <n v="1"/>
    <x v="0"/>
    <s v="P026"/>
    <x v="1"/>
    <n v="4"/>
    <n v="520"/>
    <n v="0"/>
    <x v="1"/>
    <n v="250"/>
    <n v="2080"/>
    <n v="1000"/>
    <n v="1080"/>
    <n v="0.51923076923076905"/>
    <n v="0"/>
    <n v="0"/>
    <n v="4"/>
    <n v="2080"/>
  </r>
  <r>
    <s v="S0118"/>
    <d v="2024-01-25T00:00:00"/>
    <x v="3"/>
    <n v="1"/>
    <x v="0"/>
    <s v="P008"/>
    <x v="3"/>
    <n v="5"/>
    <n v="1000"/>
    <n v="0"/>
    <x v="10"/>
    <n v="500"/>
    <n v="5000"/>
    <n v="2500"/>
    <n v="2500"/>
    <n v="0.5"/>
    <n v="0"/>
    <n v="0"/>
    <n v="5"/>
    <n v="5000"/>
  </r>
  <r>
    <s v="S0099"/>
    <d v="2024-01-25T00:00:00"/>
    <x v="3"/>
    <n v="1"/>
    <x v="0"/>
    <s v="P012"/>
    <x v="2"/>
    <n v="1"/>
    <n v="1620"/>
    <n v="0"/>
    <x v="3"/>
    <n v="900"/>
    <n v="1620"/>
    <n v="900"/>
    <n v="720"/>
    <n v="0.44444444444444398"/>
    <n v="0"/>
    <n v="0"/>
    <n v="1"/>
    <n v="1620"/>
  </r>
  <r>
    <s v="S0092"/>
    <d v="2024-01-25T00:00:00"/>
    <x v="3"/>
    <n v="1"/>
    <x v="0"/>
    <s v="P007"/>
    <x v="3"/>
    <n v="5"/>
    <n v="1020"/>
    <n v="15"/>
    <x v="22"/>
    <n v="600"/>
    <n v="5100"/>
    <n v="3000"/>
    <n v="2100"/>
    <n v="0.41176470588235298"/>
    <n v="0"/>
    <n v="0"/>
    <n v="5"/>
    <n v="5100"/>
  </r>
  <r>
    <s v="S0117"/>
    <d v="2024-01-25T00:00:00"/>
    <x v="3"/>
    <n v="1"/>
    <x v="0"/>
    <s v="P006"/>
    <x v="0"/>
    <n v="4"/>
    <n v="432"/>
    <n v="10"/>
    <x v="0"/>
    <n v="220"/>
    <n v="1728"/>
    <n v="880"/>
    <n v="848"/>
    <n v="0.49074074074074098"/>
    <n v="0"/>
    <n v="0"/>
    <n v="4"/>
    <n v="1728"/>
  </r>
  <r>
    <s v="S0091"/>
    <d v="2024-01-25T00:00:00"/>
    <x v="3"/>
    <n v="1"/>
    <x v="0"/>
    <s v="P005"/>
    <x v="0"/>
    <n v="3"/>
    <n v="4400"/>
    <n v="0"/>
    <x v="25"/>
    <n v="2000"/>
    <n v="13200"/>
    <n v="6000"/>
    <n v="7200"/>
    <n v="0.54545454545454497"/>
    <n v="0"/>
    <n v="0"/>
    <n v="3"/>
    <n v="13200"/>
  </r>
  <r>
    <s v="S0019"/>
    <d v="2024-01-26T00:00:00"/>
    <x v="3"/>
    <n v="1"/>
    <x v="0"/>
    <s v="P015"/>
    <x v="2"/>
    <n v="2"/>
    <n v="630"/>
    <n v="0"/>
    <x v="24"/>
    <n v="350"/>
    <n v="1260"/>
    <n v="700"/>
    <n v="560"/>
    <n v="0.44444444444444398"/>
    <n v="0"/>
    <n v="0"/>
    <n v="2"/>
    <n v="1260"/>
  </r>
  <r>
    <s v="S0060"/>
    <d v="2024-01-26T00:00:00"/>
    <x v="3"/>
    <n v="1"/>
    <x v="0"/>
    <s v="P022"/>
    <x v="1"/>
    <n v="4"/>
    <n v="1470"/>
    <n v="0"/>
    <x v="11"/>
    <n v="700"/>
    <n v="5880"/>
    <n v="2800"/>
    <n v="3080"/>
    <n v="0.52380952380952395"/>
    <n v="0"/>
    <n v="0"/>
    <n v="4"/>
    <n v="5880"/>
  </r>
  <r>
    <s v="S0029"/>
    <d v="2024-01-26T00:00:00"/>
    <x v="3"/>
    <n v="1"/>
    <x v="0"/>
    <s v="P019"/>
    <x v="4"/>
    <n v="5"/>
    <n v="4500"/>
    <n v="0"/>
    <x v="14"/>
    <n v="1800"/>
    <n v="22500"/>
    <n v="9000"/>
    <n v="13500"/>
    <n v="0.6"/>
    <n v="4"/>
    <n v="4"/>
    <n v="1"/>
    <n v="4500"/>
  </r>
  <r>
    <s v="S0044"/>
    <d v="2024-01-27T00:00:00"/>
    <x v="3"/>
    <n v="1"/>
    <x v="0"/>
    <s v="P003"/>
    <x v="0"/>
    <n v="2"/>
    <n v="400"/>
    <n v="0"/>
    <x v="17"/>
    <n v="180"/>
    <n v="800"/>
    <n v="360"/>
    <n v="440"/>
    <n v="0.55000000000000004"/>
    <n v="0"/>
    <n v="0"/>
    <n v="2"/>
    <n v="800"/>
  </r>
  <r>
    <s v="S0041"/>
    <d v="2024-01-28T00:00:00"/>
    <x v="3"/>
    <n v="1"/>
    <x v="0"/>
    <s v="P010"/>
    <x v="3"/>
    <n v="3"/>
    <n v="500"/>
    <n v="0"/>
    <x v="4"/>
    <n v="250"/>
    <n v="1500"/>
    <n v="750"/>
    <n v="750"/>
    <n v="0.5"/>
    <n v="0"/>
    <n v="0"/>
    <n v="3"/>
    <n v="1500"/>
  </r>
  <r>
    <s v="S0087"/>
    <d v="2024-01-28T00:00:00"/>
    <x v="3"/>
    <n v="1"/>
    <x v="0"/>
    <s v="P003"/>
    <x v="0"/>
    <n v="3"/>
    <n v="400"/>
    <n v="0"/>
    <x v="17"/>
    <n v="180"/>
    <n v="1200"/>
    <n v="540"/>
    <n v="660"/>
    <n v="0.55000000000000004"/>
    <n v="0"/>
    <n v="0"/>
    <n v="3"/>
    <n v="1200"/>
  </r>
  <r>
    <s v="S0141"/>
    <d v="2024-01-28T00:00:00"/>
    <x v="3"/>
    <n v="1"/>
    <x v="0"/>
    <s v="P026"/>
    <x v="1"/>
    <n v="2"/>
    <n v="520"/>
    <n v="0"/>
    <x v="1"/>
    <n v="250"/>
    <n v="1040"/>
    <n v="500"/>
    <n v="540"/>
    <n v="0.51923076923076905"/>
    <n v="0"/>
    <n v="0"/>
    <n v="2"/>
    <n v="1040"/>
  </r>
  <r>
    <s v="S0101"/>
    <d v="2024-01-28T00:00:00"/>
    <x v="3"/>
    <n v="1"/>
    <x v="0"/>
    <s v="P009"/>
    <x v="3"/>
    <n v="4"/>
    <n v="510"/>
    <n v="15"/>
    <x v="7"/>
    <n v="300"/>
    <n v="2040"/>
    <n v="1200"/>
    <n v="840"/>
    <n v="0.41176470588235298"/>
    <n v="0"/>
    <n v="0"/>
    <n v="4"/>
    <n v="2040"/>
  </r>
  <r>
    <s v="S0079"/>
    <d v="2024-01-28T00:00:00"/>
    <x v="3"/>
    <n v="1"/>
    <x v="0"/>
    <s v="P022"/>
    <x v="1"/>
    <n v="5"/>
    <n v="1470"/>
    <n v="0"/>
    <x v="11"/>
    <n v="700"/>
    <n v="7350"/>
    <n v="3500"/>
    <n v="3850"/>
    <n v="0.52380952380952395"/>
    <n v="0"/>
    <n v="0"/>
    <n v="5"/>
    <n v="7350"/>
  </r>
  <r>
    <s v="S0074"/>
    <d v="2024-01-29T00:00:00"/>
    <x v="4"/>
    <n v="1"/>
    <x v="0"/>
    <s v="P011"/>
    <x v="3"/>
    <n v="3"/>
    <n v="1260"/>
    <n v="10"/>
    <x v="9"/>
    <n v="700"/>
    <n v="3780"/>
    <n v="2100"/>
    <n v="1680"/>
    <n v="0.44444444444444398"/>
    <n v="0"/>
    <n v="0"/>
    <n v="3"/>
    <n v="3780"/>
  </r>
  <r>
    <s v="S0111"/>
    <d v="2024-01-29T00:00:00"/>
    <x v="4"/>
    <n v="1"/>
    <x v="0"/>
    <s v="P025"/>
    <x v="1"/>
    <n v="4"/>
    <n v="940"/>
    <n v="0"/>
    <x v="19"/>
    <n v="450"/>
    <n v="3760"/>
    <n v="1800"/>
    <n v="1960"/>
    <n v="0.52127659574468099"/>
    <n v="0"/>
    <n v="0"/>
    <n v="4"/>
    <n v="3760"/>
  </r>
  <r>
    <s v="S0007"/>
    <d v="2024-01-29T00:00:00"/>
    <x v="4"/>
    <n v="1"/>
    <x v="0"/>
    <s v="P001"/>
    <x v="0"/>
    <n v="2"/>
    <n v="693"/>
    <n v="10"/>
    <x v="23"/>
    <n v="350"/>
    <n v="1386"/>
    <n v="700"/>
    <n v="686"/>
    <n v="0.49494949494949497"/>
    <n v="0"/>
    <n v="0"/>
    <n v="2"/>
    <n v="1386"/>
  </r>
  <r>
    <s v="S0090"/>
    <d v="2024-01-29T00:00:00"/>
    <x v="4"/>
    <n v="1"/>
    <x v="0"/>
    <s v="P024"/>
    <x v="1"/>
    <n v="1"/>
    <n v="1512"/>
    <n v="10"/>
    <x v="20"/>
    <n v="800"/>
    <n v="1512"/>
    <n v="800"/>
    <n v="712"/>
    <n v="0.47089947089947098"/>
    <n v="0"/>
    <n v="0"/>
    <n v="1"/>
    <n v="1512"/>
  </r>
  <r>
    <s v="S0064"/>
    <d v="2024-01-29T00:00:00"/>
    <x v="4"/>
    <n v="1"/>
    <x v="0"/>
    <s v="P008"/>
    <x v="3"/>
    <n v="4"/>
    <n v="850"/>
    <n v="15"/>
    <x v="10"/>
    <n v="500"/>
    <n v="3400"/>
    <n v="2000"/>
    <n v="1400"/>
    <n v="0.41176470588235298"/>
    <n v="0"/>
    <n v="0"/>
    <n v="4"/>
    <n v="3400"/>
  </r>
  <r>
    <s v="S0097"/>
    <d v="2024-01-29T00:00:00"/>
    <x v="4"/>
    <n v="1"/>
    <x v="0"/>
    <s v="P026"/>
    <x v="1"/>
    <n v="2"/>
    <n v="442"/>
    <n v="15"/>
    <x v="1"/>
    <n v="250"/>
    <n v="884"/>
    <n v="500"/>
    <n v="384"/>
    <n v="0.434389140271493"/>
    <n v="0"/>
    <n v="0"/>
    <n v="2"/>
    <n v="884"/>
  </r>
  <r>
    <s v="S0055"/>
    <d v="2024-01-30T00:00:00"/>
    <x v="4"/>
    <n v="1"/>
    <x v="0"/>
    <s v="P007"/>
    <x v="3"/>
    <n v="1"/>
    <n v="1020"/>
    <n v="15"/>
    <x v="22"/>
    <n v="600"/>
    <n v="1020"/>
    <n v="600"/>
    <n v="420"/>
    <n v="0.41176470588235298"/>
    <n v="0"/>
    <n v="0"/>
    <n v="1"/>
    <n v="1020"/>
  </r>
  <r>
    <s v="S0107"/>
    <d v="2024-01-30T00:00:00"/>
    <x v="4"/>
    <n v="1"/>
    <x v="0"/>
    <s v="P012"/>
    <x v="2"/>
    <n v="3"/>
    <n v="1620"/>
    <n v="0"/>
    <x v="3"/>
    <n v="900"/>
    <n v="4860"/>
    <n v="2700"/>
    <n v="2160"/>
    <n v="0.44444444444444398"/>
    <n v="0"/>
    <n v="0"/>
    <n v="3"/>
    <n v="4860"/>
  </r>
  <r>
    <s v="S0032"/>
    <d v="2024-01-30T00:00:00"/>
    <x v="4"/>
    <n v="1"/>
    <x v="0"/>
    <s v="P025"/>
    <x v="1"/>
    <n v="4"/>
    <n v="893"/>
    <n v="5"/>
    <x v="19"/>
    <n v="450"/>
    <n v="3572"/>
    <n v="1800"/>
    <n v="1772"/>
    <n v="0.496080627099664"/>
    <n v="0"/>
    <n v="0"/>
    <n v="4"/>
    <n v="3572"/>
  </r>
  <r>
    <s v="S0124"/>
    <d v="2024-01-30T00:00:00"/>
    <x v="4"/>
    <n v="1"/>
    <x v="0"/>
    <s v="P015"/>
    <x v="2"/>
    <n v="5"/>
    <n v="567"/>
    <n v="10"/>
    <x v="24"/>
    <n v="350"/>
    <n v="2835"/>
    <n v="1750"/>
    <n v="1085"/>
    <n v="0.38271604938271597"/>
    <n v="0"/>
    <n v="0"/>
    <n v="5"/>
    <n v="2835"/>
  </r>
  <r>
    <s v="S0063"/>
    <d v="2024-01-30T00:00:00"/>
    <x v="4"/>
    <n v="1"/>
    <x v="0"/>
    <s v="P025"/>
    <x v="1"/>
    <n v="4"/>
    <n v="846"/>
    <n v="10"/>
    <x v="19"/>
    <n v="450"/>
    <n v="3384"/>
    <n v="1800"/>
    <n v="1584"/>
    <n v="0.46808510638297901"/>
    <n v="0"/>
    <n v="0"/>
    <n v="4"/>
    <n v="3384"/>
  </r>
  <r>
    <s v="S0114"/>
    <d v="2024-01-31T00:00:00"/>
    <x v="4"/>
    <n v="1"/>
    <x v="0"/>
    <s v="P010"/>
    <x v="3"/>
    <n v="2"/>
    <n v="500"/>
    <n v="0"/>
    <x v="4"/>
    <n v="250"/>
    <n v="1000"/>
    <n v="500"/>
    <n v="500"/>
    <n v="0.5"/>
    <n v="0"/>
    <n v="0"/>
    <n v="2"/>
    <n v="1000"/>
  </r>
  <r>
    <s v="S0024"/>
    <d v="2024-01-31T00:00:00"/>
    <x v="4"/>
    <n v="1"/>
    <x v="0"/>
    <s v="P015"/>
    <x v="2"/>
    <n v="4"/>
    <n v="630"/>
    <n v="0"/>
    <x v="24"/>
    <n v="350"/>
    <n v="2520"/>
    <n v="1400"/>
    <n v="1120"/>
    <n v="0.44444444444444398"/>
    <n v="0"/>
    <n v="0"/>
    <n v="4"/>
    <n v="2520"/>
  </r>
  <r>
    <s v="S0177"/>
    <d v="2024-02-01T00:00:00"/>
    <x v="4"/>
    <n v="2"/>
    <x v="1"/>
    <s v="P018"/>
    <x v="4"/>
    <n v="3"/>
    <n v="361"/>
    <n v="5"/>
    <x v="16"/>
    <n v="150"/>
    <n v="1083"/>
    <n v="450"/>
    <n v="633"/>
    <n v="0.58448753462603897"/>
    <n v="0"/>
    <n v="0"/>
    <n v="3"/>
    <n v="1083"/>
  </r>
  <r>
    <s v="S0214"/>
    <d v="2024-02-01T00:00:00"/>
    <x v="4"/>
    <n v="2"/>
    <x v="1"/>
    <s v="P028"/>
    <x v="5"/>
    <n v="4"/>
    <n v="570"/>
    <n v="5"/>
    <x v="26"/>
    <n v="300"/>
    <n v="2280"/>
    <n v="1200"/>
    <n v="1080"/>
    <n v="0.47368421052631599"/>
    <n v="0"/>
    <n v="0"/>
    <n v="4"/>
    <n v="2280"/>
  </r>
  <r>
    <s v="S0189"/>
    <d v="2024-02-02T00:00:00"/>
    <x v="4"/>
    <n v="2"/>
    <x v="1"/>
    <s v="P002"/>
    <x v="0"/>
    <n v="2"/>
    <n v="880"/>
    <n v="0"/>
    <x v="2"/>
    <n v="400"/>
    <n v="1760"/>
    <n v="800"/>
    <n v="960"/>
    <n v="0.54545454545454497"/>
    <n v="0"/>
    <n v="0"/>
    <n v="2"/>
    <n v="1760"/>
  </r>
  <r>
    <s v="S0156"/>
    <d v="2024-02-02T00:00:00"/>
    <x v="4"/>
    <n v="2"/>
    <x v="1"/>
    <s v="P024"/>
    <x v="1"/>
    <n v="2"/>
    <n v="1428"/>
    <n v="15"/>
    <x v="20"/>
    <n v="800"/>
    <n v="2856"/>
    <n v="1600"/>
    <n v="1256"/>
    <n v="0.43977591036414598"/>
    <n v="0"/>
    <n v="0"/>
    <n v="2"/>
    <n v="2856"/>
  </r>
  <r>
    <s v="S0196"/>
    <d v="2024-02-03T00:00:00"/>
    <x v="4"/>
    <n v="2"/>
    <x v="1"/>
    <s v="P004"/>
    <x v="0"/>
    <n v="5"/>
    <n v="2244"/>
    <n v="15"/>
    <x v="5"/>
    <n v="1200"/>
    <n v="11220"/>
    <n v="6000"/>
    <n v="5220"/>
    <n v="0.46524064171122997"/>
    <n v="0"/>
    <n v="0"/>
    <n v="5"/>
    <n v="11220"/>
  </r>
  <r>
    <s v="S0195"/>
    <d v="2024-02-03T00:00:00"/>
    <x v="4"/>
    <n v="2"/>
    <x v="1"/>
    <s v="P012"/>
    <x v="2"/>
    <n v="4"/>
    <n v="1458"/>
    <n v="10"/>
    <x v="3"/>
    <n v="900"/>
    <n v="5832"/>
    <n v="3600"/>
    <n v="2232"/>
    <n v="0.38271604938271597"/>
    <n v="0"/>
    <n v="0"/>
    <n v="4"/>
    <n v="5832"/>
  </r>
  <r>
    <s v="S0171"/>
    <d v="2024-02-03T00:00:00"/>
    <x v="4"/>
    <n v="2"/>
    <x v="1"/>
    <s v="P020"/>
    <x v="4"/>
    <n v="1"/>
    <n v="1500"/>
    <n v="0"/>
    <x v="8"/>
    <n v="600"/>
    <n v="1500"/>
    <n v="600"/>
    <n v="900"/>
    <n v="0.6"/>
    <n v="0"/>
    <n v="0"/>
    <n v="1"/>
    <n v="1500"/>
  </r>
  <r>
    <s v="S0230"/>
    <d v="2024-02-04T00:00:00"/>
    <x v="4"/>
    <n v="2"/>
    <x v="1"/>
    <s v="P023"/>
    <x v="1"/>
    <n v="1"/>
    <n v="3150"/>
    <n v="0"/>
    <x v="12"/>
    <n v="1500"/>
    <n v="3150"/>
    <n v="1500"/>
    <n v="1650"/>
    <n v="0.52380952380952395"/>
    <n v="0"/>
    <n v="0"/>
    <n v="1"/>
    <n v="3150"/>
  </r>
  <r>
    <s v="S0158"/>
    <d v="2024-02-04T00:00:00"/>
    <x v="4"/>
    <n v="2"/>
    <x v="1"/>
    <s v="P002"/>
    <x v="0"/>
    <n v="3"/>
    <n v="880"/>
    <n v="0"/>
    <x v="2"/>
    <n v="400"/>
    <n v="2640"/>
    <n v="1200"/>
    <n v="1440"/>
    <n v="0.54545454545454497"/>
    <n v="0"/>
    <n v="0"/>
    <n v="3"/>
    <n v="2640"/>
  </r>
  <r>
    <s v="S0152"/>
    <d v="2024-02-04T00:00:00"/>
    <x v="4"/>
    <n v="2"/>
    <x v="1"/>
    <s v="P019"/>
    <x v="4"/>
    <n v="4"/>
    <n v="3825"/>
    <n v="15"/>
    <x v="14"/>
    <n v="1800"/>
    <n v="15300"/>
    <n v="7200"/>
    <n v="8100"/>
    <n v="0.52941176470588203"/>
    <n v="0"/>
    <n v="0"/>
    <n v="4"/>
    <n v="15300"/>
  </r>
  <r>
    <s v="S0168"/>
    <d v="2024-02-04T00:00:00"/>
    <x v="4"/>
    <n v="2"/>
    <x v="1"/>
    <s v="P013"/>
    <x v="2"/>
    <n v="2"/>
    <n v="1980"/>
    <n v="0"/>
    <x v="21"/>
    <n v="1100"/>
    <n v="3960"/>
    <n v="2200"/>
    <n v="1760"/>
    <n v="0.44444444444444398"/>
    <n v="0"/>
    <n v="0"/>
    <n v="2"/>
    <n v="3960"/>
  </r>
  <r>
    <s v="S0216"/>
    <d v="2024-02-04T00:00:00"/>
    <x v="4"/>
    <n v="2"/>
    <x v="1"/>
    <s v="P007"/>
    <x v="3"/>
    <n v="5"/>
    <n v="1200"/>
    <n v="0"/>
    <x v="22"/>
    <n v="600"/>
    <n v="6000"/>
    <n v="3000"/>
    <n v="3000"/>
    <n v="0.5"/>
    <n v="0"/>
    <n v="0"/>
    <n v="5"/>
    <n v="6000"/>
  </r>
  <r>
    <s v="S0210"/>
    <d v="2024-02-05T00:00:00"/>
    <x v="5"/>
    <n v="2"/>
    <x v="1"/>
    <s v="P002"/>
    <x v="0"/>
    <n v="1"/>
    <n v="748"/>
    <n v="15"/>
    <x v="2"/>
    <n v="400"/>
    <n v="748"/>
    <n v="400"/>
    <n v="348"/>
    <n v="0.46524064171122997"/>
    <n v="0"/>
    <n v="0"/>
    <n v="1"/>
    <n v="748"/>
  </r>
  <r>
    <s v="S0219"/>
    <d v="2024-02-05T00:00:00"/>
    <x v="5"/>
    <n v="2"/>
    <x v="1"/>
    <s v="P016"/>
    <x v="2"/>
    <n v="4"/>
    <n v="2340"/>
    <n v="0"/>
    <x v="13"/>
    <n v="1300"/>
    <n v="9360"/>
    <n v="5200"/>
    <n v="4160"/>
    <n v="0.44444444444444398"/>
    <n v="0"/>
    <n v="0"/>
    <n v="4"/>
    <n v="9360"/>
  </r>
  <r>
    <s v="S0146"/>
    <d v="2024-02-05T00:00:00"/>
    <x v="5"/>
    <n v="2"/>
    <x v="1"/>
    <s v="P021"/>
    <x v="4"/>
    <n v="5"/>
    <n v="850"/>
    <n v="15"/>
    <x v="6"/>
    <n v="400"/>
    <n v="4250"/>
    <n v="2000"/>
    <n v="2250"/>
    <n v="0.52941176470588203"/>
    <n v="0"/>
    <n v="0"/>
    <n v="5"/>
    <n v="4250"/>
  </r>
  <r>
    <s v="S0223"/>
    <d v="2024-02-06T00:00:00"/>
    <x v="5"/>
    <n v="2"/>
    <x v="1"/>
    <s v="P025"/>
    <x v="1"/>
    <n v="4"/>
    <n v="893"/>
    <n v="5"/>
    <x v="19"/>
    <n v="450"/>
    <n v="3572"/>
    <n v="1800"/>
    <n v="1772"/>
    <n v="0.496080627099664"/>
    <n v="0"/>
    <n v="0"/>
    <n v="4"/>
    <n v="3572"/>
  </r>
  <r>
    <s v="S0176"/>
    <d v="2024-02-06T00:00:00"/>
    <x v="5"/>
    <n v="2"/>
    <x v="1"/>
    <s v="P022"/>
    <x v="1"/>
    <n v="5"/>
    <n v="1396.5"/>
    <n v="5"/>
    <x v="11"/>
    <n v="700"/>
    <n v="6982.5"/>
    <n v="3500"/>
    <n v="3482.5"/>
    <n v="0.49874686716791999"/>
    <n v="0"/>
    <n v="0"/>
    <n v="5"/>
    <n v="6982.5"/>
  </r>
  <r>
    <s v="S0192"/>
    <d v="2024-02-06T00:00:00"/>
    <x v="5"/>
    <n v="2"/>
    <x v="1"/>
    <s v="P020"/>
    <x v="4"/>
    <n v="2"/>
    <n v="1500"/>
    <n v="0"/>
    <x v="8"/>
    <n v="600"/>
    <n v="3000"/>
    <n v="1200"/>
    <n v="1800"/>
    <n v="0.6"/>
    <n v="0"/>
    <n v="0"/>
    <n v="2"/>
    <n v="3000"/>
  </r>
  <r>
    <s v="S0172"/>
    <d v="2024-02-06T00:00:00"/>
    <x v="5"/>
    <n v="2"/>
    <x v="1"/>
    <s v="P006"/>
    <x v="0"/>
    <n v="1"/>
    <n v="456"/>
    <n v="5"/>
    <x v="0"/>
    <n v="220"/>
    <n v="456"/>
    <n v="220"/>
    <n v="236"/>
    <n v="0.51754385964912297"/>
    <n v="0"/>
    <n v="0"/>
    <n v="1"/>
    <n v="456"/>
  </r>
  <r>
    <s v="S0151"/>
    <d v="2024-02-07T00:00:00"/>
    <x v="5"/>
    <n v="2"/>
    <x v="1"/>
    <s v="P019"/>
    <x v="4"/>
    <n v="4"/>
    <n v="4500"/>
    <n v="0"/>
    <x v="14"/>
    <n v="1800"/>
    <n v="18000"/>
    <n v="7200"/>
    <n v="10800"/>
    <n v="0.6"/>
    <n v="0"/>
    <n v="0"/>
    <n v="4"/>
    <n v="18000"/>
  </r>
  <r>
    <s v="S0162"/>
    <d v="2024-02-07T00:00:00"/>
    <x v="5"/>
    <n v="2"/>
    <x v="1"/>
    <s v="P014"/>
    <x v="2"/>
    <n v="5"/>
    <n v="810"/>
    <n v="10"/>
    <x v="18"/>
    <n v="500"/>
    <n v="4050"/>
    <n v="2500"/>
    <n v="1550"/>
    <n v="0.38271604938271597"/>
    <n v="0"/>
    <n v="0"/>
    <n v="5"/>
    <n v="4050"/>
  </r>
  <r>
    <s v="S0145"/>
    <d v="2024-02-07T00:00:00"/>
    <x v="5"/>
    <n v="2"/>
    <x v="1"/>
    <s v="P024"/>
    <x v="1"/>
    <n v="1"/>
    <n v="1512"/>
    <n v="10"/>
    <x v="20"/>
    <n v="800"/>
    <n v="1512"/>
    <n v="800"/>
    <n v="712"/>
    <n v="0.47089947089947098"/>
    <n v="0"/>
    <n v="0"/>
    <n v="1"/>
    <n v="1512"/>
  </r>
  <r>
    <s v="S0184"/>
    <d v="2024-02-07T00:00:00"/>
    <x v="5"/>
    <n v="2"/>
    <x v="1"/>
    <s v="P022"/>
    <x v="1"/>
    <n v="5"/>
    <n v="1470"/>
    <n v="0"/>
    <x v="11"/>
    <n v="700"/>
    <n v="7350"/>
    <n v="3500"/>
    <n v="3850"/>
    <n v="0.52380952380952395"/>
    <n v="0"/>
    <n v="0"/>
    <n v="5"/>
    <n v="7350"/>
  </r>
  <r>
    <s v="S0174"/>
    <d v="2024-02-07T00:00:00"/>
    <x v="5"/>
    <n v="2"/>
    <x v="1"/>
    <s v="P020"/>
    <x v="4"/>
    <n v="5"/>
    <n v="1425"/>
    <n v="5"/>
    <x v="8"/>
    <n v="600"/>
    <n v="7125"/>
    <n v="3000"/>
    <n v="4125"/>
    <n v="0.57894736842105299"/>
    <n v="0"/>
    <n v="0"/>
    <n v="5"/>
    <n v="7125"/>
  </r>
  <r>
    <s v="S0185"/>
    <d v="2024-02-07T00:00:00"/>
    <x v="5"/>
    <n v="2"/>
    <x v="1"/>
    <s v="P014"/>
    <x v="2"/>
    <n v="1"/>
    <n v="900"/>
    <n v="0"/>
    <x v="18"/>
    <n v="500"/>
    <n v="900"/>
    <n v="500"/>
    <n v="400"/>
    <n v="0.44444444444444398"/>
    <n v="0"/>
    <n v="0"/>
    <n v="1"/>
    <n v="900"/>
  </r>
  <r>
    <s v="S0161"/>
    <d v="2024-02-08T00:00:00"/>
    <x v="5"/>
    <n v="2"/>
    <x v="1"/>
    <s v="P007"/>
    <x v="3"/>
    <n v="5"/>
    <n v="1200"/>
    <n v="0"/>
    <x v="22"/>
    <n v="600"/>
    <n v="6000"/>
    <n v="3000"/>
    <n v="3000"/>
    <n v="0.5"/>
    <n v="0"/>
    <n v="0"/>
    <n v="5"/>
    <n v="6000"/>
  </r>
  <r>
    <s v="S0200"/>
    <d v="2024-02-08T00:00:00"/>
    <x v="5"/>
    <n v="2"/>
    <x v="1"/>
    <s v="P006"/>
    <x v="0"/>
    <n v="5"/>
    <n v="432"/>
    <n v="10"/>
    <x v="0"/>
    <n v="220"/>
    <n v="2160"/>
    <n v="1100"/>
    <n v="1060"/>
    <n v="0.49074074074074098"/>
    <n v="0"/>
    <n v="0"/>
    <n v="5"/>
    <n v="2160"/>
  </r>
  <r>
    <s v="S0166"/>
    <d v="2024-02-08T00:00:00"/>
    <x v="5"/>
    <n v="2"/>
    <x v="1"/>
    <s v="P015"/>
    <x v="2"/>
    <n v="3"/>
    <n v="630"/>
    <n v="0"/>
    <x v="24"/>
    <n v="350"/>
    <n v="1890"/>
    <n v="1050"/>
    <n v="840"/>
    <n v="0.44444444444444398"/>
    <n v="0"/>
    <n v="0"/>
    <n v="3"/>
    <n v="1890"/>
  </r>
  <r>
    <s v="S0149"/>
    <d v="2024-02-08T00:00:00"/>
    <x v="5"/>
    <n v="2"/>
    <x v="1"/>
    <s v="P018"/>
    <x v="4"/>
    <n v="4"/>
    <n v="361"/>
    <n v="5"/>
    <x v="16"/>
    <n v="150"/>
    <n v="1444"/>
    <n v="600"/>
    <n v="844"/>
    <n v="0.58448753462603897"/>
    <n v="0"/>
    <n v="0"/>
    <n v="4"/>
    <n v="1444"/>
  </r>
  <r>
    <s v="S0178"/>
    <d v="2024-02-09T00:00:00"/>
    <x v="5"/>
    <n v="2"/>
    <x v="1"/>
    <s v="P008"/>
    <x v="3"/>
    <n v="3"/>
    <n v="950"/>
    <n v="5"/>
    <x v="10"/>
    <n v="500"/>
    <n v="2850"/>
    <n v="1500"/>
    <n v="1350"/>
    <n v="0.47368421052631599"/>
    <n v="0"/>
    <n v="0"/>
    <n v="3"/>
    <n v="2850"/>
  </r>
  <r>
    <s v="S0231"/>
    <d v="2024-02-09T00:00:00"/>
    <x v="5"/>
    <n v="2"/>
    <x v="1"/>
    <s v="P004"/>
    <x v="0"/>
    <n v="5"/>
    <n v="2640"/>
    <n v="0"/>
    <x v="5"/>
    <n v="1200"/>
    <n v="13200"/>
    <n v="6000"/>
    <n v="7200"/>
    <n v="0.54545454545454497"/>
    <n v="0"/>
    <n v="0"/>
    <n v="5"/>
    <n v="13200"/>
  </r>
  <r>
    <s v="S0206"/>
    <d v="2024-02-09T00:00:00"/>
    <x v="5"/>
    <n v="2"/>
    <x v="1"/>
    <s v="P010"/>
    <x v="3"/>
    <n v="3"/>
    <n v="500"/>
    <n v="0"/>
    <x v="4"/>
    <n v="250"/>
    <n v="1500"/>
    <n v="750"/>
    <n v="750"/>
    <n v="0.5"/>
    <n v="0"/>
    <n v="0"/>
    <n v="3"/>
    <n v="1500"/>
  </r>
  <r>
    <s v="S0165"/>
    <d v="2024-02-09T00:00:00"/>
    <x v="5"/>
    <n v="2"/>
    <x v="1"/>
    <s v="P004"/>
    <x v="0"/>
    <n v="2"/>
    <n v="2508"/>
    <n v="5"/>
    <x v="5"/>
    <n v="1200"/>
    <n v="5016"/>
    <n v="2400"/>
    <n v="2616"/>
    <n v="0.52153110047846896"/>
    <n v="0"/>
    <n v="0"/>
    <n v="2"/>
    <n v="5016"/>
  </r>
  <r>
    <s v="S0209"/>
    <d v="2024-02-09T00:00:00"/>
    <x v="5"/>
    <n v="2"/>
    <x v="1"/>
    <s v="P019"/>
    <x v="4"/>
    <n v="5"/>
    <n v="4275"/>
    <n v="5"/>
    <x v="14"/>
    <n v="1800"/>
    <n v="21375"/>
    <n v="9000"/>
    <n v="12375"/>
    <n v="0.57894736842105299"/>
    <n v="0"/>
    <n v="0"/>
    <n v="5"/>
    <n v="21375"/>
  </r>
  <r>
    <s v="S0179"/>
    <d v="2024-02-10T00:00:00"/>
    <x v="5"/>
    <n v="2"/>
    <x v="1"/>
    <s v="P022"/>
    <x v="1"/>
    <n v="1"/>
    <n v="1396.5"/>
    <n v="5"/>
    <x v="11"/>
    <n v="700"/>
    <n v="1396.5"/>
    <n v="700"/>
    <n v="696.5"/>
    <n v="0.49874686716791999"/>
    <n v="0"/>
    <n v="0"/>
    <n v="1"/>
    <n v="1396.5"/>
  </r>
  <r>
    <s v="S0229"/>
    <d v="2024-02-10T00:00:00"/>
    <x v="5"/>
    <n v="2"/>
    <x v="1"/>
    <s v="P007"/>
    <x v="3"/>
    <n v="5"/>
    <n v="1020"/>
    <n v="15"/>
    <x v="22"/>
    <n v="600"/>
    <n v="5100"/>
    <n v="3000"/>
    <n v="2100"/>
    <n v="0.41176470588235298"/>
    <n v="0"/>
    <n v="0"/>
    <n v="5"/>
    <n v="5100"/>
  </r>
  <r>
    <s v="S0160"/>
    <d v="2024-02-11T00:00:00"/>
    <x v="5"/>
    <n v="2"/>
    <x v="1"/>
    <s v="P023"/>
    <x v="1"/>
    <n v="4"/>
    <n v="3150"/>
    <n v="0"/>
    <x v="12"/>
    <n v="1500"/>
    <n v="12600"/>
    <n v="6000"/>
    <n v="6600"/>
    <n v="0.52380952380952395"/>
    <n v="0"/>
    <n v="0"/>
    <n v="4"/>
    <n v="12600"/>
  </r>
  <r>
    <s v="S0208"/>
    <d v="2024-02-11T00:00:00"/>
    <x v="5"/>
    <n v="2"/>
    <x v="1"/>
    <s v="P021"/>
    <x v="4"/>
    <n v="2"/>
    <n v="1000"/>
    <n v="0"/>
    <x v="6"/>
    <n v="400"/>
    <n v="2000"/>
    <n v="800"/>
    <n v="1200"/>
    <n v="0.6"/>
    <n v="0"/>
    <n v="0"/>
    <n v="2"/>
    <n v="2000"/>
  </r>
  <r>
    <s v="S0222"/>
    <d v="2024-02-12T00:00:00"/>
    <x v="6"/>
    <n v="2"/>
    <x v="1"/>
    <s v="P002"/>
    <x v="0"/>
    <n v="5"/>
    <n v="880"/>
    <n v="0"/>
    <x v="2"/>
    <n v="400"/>
    <n v="4400"/>
    <n v="2000"/>
    <n v="2400"/>
    <n v="0.54545454545454497"/>
    <n v="0"/>
    <n v="0"/>
    <n v="5"/>
    <n v="4400"/>
  </r>
  <r>
    <s v="S0159"/>
    <d v="2024-02-13T00:00:00"/>
    <x v="6"/>
    <n v="2"/>
    <x v="1"/>
    <s v="P004"/>
    <x v="0"/>
    <n v="1"/>
    <n v="2244"/>
    <n v="15"/>
    <x v="5"/>
    <n v="1200"/>
    <n v="2244"/>
    <n v="1200"/>
    <n v="1044"/>
    <n v="0.46524064171122997"/>
    <n v="0"/>
    <n v="0"/>
    <n v="1"/>
    <n v="2244"/>
  </r>
  <r>
    <s v="S0198"/>
    <d v="2024-02-13T00:00:00"/>
    <x v="6"/>
    <n v="2"/>
    <x v="1"/>
    <s v="P019"/>
    <x v="4"/>
    <n v="1"/>
    <n v="4500"/>
    <n v="0"/>
    <x v="14"/>
    <n v="1800"/>
    <n v="4500"/>
    <n v="1800"/>
    <n v="2700"/>
    <n v="0.6"/>
    <n v="0"/>
    <n v="0"/>
    <n v="1"/>
    <n v="4500"/>
  </r>
  <r>
    <s v="S0203"/>
    <d v="2024-02-14T00:00:00"/>
    <x v="6"/>
    <n v="2"/>
    <x v="1"/>
    <s v="P020"/>
    <x v="4"/>
    <n v="1"/>
    <n v="1275"/>
    <n v="15"/>
    <x v="8"/>
    <n v="600"/>
    <n v="1275"/>
    <n v="600"/>
    <n v="675"/>
    <n v="0.52941176470588203"/>
    <n v="1"/>
    <n v="1"/>
    <n v="0"/>
    <n v="0"/>
  </r>
  <r>
    <s v="S0164"/>
    <d v="2024-02-14T00:00:00"/>
    <x v="6"/>
    <n v="2"/>
    <x v="1"/>
    <s v="P019"/>
    <x v="4"/>
    <n v="4"/>
    <n v="4500"/>
    <n v="0"/>
    <x v="14"/>
    <n v="1800"/>
    <n v="18000"/>
    <n v="7200"/>
    <n v="10800"/>
    <n v="0.6"/>
    <n v="0"/>
    <n v="0"/>
    <n v="4"/>
    <n v="18000"/>
  </r>
  <r>
    <s v="S0154"/>
    <d v="2024-02-14T00:00:00"/>
    <x v="6"/>
    <n v="2"/>
    <x v="1"/>
    <s v="P017"/>
    <x v="4"/>
    <n v="3"/>
    <n v="475"/>
    <n v="5"/>
    <x v="15"/>
    <n v="200"/>
    <n v="1425"/>
    <n v="600"/>
    <n v="825"/>
    <n v="0.57894736842105299"/>
    <n v="0"/>
    <n v="0"/>
    <n v="3"/>
    <n v="1425"/>
  </r>
  <r>
    <s v="S0153"/>
    <d v="2024-02-14T00:00:00"/>
    <x v="6"/>
    <n v="2"/>
    <x v="1"/>
    <s v="P025"/>
    <x v="1"/>
    <n v="4"/>
    <n v="940"/>
    <n v="0"/>
    <x v="19"/>
    <n v="450"/>
    <n v="3760"/>
    <n v="1800"/>
    <n v="1960"/>
    <n v="0.52127659574468099"/>
    <n v="0"/>
    <n v="0"/>
    <n v="4"/>
    <n v="3760"/>
  </r>
  <r>
    <s v="S0167"/>
    <d v="2024-02-15T00:00:00"/>
    <x v="6"/>
    <n v="2"/>
    <x v="1"/>
    <s v="P023"/>
    <x v="1"/>
    <n v="3"/>
    <n v="2835"/>
    <n v="10"/>
    <x v="12"/>
    <n v="1500"/>
    <n v="8505"/>
    <n v="4500"/>
    <n v="4005"/>
    <n v="0.47089947089947098"/>
    <n v="0"/>
    <n v="0"/>
    <n v="3"/>
    <n v="8505"/>
  </r>
  <r>
    <s v="S0212"/>
    <d v="2024-02-15T00:00:00"/>
    <x v="6"/>
    <n v="2"/>
    <x v="1"/>
    <s v="P016"/>
    <x v="2"/>
    <n v="5"/>
    <n v="2340"/>
    <n v="0"/>
    <x v="13"/>
    <n v="1300"/>
    <n v="11700"/>
    <n v="6500"/>
    <n v="5200"/>
    <n v="0.44444444444444398"/>
    <n v="0"/>
    <n v="0"/>
    <n v="5"/>
    <n v="11700"/>
  </r>
  <r>
    <s v="S0163"/>
    <d v="2024-02-15T00:00:00"/>
    <x v="6"/>
    <n v="2"/>
    <x v="1"/>
    <s v="P006"/>
    <x v="0"/>
    <n v="3"/>
    <n v="480"/>
    <n v="0"/>
    <x v="0"/>
    <n v="220"/>
    <n v="1440"/>
    <n v="660"/>
    <n v="780"/>
    <n v="0.54166666666666696"/>
    <n v="0"/>
    <n v="0"/>
    <n v="3"/>
    <n v="1440"/>
  </r>
  <r>
    <s v="S0155"/>
    <d v="2024-02-15T00:00:00"/>
    <x v="6"/>
    <n v="2"/>
    <x v="1"/>
    <s v="P014"/>
    <x v="2"/>
    <n v="5"/>
    <n v="765"/>
    <n v="15"/>
    <x v="18"/>
    <n v="500"/>
    <n v="3825"/>
    <n v="2500"/>
    <n v="1325"/>
    <n v="0.34640522875816998"/>
    <n v="0"/>
    <n v="0"/>
    <n v="5"/>
    <n v="3825"/>
  </r>
  <r>
    <s v="S0173"/>
    <d v="2024-02-16T00:00:00"/>
    <x v="6"/>
    <n v="2"/>
    <x v="1"/>
    <s v="P013"/>
    <x v="2"/>
    <n v="1"/>
    <n v="1881"/>
    <n v="5"/>
    <x v="21"/>
    <n v="1100"/>
    <n v="1881"/>
    <n v="1100"/>
    <n v="781"/>
    <n v="0.41520467836257302"/>
    <n v="0"/>
    <n v="0"/>
    <n v="1"/>
    <n v="1881"/>
  </r>
  <r>
    <s v="S0183"/>
    <d v="2024-02-16T00:00:00"/>
    <x v="6"/>
    <n v="2"/>
    <x v="1"/>
    <s v="P006"/>
    <x v="0"/>
    <n v="2"/>
    <n v="480"/>
    <n v="0"/>
    <x v="0"/>
    <n v="220"/>
    <n v="960"/>
    <n v="440"/>
    <n v="520"/>
    <n v="0.54166666666666696"/>
    <n v="0"/>
    <n v="0"/>
    <n v="2"/>
    <n v="960"/>
  </r>
  <r>
    <s v="S0193"/>
    <d v="2024-02-17T00:00:00"/>
    <x v="6"/>
    <n v="2"/>
    <x v="1"/>
    <s v="P001"/>
    <x v="0"/>
    <n v="3"/>
    <n v="770"/>
    <n v="0"/>
    <x v="23"/>
    <n v="350"/>
    <n v="2310"/>
    <n v="1050"/>
    <n v="1260"/>
    <n v="0.54545454545454497"/>
    <n v="0"/>
    <n v="0"/>
    <n v="3"/>
    <n v="2310"/>
  </r>
  <r>
    <s v="S0218"/>
    <d v="2024-02-17T00:00:00"/>
    <x v="6"/>
    <n v="2"/>
    <x v="1"/>
    <s v="P003"/>
    <x v="0"/>
    <n v="1"/>
    <n v="400"/>
    <n v="0"/>
    <x v="17"/>
    <n v="180"/>
    <n v="400"/>
    <n v="180"/>
    <n v="220"/>
    <n v="0.55000000000000004"/>
    <n v="0"/>
    <n v="0"/>
    <n v="1"/>
    <n v="400"/>
  </r>
  <r>
    <s v="S0227"/>
    <d v="2024-02-17T00:00:00"/>
    <x v="6"/>
    <n v="2"/>
    <x v="1"/>
    <s v="P003"/>
    <x v="0"/>
    <n v="4"/>
    <n v="400"/>
    <n v="0"/>
    <x v="17"/>
    <n v="180"/>
    <n v="1600"/>
    <n v="720"/>
    <n v="880"/>
    <n v="0.55000000000000004"/>
    <n v="0"/>
    <n v="0"/>
    <n v="4"/>
    <n v="1600"/>
  </r>
  <r>
    <s v="S0205"/>
    <d v="2024-02-17T00:00:00"/>
    <x v="6"/>
    <n v="2"/>
    <x v="1"/>
    <s v="P024"/>
    <x v="1"/>
    <n v="2"/>
    <n v="1680"/>
    <n v="0"/>
    <x v="20"/>
    <n v="800"/>
    <n v="3360"/>
    <n v="1600"/>
    <n v="1760"/>
    <n v="0.52380952380952395"/>
    <n v="0"/>
    <n v="0"/>
    <n v="2"/>
    <n v="3360"/>
  </r>
  <r>
    <s v="S0191"/>
    <d v="2024-02-17T00:00:00"/>
    <x v="6"/>
    <n v="2"/>
    <x v="1"/>
    <s v="P015"/>
    <x v="2"/>
    <n v="5"/>
    <n v="567"/>
    <n v="10"/>
    <x v="24"/>
    <n v="350"/>
    <n v="2835"/>
    <n v="1750"/>
    <n v="1085"/>
    <n v="0.38271604938271597"/>
    <n v="0"/>
    <n v="0"/>
    <n v="5"/>
    <n v="2835"/>
  </r>
  <r>
    <s v="S0217"/>
    <d v="2024-02-18T00:00:00"/>
    <x v="6"/>
    <n v="2"/>
    <x v="1"/>
    <s v="P022"/>
    <x v="1"/>
    <n v="3"/>
    <n v="1470"/>
    <n v="0"/>
    <x v="11"/>
    <n v="700"/>
    <n v="4410"/>
    <n v="2100"/>
    <n v="2310"/>
    <n v="0.52380952380952395"/>
    <n v="0"/>
    <n v="0"/>
    <n v="3"/>
    <n v="4410"/>
  </r>
  <r>
    <s v="S0187"/>
    <d v="2024-02-18T00:00:00"/>
    <x v="6"/>
    <n v="2"/>
    <x v="1"/>
    <s v="P012"/>
    <x v="2"/>
    <n v="2"/>
    <n v="1620"/>
    <n v="0"/>
    <x v="3"/>
    <n v="900"/>
    <n v="3240"/>
    <n v="1800"/>
    <n v="1440"/>
    <n v="0.44444444444444398"/>
    <n v="0"/>
    <n v="0"/>
    <n v="2"/>
    <n v="3240"/>
  </r>
  <r>
    <s v="S0190"/>
    <d v="2024-02-19T00:00:00"/>
    <x v="7"/>
    <n v="2"/>
    <x v="1"/>
    <s v="P019"/>
    <x v="4"/>
    <n v="2"/>
    <n v="4275"/>
    <n v="5"/>
    <x v="14"/>
    <n v="1800"/>
    <n v="8550"/>
    <n v="3600"/>
    <n v="4950"/>
    <n v="0.57894736842105299"/>
    <n v="0"/>
    <n v="0"/>
    <n v="2"/>
    <n v="8550"/>
  </r>
  <r>
    <s v="S0148"/>
    <d v="2024-02-19T00:00:00"/>
    <x v="7"/>
    <n v="2"/>
    <x v="1"/>
    <s v="P023"/>
    <x v="1"/>
    <n v="1"/>
    <n v="2992.5"/>
    <n v="5"/>
    <x v="12"/>
    <n v="1500"/>
    <n v="2992.5"/>
    <n v="1500"/>
    <n v="1492.5"/>
    <n v="0.49874686716791999"/>
    <n v="0"/>
    <n v="0"/>
    <n v="1"/>
    <n v="2992.5"/>
  </r>
  <r>
    <s v="S0186"/>
    <d v="2024-02-19T00:00:00"/>
    <x v="7"/>
    <n v="2"/>
    <x v="1"/>
    <s v="P014"/>
    <x v="2"/>
    <n v="5"/>
    <n v="765"/>
    <n v="15"/>
    <x v="18"/>
    <n v="500"/>
    <n v="3825"/>
    <n v="2500"/>
    <n v="1325"/>
    <n v="0.34640522875816998"/>
    <n v="0"/>
    <n v="0"/>
    <n v="5"/>
    <n v="3825"/>
  </r>
  <r>
    <s v="S0204"/>
    <d v="2024-02-19T00:00:00"/>
    <x v="7"/>
    <n v="2"/>
    <x v="1"/>
    <s v="P019"/>
    <x v="4"/>
    <n v="5"/>
    <n v="4050"/>
    <n v="10"/>
    <x v="14"/>
    <n v="1800"/>
    <n v="20250"/>
    <n v="9000"/>
    <n v="11250"/>
    <n v="0.55555555555555602"/>
    <n v="0"/>
    <n v="0"/>
    <n v="5"/>
    <n v="20250"/>
  </r>
  <r>
    <s v="S0226"/>
    <d v="2024-02-20T00:00:00"/>
    <x v="7"/>
    <n v="2"/>
    <x v="1"/>
    <s v="P017"/>
    <x v="4"/>
    <n v="5"/>
    <n v="425"/>
    <n v="15"/>
    <x v="15"/>
    <n v="200"/>
    <n v="2125"/>
    <n v="1000"/>
    <n v="1125"/>
    <n v="0.52941176470588203"/>
    <n v="0"/>
    <n v="0"/>
    <n v="5"/>
    <n v="2125"/>
  </r>
  <r>
    <s v="S0215"/>
    <d v="2024-02-20T00:00:00"/>
    <x v="7"/>
    <n v="2"/>
    <x v="1"/>
    <s v="P011"/>
    <x v="3"/>
    <n v="5"/>
    <n v="1260"/>
    <n v="10"/>
    <x v="9"/>
    <n v="700"/>
    <n v="6300"/>
    <n v="3500"/>
    <n v="2800"/>
    <n v="0.44444444444444398"/>
    <n v="0"/>
    <n v="0"/>
    <n v="5"/>
    <n v="6300"/>
  </r>
  <r>
    <s v="S0201"/>
    <d v="2024-02-20T00:00:00"/>
    <x v="7"/>
    <n v="2"/>
    <x v="1"/>
    <s v="P003"/>
    <x v="0"/>
    <n v="2"/>
    <n v="400"/>
    <n v="0"/>
    <x v="17"/>
    <n v="180"/>
    <n v="800"/>
    <n v="360"/>
    <n v="440"/>
    <n v="0.55000000000000004"/>
    <n v="0"/>
    <n v="0"/>
    <n v="2"/>
    <n v="800"/>
  </r>
  <r>
    <s v="S0202"/>
    <d v="2024-02-20T00:00:00"/>
    <x v="7"/>
    <n v="2"/>
    <x v="1"/>
    <s v="P002"/>
    <x v="0"/>
    <n v="2"/>
    <n v="880"/>
    <n v="0"/>
    <x v="2"/>
    <n v="400"/>
    <n v="1760"/>
    <n v="800"/>
    <n v="960"/>
    <n v="0.54545454545454497"/>
    <n v="0"/>
    <n v="0"/>
    <n v="2"/>
    <n v="1760"/>
  </r>
  <r>
    <s v="S0157"/>
    <d v="2024-02-21T00:00:00"/>
    <x v="7"/>
    <n v="2"/>
    <x v="1"/>
    <s v="P001"/>
    <x v="0"/>
    <n v="4"/>
    <n v="654.5"/>
    <n v="15"/>
    <x v="23"/>
    <n v="350"/>
    <n v="2618"/>
    <n v="1400"/>
    <n v="1218"/>
    <n v="0.46524064171122997"/>
    <n v="0"/>
    <n v="0"/>
    <n v="4"/>
    <n v="2618"/>
  </r>
  <r>
    <s v="S0211"/>
    <d v="2024-02-21T00:00:00"/>
    <x v="7"/>
    <n v="2"/>
    <x v="1"/>
    <s v="P023"/>
    <x v="1"/>
    <n v="1"/>
    <n v="3150"/>
    <n v="0"/>
    <x v="12"/>
    <n v="1500"/>
    <n v="3150"/>
    <n v="1500"/>
    <n v="1650"/>
    <n v="0.52380952380952395"/>
    <n v="0"/>
    <n v="0"/>
    <n v="1"/>
    <n v="3150"/>
  </r>
  <r>
    <s v="S0169"/>
    <d v="2024-02-21T00:00:00"/>
    <x v="7"/>
    <n v="2"/>
    <x v="1"/>
    <s v="P001"/>
    <x v="0"/>
    <n v="5"/>
    <n v="693"/>
    <n v="10"/>
    <x v="23"/>
    <n v="350"/>
    <n v="3465"/>
    <n v="1750"/>
    <n v="1715"/>
    <n v="0.49494949494949497"/>
    <n v="0"/>
    <n v="0"/>
    <n v="5"/>
    <n v="3465"/>
  </r>
  <r>
    <s v="S0182"/>
    <d v="2024-02-22T00:00:00"/>
    <x v="7"/>
    <n v="2"/>
    <x v="1"/>
    <s v="P009"/>
    <x v="3"/>
    <n v="4"/>
    <n v="510"/>
    <n v="15"/>
    <x v="7"/>
    <n v="300"/>
    <n v="2040"/>
    <n v="1200"/>
    <n v="840"/>
    <n v="0.41176470588235298"/>
    <n v="0"/>
    <n v="0"/>
    <n v="4"/>
    <n v="2040"/>
  </r>
  <r>
    <s v="S0144"/>
    <d v="2024-02-22T00:00:00"/>
    <x v="7"/>
    <n v="2"/>
    <x v="1"/>
    <s v="P024"/>
    <x v="1"/>
    <n v="1"/>
    <n v="1596"/>
    <n v="5"/>
    <x v="20"/>
    <n v="800"/>
    <n v="1596"/>
    <n v="800"/>
    <n v="796"/>
    <n v="0.49874686716791999"/>
    <n v="0"/>
    <n v="0"/>
    <n v="1"/>
    <n v="1596"/>
  </r>
  <r>
    <s v="S0207"/>
    <d v="2024-02-22T00:00:00"/>
    <x v="7"/>
    <n v="2"/>
    <x v="1"/>
    <s v="P009"/>
    <x v="3"/>
    <n v="4"/>
    <n v="510"/>
    <n v="15"/>
    <x v="7"/>
    <n v="300"/>
    <n v="2040"/>
    <n v="1200"/>
    <n v="840"/>
    <n v="0.41176470588235298"/>
    <n v="0"/>
    <n v="0"/>
    <n v="4"/>
    <n v="2040"/>
  </r>
  <r>
    <s v="S0228"/>
    <d v="2024-02-22T00:00:00"/>
    <x v="7"/>
    <n v="2"/>
    <x v="1"/>
    <s v="P010"/>
    <x v="3"/>
    <n v="3"/>
    <n v="450"/>
    <n v="10"/>
    <x v="4"/>
    <n v="250"/>
    <n v="1350"/>
    <n v="750"/>
    <n v="600"/>
    <n v="0.44444444444444398"/>
    <n v="0"/>
    <n v="0"/>
    <n v="3"/>
    <n v="1350"/>
  </r>
  <r>
    <s v="S0180"/>
    <d v="2024-02-23T00:00:00"/>
    <x v="7"/>
    <n v="2"/>
    <x v="1"/>
    <s v="P010"/>
    <x v="3"/>
    <n v="4"/>
    <n v="425"/>
    <n v="15"/>
    <x v="4"/>
    <n v="250"/>
    <n v="1700"/>
    <n v="1000"/>
    <n v="700"/>
    <n v="0.41176470588235298"/>
    <n v="0"/>
    <n v="0"/>
    <n v="4"/>
    <n v="1700"/>
  </r>
  <r>
    <s v="S0225"/>
    <d v="2024-02-23T00:00:00"/>
    <x v="7"/>
    <n v="2"/>
    <x v="1"/>
    <s v="P026"/>
    <x v="1"/>
    <n v="4"/>
    <n v="520"/>
    <n v="0"/>
    <x v="1"/>
    <n v="250"/>
    <n v="2080"/>
    <n v="1000"/>
    <n v="1080"/>
    <n v="0.51923076923076905"/>
    <n v="0"/>
    <n v="0"/>
    <n v="4"/>
    <n v="2080"/>
  </r>
  <r>
    <s v="S0188"/>
    <d v="2024-02-24T00:00:00"/>
    <x v="7"/>
    <n v="2"/>
    <x v="1"/>
    <s v="P026"/>
    <x v="1"/>
    <n v="4"/>
    <n v="520"/>
    <n v="0"/>
    <x v="1"/>
    <n v="250"/>
    <n v="2080"/>
    <n v="1000"/>
    <n v="1080"/>
    <n v="0.51923076923076905"/>
    <n v="0"/>
    <n v="0"/>
    <n v="4"/>
    <n v="2080"/>
  </r>
  <r>
    <s v="S0213"/>
    <d v="2024-02-25T00:00:00"/>
    <x v="7"/>
    <n v="2"/>
    <x v="1"/>
    <s v="P022"/>
    <x v="1"/>
    <n v="3"/>
    <n v="1470"/>
    <n v="0"/>
    <x v="11"/>
    <n v="700"/>
    <n v="4410"/>
    <n v="2100"/>
    <n v="2310"/>
    <n v="0.52380952380952395"/>
    <n v="0"/>
    <n v="0"/>
    <n v="3"/>
    <n v="4410"/>
  </r>
  <r>
    <s v="S0181"/>
    <d v="2024-02-26T00:00:00"/>
    <x v="8"/>
    <n v="2"/>
    <x v="1"/>
    <s v="P002"/>
    <x v="0"/>
    <n v="1"/>
    <n v="792"/>
    <n v="10"/>
    <x v="2"/>
    <n v="400"/>
    <n v="792"/>
    <n v="400"/>
    <n v="392"/>
    <n v="0.49494949494949497"/>
    <n v="1"/>
    <n v="1"/>
    <n v="0"/>
    <n v="0"/>
  </r>
  <r>
    <s v="S0150"/>
    <d v="2024-02-26T00:00:00"/>
    <x v="8"/>
    <n v="2"/>
    <x v="1"/>
    <s v="P015"/>
    <x v="2"/>
    <n v="1"/>
    <n v="598.5"/>
    <n v="5"/>
    <x v="24"/>
    <n v="350"/>
    <n v="598.5"/>
    <n v="350"/>
    <n v="248.5"/>
    <n v="0.41520467836257302"/>
    <n v="0"/>
    <n v="0"/>
    <n v="1"/>
    <n v="598.5"/>
  </r>
  <r>
    <s v="S0170"/>
    <d v="2024-02-27T00:00:00"/>
    <x v="8"/>
    <n v="2"/>
    <x v="1"/>
    <s v="P003"/>
    <x v="0"/>
    <n v="1"/>
    <n v="400"/>
    <n v="0"/>
    <x v="17"/>
    <n v="180"/>
    <n v="400"/>
    <n v="180"/>
    <n v="220"/>
    <n v="0.55000000000000004"/>
    <n v="0"/>
    <n v="0"/>
    <n v="1"/>
    <n v="400"/>
  </r>
  <r>
    <s v="S0224"/>
    <d v="2024-02-27T00:00:00"/>
    <x v="8"/>
    <n v="2"/>
    <x v="1"/>
    <s v="P011"/>
    <x v="3"/>
    <n v="4"/>
    <n v="1260"/>
    <n v="10"/>
    <x v="9"/>
    <n v="700"/>
    <n v="5040"/>
    <n v="2800"/>
    <n v="2240"/>
    <n v="0.44444444444444398"/>
    <n v="0"/>
    <n v="0"/>
    <n v="4"/>
    <n v="5040"/>
  </r>
  <r>
    <s v="S0194"/>
    <d v="2024-02-28T00:00:00"/>
    <x v="8"/>
    <n v="2"/>
    <x v="1"/>
    <s v="P023"/>
    <x v="1"/>
    <n v="4"/>
    <n v="3150"/>
    <n v="0"/>
    <x v="12"/>
    <n v="1500"/>
    <n v="12600"/>
    <n v="6000"/>
    <n v="6600"/>
    <n v="0.52380952380952395"/>
    <n v="0"/>
    <n v="0"/>
    <n v="4"/>
    <n v="12600"/>
  </r>
  <r>
    <s v="S0197"/>
    <d v="2024-02-28T00:00:00"/>
    <x v="8"/>
    <n v="2"/>
    <x v="1"/>
    <s v="P016"/>
    <x v="2"/>
    <n v="5"/>
    <n v="2340"/>
    <n v="0"/>
    <x v="13"/>
    <n v="1300"/>
    <n v="11700"/>
    <n v="6500"/>
    <n v="5200"/>
    <n v="0.44444444444444398"/>
    <n v="0"/>
    <n v="0"/>
    <n v="5"/>
    <n v="11700"/>
  </r>
  <r>
    <s v="S0175"/>
    <d v="2024-02-29T00:00:00"/>
    <x v="8"/>
    <n v="2"/>
    <x v="1"/>
    <s v="P019"/>
    <x v="4"/>
    <n v="5"/>
    <n v="4500"/>
    <n v="0"/>
    <x v="14"/>
    <n v="1800"/>
    <n v="22500"/>
    <n v="9000"/>
    <n v="13500"/>
    <n v="0.6"/>
    <n v="0"/>
    <n v="0"/>
    <n v="5"/>
    <n v="22500"/>
  </r>
  <r>
    <s v="S0220"/>
    <d v="2024-02-29T00:00:00"/>
    <x v="8"/>
    <n v="2"/>
    <x v="1"/>
    <s v="P023"/>
    <x v="1"/>
    <n v="5"/>
    <n v="3150"/>
    <n v="0"/>
    <x v="12"/>
    <n v="1500"/>
    <n v="15750"/>
    <n v="7500"/>
    <n v="8250"/>
    <n v="0.52380952380952395"/>
    <n v="0"/>
    <n v="0"/>
    <n v="5"/>
    <n v="15750"/>
  </r>
  <r>
    <s v="S0199"/>
    <d v="2024-02-29T00:00:00"/>
    <x v="8"/>
    <n v="2"/>
    <x v="1"/>
    <s v="P026"/>
    <x v="1"/>
    <n v="2"/>
    <n v="468"/>
    <n v="10"/>
    <x v="1"/>
    <n v="250"/>
    <n v="936"/>
    <n v="500"/>
    <n v="436"/>
    <n v="0.46581196581196599"/>
    <n v="0"/>
    <n v="0"/>
    <n v="2"/>
    <n v="936"/>
  </r>
  <r>
    <s v="S0147"/>
    <d v="2024-02-29T00:00:00"/>
    <x v="8"/>
    <n v="2"/>
    <x v="1"/>
    <s v="P009"/>
    <x v="3"/>
    <n v="2"/>
    <n v="540"/>
    <n v="10"/>
    <x v="7"/>
    <n v="300"/>
    <n v="1080"/>
    <n v="600"/>
    <n v="480"/>
    <n v="0.44444444444444398"/>
    <n v="0"/>
    <n v="0"/>
    <n v="2"/>
    <n v="1080"/>
  </r>
  <r>
    <s v="S0221"/>
    <d v="2024-02-29T00:00:00"/>
    <x v="8"/>
    <n v="2"/>
    <x v="1"/>
    <s v="P025"/>
    <x v="1"/>
    <n v="1"/>
    <n v="940"/>
    <n v="0"/>
    <x v="19"/>
    <n v="450"/>
    <n v="940"/>
    <n v="450"/>
    <n v="490"/>
    <n v="0.52127659574468099"/>
    <n v="0"/>
    <n v="0"/>
    <n v="1"/>
    <n v="940"/>
  </r>
  <r>
    <s v="S0272"/>
    <d v="2024-03-01T00:00:00"/>
    <x v="8"/>
    <n v="3"/>
    <x v="2"/>
    <s v="P021"/>
    <x v="4"/>
    <n v="2"/>
    <n v="1000"/>
    <n v="0"/>
    <x v="6"/>
    <n v="400"/>
    <n v="2000"/>
    <n v="800"/>
    <n v="1200"/>
    <n v="0.6"/>
    <n v="0"/>
    <n v="0"/>
    <n v="2"/>
    <n v="2000"/>
  </r>
  <r>
    <s v="S0307"/>
    <d v="2024-03-02T00:00:00"/>
    <x v="8"/>
    <n v="3"/>
    <x v="2"/>
    <s v="P018"/>
    <x v="4"/>
    <n v="3"/>
    <n v="323"/>
    <n v="15"/>
    <x v="16"/>
    <n v="150"/>
    <n v="969"/>
    <n v="450"/>
    <n v="519"/>
    <n v="0.53560371517027905"/>
    <n v="0"/>
    <n v="0"/>
    <n v="3"/>
    <n v="969"/>
  </r>
  <r>
    <s v="S0244"/>
    <d v="2024-03-02T00:00:00"/>
    <x v="8"/>
    <n v="3"/>
    <x v="2"/>
    <s v="P008"/>
    <x v="3"/>
    <n v="1"/>
    <n v="1000"/>
    <n v="0"/>
    <x v="10"/>
    <n v="500"/>
    <n v="1000"/>
    <n v="500"/>
    <n v="500"/>
    <n v="0.5"/>
    <n v="0"/>
    <n v="0"/>
    <n v="1"/>
    <n v="1000"/>
  </r>
  <r>
    <s v="S0299"/>
    <d v="2024-03-02T00:00:00"/>
    <x v="8"/>
    <n v="3"/>
    <x v="2"/>
    <s v="P015"/>
    <x v="2"/>
    <n v="1"/>
    <n v="630"/>
    <n v="0"/>
    <x v="24"/>
    <n v="350"/>
    <n v="630"/>
    <n v="350"/>
    <n v="280"/>
    <n v="0.44444444444444398"/>
    <n v="0"/>
    <n v="0"/>
    <n v="1"/>
    <n v="630"/>
  </r>
  <r>
    <s v="S0242"/>
    <d v="2024-03-03T00:00:00"/>
    <x v="8"/>
    <n v="3"/>
    <x v="2"/>
    <s v="P019"/>
    <x v="4"/>
    <n v="5"/>
    <n v="3825"/>
    <n v="15"/>
    <x v="14"/>
    <n v="1800"/>
    <n v="19125"/>
    <n v="9000"/>
    <n v="10125"/>
    <n v="0.52941176470588203"/>
    <n v="0"/>
    <n v="0"/>
    <n v="5"/>
    <n v="19125"/>
  </r>
  <r>
    <s v="S0251"/>
    <d v="2024-03-04T00:00:00"/>
    <x v="9"/>
    <n v="3"/>
    <x v="2"/>
    <s v="P015"/>
    <x v="2"/>
    <n v="2"/>
    <n v="630"/>
    <n v="0"/>
    <x v="24"/>
    <n v="350"/>
    <n v="1260"/>
    <n v="700"/>
    <n v="560"/>
    <n v="0.44444444444444398"/>
    <n v="0"/>
    <n v="0"/>
    <n v="2"/>
    <n v="1260"/>
  </r>
  <r>
    <s v="S0264"/>
    <d v="2024-03-04T00:00:00"/>
    <x v="9"/>
    <n v="3"/>
    <x v="2"/>
    <s v="P006"/>
    <x v="0"/>
    <n v="1"/>
    <n v="480"/>
    <n v="0"/>
    <x v="0"/>
    <n v="220"/>
    <n v="480"/>
    <n v="220"/>
    <n v="260"/>
    <n v="0.54166666666666696"/>
    <n v="0"/>
    <n v="0"/>
    <n v="1"/>
    <n v="480"/>
  </r>
  <r>
    <s v="S0280"/>
    <d v="2024-03-04T00:00:00"/>
    <x v="9"/>
    <n v="3"/>
    <x v="2"/>
    <s v="P029"/>
    <x v="5"/>
    <n v="5"/>
    <n v="380"/>
    <n v="5"/>
    <x v="27"/>
    <n v="200"/>
    <n v="1900"/>
    <n v="1000"/>
    <n v="900"/>
    <n v="0.47368421052631599"/>
    <n v="0"/>
    <n v="0"/>
    <n v="5"/>
    <n v="1900"/>
  </r>
  <r>
    <s v="S0296"/>
    <d v="2024-03-04T00:00:00"/>
    <x v="9"/>
    <n v="3"/>
    <x v="2"/>
    <s v="P019"/>
    <x v="4"/>
    <n v="5"/>
    <n v="4500"/>
    <n v="0"/>
    <x v="14"/>
    <n v="1800"/>
    <n v="22500"/>
    <n v="9000"/>
    <n v="13500"/>
    <n v="0.6"/>
    <n v="0"/>
    <n v="0"/>
    <n v="5"/>
    <n v="22500"/>
  </r>
  <r>
    <s v="S0258"/>
    <d v="2024-03-05T00:00:00"/>
    <x v="9"/>
    <n v="3"/>
    <x v="2"/>
    <s v="P001"/>
    <x v="0"/>
    <n v="5"/>
    <n v="770"/>
    <n v="0"/>
    <x v="23"/>
    <n v="350"/>
    <n v="3850"/>
    <n v="1750"/>
    <n v="2100"/>
    <n v="0.54545454545454497"/>
    <n v="1"/>
    <n v="1"/>
    <n v="4"/>
    <n v="3080"/>
  </r>
  <r>
    <s v="S0257"/>
    <d v="2024-03-05T00:00:00"/>
    <x v="9"/>
    <n v="3"/>
    <x v="2"/>
    <s v="P008"/>
    <x v="3"/>
    <n v="2"/>
    <n v="950"/>
    <n v="5"/>
    <x v="10"/>
    <n v="500"/>
    <n v="1900"/>
    <n v="1000"/>
    <n v="900"/>
    <n v="0.47368421052631599"/>
    <n v="0"/>
    <n v="0"/>
    <n v="2"/>
    <n v="1900"/>
  </r>
  <r>
    <s v="S0234"/>
    <d v="2024-03-05T00:00:00"/>
    <x v="9"/>
    <n v="3"/>
    <x v="2"/>
    <s v="P012"/>
    <x v="2"/>
    <n v="2"/>
    <n v="1620"/>
    <n v="0"/>
    <x v="3"/>
    <n v="900"/>
    <n v="3240"/>
    <n v="1800"/>
    <n v="1440"/>
    <n v="0.44444444444444398"/>
    <n v="0"/>
    <n v="0"/>
    <n v="2"/>
    <n v="3240"/>
  </r>
  <r>
    <s v="S0268"/>
    <d v="2024-03-05T00:00:00"/>
    <x v="9"/>
    <n v="3"/>
    <x v="2"/>
    <s v="P029"/>
    <x v="5"/>
    <n v="2"/>
    <n v="400"/>
    <n v="0"/>
    <x v="27"/>
    <n v="200"/>
    <n v="800"/>
    <n v="400"/>
    <n v="400"/>
    <n v="0.5"/>
    <n v="0"/>
    <n v="0"/>
    <n v="2"/>
    <n v="800"/>
  </r>
  <r>
    <s v="S0247"/>
    <d v="2024-03-06T00:00:00"/>
    <x v="9"/>
    <n v="3"/>
    <x v="2"/>
    <s v="P025"/>
    <x v="1"/>
    <n v="3"/>
    <n v="799"/>
    <n v="15"/>
    <x v="19"/>
    <n v="450"/>
    <n v="2397"/>
    <n v="1350"/>
    <n v="1047"/>
    <n v="0.436795994993742"/>
    <n v="0"/>
    <n v="0"/>
    <n v="3"/>
    <n v="2397"/>
  </r>
  <r>
    <s v="S0297"/>
    <d v="2024-03-06T00:00:00"/>
    <x v="9"/>
    <n v="3"/>
    <x v="2"/>
    <s v="P029"/>
    <x v="5"/>
    <n v="2"/>
    <n v="360"/>
    <n v="10"/>
    <x v="27"/>
    <n v="200"/>
    <n v="720"/>
    <n v="400"/>
    <n v="320"/>
    <n v="0.44444444444444398"/>
    <n v="0"/>
    <n v="0"/>
    <n v="2"/>
    <n v="720"/>
  </r>
  <r>
    <s v="S0262"/>
    <d v="2024-03-07T00:00:00"/>
    <x v="9"/>
    <n v="3"/>
    <x v="2"/>
    <s v="P009"/>
    <x v="3"/>
    <n v="3"/>
    <n v="510"/>
    <n v="15"/>
    <x v="7"/>
    <n v="300"/>
    <n v="1530"/>
    <n v="900"/>
    <n v="630"/>
    <n v="0.41176470588235298"/>
    <n v="0"/>
    <n v="0"/>
    <n v="3"/>
    <n v="1530"/>
  </r>
  <r>
    <s v="S0325"/>
    <d v="2024-03-07T00:00:00"/>
    <x v="9"/>
    <n v="3"/>
    <x v="2"/>
    <s v="P003"/>
    <x v="0"/>
    <n v="1"/>
    <n v="380"/>
    <n v="5"/>
    <x v="17"/>
    <n v="180"/>
    <n v="380"/>
    <n v="180"/>
    <n v="200"/>
    <n v="0.52631578947368396"/>
    <n v="1"/>
    <n v="1"/>
    <n v="0"/>
    <n v="0"/>
  </r>
  <r>
    <s v="S0236"/>
    <d v="2024-03-07T00:00:00"/>
    <x v="9"/>
    <n v="3"/>
    <x v="2"/>
    <s v="P025"/>
    <x v="1"/>
    <n v="4"/>
    <n v="799"/>
    <n v="15"/>
    <x v="19"/>
    <n v="450"/>
    <n v="3196"/>
    <n v="1800"/>
    <n v="1396"/>
    <n v="0.436795994993742"/>
    <n v="0"/>
    <n v="0"/>
    <n v="4"/>
    <n v="3196"/>
  </r>
  <r>
    <s v="S0306"/>
    <d v="2024-03-07T00:00:00"/>
    <x v="9"/>
    <n v="3"/>
    <x v="2"/>
    <s v="P027"/>
    <x v="5"/>
    <n v="4"/>
    <n v="960"/>
    <n v="0"/>
    <x v="28"/>
    <n v="480"/>
    <n v="3840"/>
    <n v="1920"/>
    <n v="1920"/>
    <n v="0.5"/>
    <n v="0"/>
    <n v="0"/>
    <n v="4"/>
    <n v="3840"/>
  </r>
  <r>
    <s v="S0313"/>
    <d v="2024-03-07T00:00:00"/>
    <x v="9"/>
    <n v="3"/>
    <x v="2"/>
    <s v="P003"/>
    <x v="0"/>
    <n v="2"/>
    <n v="400"/>
    <n v="0"/>
    <x v="17"/>
    <n v="180"/>
    <n v="800"/>
    <n v="360"/>
    <n v="440"/>
    <n v="0.55000000000000004"/>
    <n v="0"/>
    <n v="0"/>
    <n v="2"/>
    <n v="800"/>
  </r>
  <r>
    <s v="S0283"/>
    <d v="2024-03-08T00:00:00"/>
    <x v="9"/>
    <n v="3"/>
    <x v="2"/>
    <s v="P014"/>
    <x v="2"/>
    <n v="2"/>
    <n v="900"/>
    <n v="0"/>
    <x v="18"/>
    <n v="500"/>
    <n v="1800"/>
    <n v="1000"/>
    <n v="800"/>
    <n v="0.44444444444444398"/>
    <n v="0"/>
    <n v="0"/>
    <n v="2"/>
    <n v="1800"/>
  </r>
  <r>
    <s v="S0287"/>
    <d v="2024-03-08T00:00:00"/>
    <x v="9"/>
    <n v="3"/>
    <x v="2"/>
    <s v="P030"/>
    <x v="5"/>
    <n v="1"/>
    <n v="700"/>
    <n v="0"/>
    <x v="29"/>
    <n v="350"/>
    <n v="700"/>
    <n v="350"/>
    <n v="350"/>
    <n v="0.5"/>
    <n v="0"/>
    <n v="0"/>
    <n v="1"/>
    <n v="700"/>
  </r>
  <r>
    <s v="S0263"/>
    <d v="2024-03-08T00:00:00"/>
    <x v="9"/>
    <n v="3"/>
    <x v="2"/>
    <s v="P030"/>
    <x v="5"/>
    <n v="2"/>
    <n v="595"/>
    <n v="15"/>
    <x v="29"/>
    <n v="350"/>
    <n v="1190"/>
    <n v="700"/>
    <n v="490"/>
    <n v="0.41176470588235298"/>
    <n v="0"/>
    <n v="0"/>
    <n v="2"/>
    <n v="1190"/>
  </r>
  <r>
    <s v="S0290"/>
    <d v="2024-03-09T00:00:00"/>
    <x v="9"/>
    <n v="3"/>
    <x v="2"/>
    <s v="P027"/>
    <x v="5"/>
    <n v="5"/>
    <n v="960"/>
    <n v="0"/>
    <x v="28"/>
    <n v="480"/>
    <n v="4800"/>
    <n v="2400"/>
    <n v="2400"/>
    <n v="0.5"/>
    <n v="0"/>
    <n v="0"/>
    <n v="5"/>
    <n v="4800"/>
  </r>
  <r>
    <s v="S0241"/>
    <d v="2024-03-09T00:00:00"/>
    <x v="9"/>
    <n v="3"/>
    <x v="2"/>
    <s v="P003"/>
    <x v="0"/>
    <n v="3"/>
    <n v="400"/>
    <n v="0"/>
    <x v="17"/>
    <n v="180"/>
    <n v="1200"/>
    <n v="540"/>
    <n v="660"/>
    <n v="0.55000000000000004"/>
    <n v="0"/>
    <n v="0"/>
    <n v="3"/>
    <n v="1200"/>
  </r>
  <r>
    <s v="S0278"/>
    <d v="2024-03-09T00:00:00"/>
    <x v="9"/>
    <n v="3"/>
    <x v="2"/>
    <s v="P027"/>
    <x v="5"/>
    <n v="4"/>
    <n v="960"/>
    <n v="0"/>
    <x v="28"/>
    <n v="480"/>
    <n v="3840"/>
    <n v="1920"/>
    <n v="1920"/>
    <n v="0.5"/>
    <n v="0"/>
    <n v="0"/>
    <n v="4"/>
    <n v="3840"/>
  </r>
  <r>
    <s v="S0235"/>
    <d v="2024-03-10T00:00:00"/>
    <x v="9"/>
    <n v="3"/>
    <x v="2"/>
    <s v="P030"/>
    <x v="5"/>
    <n v="1"/>
    <n v="630"/>
    <n v="10"/>
    <x v="29"/>
    <n v="350"/>
    <n v="630"/>
    <n v="350"/>
    <n v="280"/>
    <n v="0.44444444444444398"/>
    <n v="0"/>
    <n v="0"/>
    <n v="1"/>
    <n v="630"/>
  </r>
  <r>
    <s v="S0259"/>
    <d v="2024-03-10T00:00:00"/>
    <x v="9"/>
    <n v="3"/>
    <x v="2"/>
    <s v="P002"/>
    <x v="0"/>
    <n v="5"/>
    <n v="880"/>
    <n v="0"/>
    <x v="2"/>
    <n v="400"/>
    <n v="4400"/>
    <n v="2000"/>
    <n v="2400"/>
    <n v="0.54545454545454497"/>
    <n v="0"/>
    <n v="0"/>
    <n v="5"/>
    <n v="4400"/>
  </r>
  <r>
    <s v="S0330"/>
    <d v="2024-03-10T00:00:00"/>
    <x v="9"/>
    <n v="3"/>
    <x v="2"/>
    <s v="P017"/>
    <x v="4"/>
    <n v="2"/>
    <n v="475"/>
    <n v="5"/>
    <x v="15"/>
    <n v="200"/>
    <n v="950"/>
    <n v="400"/>
    <n v="550"/>
    <n v="0.57894736842105299"/>
    <n v="2"/>
    <n v="2"/>
    <n v="0"/>
    <n v="0"/>
  </r>
  <r>
    <s v="S0237"/>
    <d v="2024-03-11T00:00:00"/>
    <x v="10"/>
    <n v="3"/>
    <x v="2"/>
    <s v="P028"/>
    <x v="5"/>
    <n v="5"/>
    <n v="600"/>
    <n v="0"/>
    <x v="26"/>
    <n v="300"/>
    <n v="3000"/>
    <n v="1500"/>
    <n v="1500"/>
    <n v="0.5"/>
    <n v="0"/>
    <n v="0"/>
    <n v="5"/>
    <n v="3000"/>
  </r>
  <r>
    <s v="S0295"/>
    <d v="2024-03-11T00:00:00"/>
    <x v="10"/>
    <n v="3"/>
    <x v="2"/>
    <s v="P030"/>
    <x v="5"/>
    <n v="5"/>
    <n v="700"/>
    <n v="0"/>
    <x v="29"/>
    <n v="350"/>
    <n v="3500"/>
    <n v="1750"/>
    <n v="1750"/>
    <n v="0.5"/>
    <n v="0"/>
    <n v="0"/>
    <n v="5"/>
    <n v="3500"/>
  </r>
  <r>
    <s v="S0245"/>
    <d v="2024-03-11T00:00:00"/>
    <x v="10"/>
    <n v="3"/>
    <x v="2"/>
    <s v="P019"/>
    <x v="4"/>
    <n v="4"/>
    <n v="4500"/>
    <n v="0"/>
    <x v="14"/>
    <n v="1800"/>
    <n v="18000"/>
    <n v="7200"/>
    <n v="10800"/>
    <n v="0.6"/>
    <n v="0"/>
    <n v="0"/>
    <n v="4"/>
    <n v="18000"/>
  </r>
  <r>
    <s v="S0322"/>
    <d v="2024-03-11T00:00:00"/>
    <x v="10"/>
    <n v="3"/>
    <x v="2"/>
    <s v="P020"/>
    <x v="4"/>
    <n v="2"/>
    <n v="1425"/>
    <n v="5"/>
    <x v="8"/>
    <n v="600"/>
    <n v="2850"/>
    <n v="1200"/>
    <n v="1650"/>
    <n v="0.57894736842105299"/>
    <n v="0"/>
    <n v="0"/>
    <n v="2"/>
    <n v="2850"/>
  </r>
  <r>
    <s v="S0301"/>
    <d v="2024-03-12T00:00:00"/>
    <x v="10"/>
    <n v="3"/>
    <x v="2"/>
    <s v="P007"/>
    <x v="3"/>
    <n v="1"/>
    <n v="1020"/>
    <n v="15"/>
    <x v="22"/>
    <n v="600"/>
    <n v="1020"/>
    <n v="600"/>
    <n v="420"/>
    <n v="0.41176470588235298"/>
    <n v="0"/>
    <n v="0"/>
    <n v="1"/>
    <n v="1020"/>
  </r>
  <r>
    <s v="S0292"/>
    <d v="2024-03-12T00:00:00"/>
    <x v="10"/>
    <n v="3"/>
    <x v="2"/>
    <s v="P014"/>
    <x v="2"/>
    <n v="1"/>
    <n v="765"/>
    <n v="15"/>
    <x v="18"/>
    <n v="500"/>
    <n v="765"/>
    <n v="500"/>
    <n v="265"/>
    <n v="0.34640522875816998"/>
    <n v="0"/>
    <n v="0"/>
    <n v="1"/>
    <n v="765"/>
  </r>
  <r>
    <s v="S0285"/>
    <d v="2024-03-12T00:00:00"/>
    <x v="10"/>
    <n v="3"/>
    <x v="2"/>
    <s v="P001"/>
    <x v="0"/>
    <n v="1"/>
    <n v="770"/>
    <n v="0"/>
    <x v="23"/>
    <n v="350"/>
    <n v="770"/>
    <n v="350"/>
    <n v="420"/>
    <n v="0.54545454545454497"/>
    <n v="0"/>
    <n v="0"/>
    <n v="1"/>
    <n v="770"/>
  </r>
  <r>
    <s v="S0289"/>
    <d v="2024-03-13T00:00:00"/>
    <x v="10"/>
    <n v="3"/>
    <x v="2"/>
    <s v="P013"/>
    <x v="2"/>
    <n v="3"/>
    <n v="1980"/>
    <n v="0"/>
    <x v="21"/>
    <n v="1100"/>
    <n v="5940"/>
    <n v="3300"/>
    <n v="2640"/>
    <n v="0.44444444444444398"/>
    <n v="0"/>
    <n v="0"/>
    <n v="3"/>
    <n v="5940"/>
  </r>
  <r>
    <s v="S0305"/>
    <d v="2024-03-13T00:00:00"/>
    <x v="10"/>
    <n v="3"/>
    <x v="2"/>
    <s v="P017"/>
    <x v="4"/>
    <n v="4"/>
    <n v="450"/>
    <n v="10"/>
    <x v="15"/>
    <n v="200"/>
    <n v="1800"/>
    <n v="800"/>
    <n v="1000"/>
    <n v="0.55555555555555602"/>
    <n v="0"/>
    <n v="0"/>
    <n v="4"/>
    <n v="1800"/>
  </r>
  <r>
    <s v="S0303"/>
    <d v="2024-03-14T00:00:00"/>
    <x v="10"/>
    <n v="3"/>
    <x v="2"/>
    <s v="P012"/>
    <x v="2"/>
    <n v="2"/>
    <n v="1458"/>
    <n v="10"/>
    <x v="3"/>
    <n v="900"/>
    <n v="2916"/>
    <n v="1800"/>
    <n v="1116"/>
    <n v="0.38271604938271597"/>
    <n v="0"/>
    <n v="0"/>
    <n v="2"/>
    <n v="2916"/>
  </r>
  <r>
    <s v="S0243"/>
    <d v="2024-03-14T00:00:00"/>
    <x v="10"/>
    <n v="3"/>
    <x v="2"/>
    <s v="P012"/>
    <x v="2"/>
    <n v="4"/>
    <n v="1620"/>
    <n v="0"/>
    <x v="3"/>
    <n v="900"/>
    <n v="6480"/>
    <n v="3600"/>
    <n v="2880"/>
    <n v="0.44444444444444398"/>
    <n v="0"/>
    <n v="0"/>
    <n v="4"/>
    <n v="6480"/>
  </r>
  <r>
    <s v="S0314"/>
    <d v="2024-03-14T00:00:00"/>
    <x v="10"/>
    <n v="3"/>
    <x v="2"/>
    <s v="P012"/>
    <x v="2"/>
    <n v="1"/>
    <n v="1620"/>
    <n v="0"/>
    <x v="3"/>
    <n v="900"/>
    <n v="1620"/>
    <n v="900"/>
    <n v="720"/>
    <n v="0.44444444444444398"/>
    <n v="0"/>
    <n v="0"/>
    <n v="1"/>
    <n v="1620"/>
  </r>
  <r>
    <s v="S0308"/>
    <d v="2024-03-14T00:00:00"/>
    <x v="10"/>
    <n v="3"/>
    <x v="2"/>
    <s v="P013"/>
    <x v="2"/>
    <n v="5"/>
    <n v="1980"/>
    <n v="0"/>
    <x v="21"/>
    <n v="1100"/>
    <n v="9900"/>
    <n v="5500"/>
    <n v="4400"/>
    <n v="0.44444444444444398"/>
    <n v="0"/>
    <n v="0"/>
    <n v="5"/>
    <n v="9900"/>
  </r>
  <r>
    <s v="S0248"/>
    <d v="2024-03-15T00:00:00"/>
    <x v="10"/>
    <n v="3"/>
    <x v="2"/>
    <s v="P008"/>
    <x v="3"/>
    <n v="3"/>
    <n v="900"/>
    <n v="10"/>
    <x v="10"/>
    <n v="500"/>
    <n v="2700"/>
    <n v="1500"/>
    <n v="1200"/>
    <n v="0.44444444444444398"/>
    <n v="0"/>
    <n v="0"/>
    <n v="3"/>
    <n v="2700"/>
  </r>
  <r>
    <s v="S0304"/>
    <d v="2024-03-17T00:00:00"/>
    <x v="10"/>
    <n v="3"/>
    <x v="2"/>
    <s v="P016"/>
    <x v="2"/>
    <n v="3"/>
    <n v="2340"/>
    <n v="0"/>
    <x v="13"/>
    <n v="1300"/>
    <n v="7020"/>
    <n v="3900"/>
    <n v="3120"/>
    <n v="0.44444444444444398"/>
    <n v="0"/>
    <n v="0"/>
    <n v="3"/>
    <n v="7020"/>
  </r>
  <r>
    <s v="S0309"/>
    <d v="2024-03-17T00:00:00"/>
    <x v="10"/>
    <n v="3"/>
    <x v="2"/>
    <s v="P020"/>
    <x v="4"/>
    <n v="2"/>
    <n v="1350"/>
    <n v="10"/>
    <x v="8"/>
    <n v="600"/>
    <n v="2700"/>
    <n v="1200"/>
    <n v="1500"/>
    <n v="0.55555555555555602"/>
    <n v="0"/>
    <n v="0"/>
    <n v="2"/>
    <n v="2700"/>
  </r>
  <r>
    <s v="S0320"/>
    <d v="2024-03-17T00:00:00"/>
    <x v="10"/>
    <n v="3"/>
    <x v="2"/>
    <s v="P025"/>
    <x v="1"/>
    <n v="4"/>
    <n v="940"/>
    <n v="0"/>
    <x v="19"/>
    <n v="450"/>
    <n v="3760"/>
    <n v="1800"/>
    <n v="1960"/>
    <n v="0.52127659574468099"/>
    <n v="0"/>
    <n v="0"/>
    <n v="4"/>
    <n v="3760"/>
  </r>
  <r>
    <s v="S0293"/>
    <d v="2024-03-17T00:00:00"/>
    <x v="10"/>
    <n v="3"/>
    <x v="2"/>
    <s v="P001"/>
    <x v="0"/>
    <n v="4"/>
    <n v="731.5"/>
    <n v="5"/>
    <x v="23"/>
    <n v="350"/>
    <n v="2926"/>
    <n v="1400"/>
    <n v="1526"/>
    <n v="0.52153110047846896"/>
    <n v="2"/>
    <n v="2"/>
    <n v="2"/>
    <n v="1463"/>
  </r>
  <r>
    <s v="S0240"/>
    <d v="2024-03-17T00:00:00"/>
    <x v="10"/>
    <n v="3"/>
    <x v="2"/>
    <s v="P005"/>
    <x v="0"/>
    <n v="5"/>
    <n v="4180"/>
    <n v="5"/>
    <x v="25"/>
    <n v="2000"/>
    <n v="20900"/>
    <n v="10000"/>
    <n v="10900"/>
    <n v="0.52153110047846896"/>
    <n v="0"/>
    <n v="0"/>
    <n v="5"/>
    <n v="20900"/>
  </r>
  <r>
    <s v="S0250"/>
    <d v="2024-03-18T00:00:00"/>
    <x v="11"/>
    <n v="3"/>
    <x v="2"/>
    <s v="P009"/>
    <x v="3"/>
    <n v="2"/>
    <n v="600"/>
    <n v="0"/>
    <x v="7"/>
    <n v="300"/>
    <n v="1200"/>
    <n v="600"/>
    <n v="600"/>
    <n v="0.5"/>
    <n v="0"/>
    <n v="0"/>
    <n v="2"/>
    <n v="1200"/>
  </r>
  <r>
    <s v="S0324"/>
    <d v="2024-03-18T00:00:00"/>
    <x v="11"/>
    <n v="3"/>
    <x v="2"/>
    <s v="P019"/>
    <x v="4"/>
    <n v="3"/>
    <n v="4500"/>
    <n v="0"/>
    <x v="14"/>
    <n v="1800"/>
    <n v="13500"/>
    <n v="5400"/>
    <n v="8100"/>
    <n v="0.6"/>
    <n v="0"/>
    <n v="0"/>
    <n v="3"/>
    <n v="13500"/>
  </r>
  <r>
    <s v="S0254"/>
    <d v="2024-03-18T00:00:00"/>
    <x v="11"/>
    <n v="3"/>
    <x v="2"/>
    <s v="P022"/>
    <x v="1"/>
    <n v="4"/>
    <n v="1470"/>
    <n v="0"/>
    <x v="11"/>
    <n v="700"/>
    <n v="5880"/>
    <n v="2800"/>
    <n v="3080"/>
    <n v="0.52380952380952395"/>
    <n v="0"/>
    <n v="0"/>
    <n v="4"/>
    <n v="5880"/>
  </r>
  <r>
    <s v="S0256"/>
    <d v="2024-03-19T00:00:00"/>
    <x v="11"/>
    <n v="3"/>
    <x v="2"/>
    <s v="P010"/>
    <x v="3"/>
    <n v="1"/>
    <n v="450"/>
    <n v="10"/>
    <x v="4"/>
    <n v="250"/>
    <n v="450"/>
    <n v="250"/>
    <n v="200"/>
    <n v="0.44444444444444398"/>
    <n v="0"/>
    <n v="0"/>
    <n v="1"/>
    <n v="450"/>
  </r>
  <r>
    <s v="S0329"/>
    <d v="2024-03-20T00:00:00"/>
    <x v="11"/>
    <n v="3"/>
    <x v="2"/>
    <s v="P028"/>
    <x v="5"/>
    <n v="3"/>
    <n v="540"/>
    <n v="10"/>
    <x v="26"/>
    <n v="300"/>
    <n v="1620"/>
    <n v="900"/>
    <n v="720"/>
    <n v="0.44444444444444398"/>
    <n v="0"/>
    <n v="0"/>
    <n v="3"/>
    <n v="1620"/>
  </r>
  <r>
    <s v="S0317"/>
    <d v="2024-03-20T00:00:00"/>
    <x v="11"/>
    <n v="3"/>
    <x v="2"/>
    <s v="P028"/>
    <x v="5"/>
    <n v="5"/>
    <n v="600"/>
    <n v="0"/>
    <x v="26"/>
    <n v="300"/>
    <n v="3000"/>
    <n v="1500"/>
    <n v="1500"/>
    <n v="0.5"/>
    <n v="0"/>
    <n v="0"/>
    <n v="5"/>
    <n v="3000"/>
  </r>
  <r>
    <s v="S0300"/>
    <d v="2024-03-20T00:00:00"/>
    <x v="11"/>
    <n v="3"/>
    <x v="2"/>
    <s v="P030"/>
    <x v="5"/>
    <n v="5"/>
    <n v="665"/>
    <n v="5"/>
    <x v="29"/>
    <n v="350"/>
    <n v="3325"/>
    <n v="1750"/>
    <n v="1575"/>
    <n v="0.47368421052631599"/>
    <n v="0"/>
    <n v="0"/>
    <n v="5"/>
    <n v="3325"/>
  </r>
  <r>
    <s v="S0267"/>
    <d v="2024-03-20T00:00:00"/>
    <x v="11"/>
    <n v="3"/>
    <x v="2"/>
    <s v="P028"/>
    <x v="5"/>
    <n v="1"/>
    <n v="510"/>
    <n v="15"/>
    <x v="26"/>
    <n v="300"/>
    <n v="510"/>
    <n v="300"/>
    <n v="210"/>
    <n v="0.41176470588235298"/>
    <n v="0"/>
    <n v="0"/>
    <n v="1"/>
    <n v="510"/>
  </r>
  <r>
    <s v="S0246"/>
    <d v="2024-03-21T00:00:00"/>
    <x v="11"/>
    <n v="3"/>
    <x v="2"/>
    <s v="P013"/>
    <x v="2"/>
    <n v="3"/>
    <n v="1980"/>
    <n v="0"/>
    <x v="21"/>
    <n v="1100"/>
    <n v="5940"/>
    <n v="3300"/>
    <n v="2640"/>
    <n v="0.44444444444444398"/>
    <n v="0"/>
    <n v="0"/>
    <n v="3"/>
    <n v="5940"/>
  </r>
  <r>
    <s v="S0321"/>
    <d v="2024-03-22T00:00:00"/>
    <x v="11"/>
    <n v="3"/>
    <x v="2"/>
    <s v="P015"/>
    <x v="2"/>
    <n v="2"/>
    <n v="598.5"/>
    <n v="5"/>
    <x v="24"/>
    <n v="350"/>
    <n v="1197"/>
    <n v="700"/>
    <n v="497"/>
    <n v="0.41520467836257302"/>
    <n v="0"/>
    <n v="0"/>
    <n v="2"/>
    <n v="1197"/>
  </r>
  <r>
    <s v="S0288"/>
    <d v="2024-03-22T00:00:00"/>
    <x v="11"/>
    <n v="3"/>
    <x v="2"/>
    <s v="P013"/>
    <x v="2"/>
    <n v="2"/>
    <n v="1980"/>
    <n v="0"/>
    <x v="21"/>
    <n v="1100"/>
    <n v="3960"/>
    <n v="2200"/>
    <n v="1760"/>
    <n v="0.44444444444444398"/>
    <n v="1"/>
    <n v="1"/>
    <n v="1"/>
    <n v="1980"/>
  </r>
  <r>
    <s v="S0318"/>
    <d v="2024-03-22T00:00:00"/>
    <x v="11"/>
    <n v="3"/>
    <x v="2"/>
    <s v="P026"/>
    <x v="1"/>
    <n v="2"/>
    <n v="520"/>
    <n v="0"/>
    <x v="1"/>
    <n v="250"/>
    <n v="1040"/>
    <n v="500"/>
    <n v="540"/>
    <n v="0.51923076923076905"/>
    <n v="0"/>
    <n v="0"/>
    <n v="2"/>
    <n v="1040"/>
  </r>
  <r>
    <s v="S0238"/>
    <d v="2024-03-22T00:00:00"/>
    <x v="11"/>
    <n v="3"/>
    <x v="2"/>
    <s v="P008"/>
    <x v="3"/>
    <n v="1"/>
    <n v="850"/>
    <n v="15"/>
    <x v="10"/>
    <n v="500"/>
    <n v="850"/>
    <n v="500"/>
    <n v="350"/>
    <n v="0.41176470588235298"/>
    <n v="0"/>
    <n v="0"/>
    <n v="1"/>
    <n v="850"/>
  </r>
  <r>
    <s v="S0294"/>
    <d v="2024-03-22T00:00:00"/>
    <x v="11"/>
    <n v="3"/>
    <x v="2"/>
    <s v="P027"/>
    <x v="5"/>
    <n v="5"/>
    <n v="864"/>
    <n v="10"/>
    <x v="28"/>
    <n v="480"/>
    <n v="4320"/>
    <n v="2400"/>
    <n v="1920"/>
    <n v="0.44444444444444398"/>
    <n v="0"/>
    <n v="0"/>
    <n v="5"/>
    <n v="4320"/>
  </r>
  <r>
    <s v="S0310"/>
    <d v="2024-03-22T00:00:00"/>
    <x v="11"/>
    <n v="3"/>
    <x v="2"/>
    <s v="P026"/>
    <x v="1"/>
    <n v="4"/>
    <n v="442"/>
    <n v="15"/>
    <x v="1"/>
    <n v="250"/>
    <n v="1768"/>
    <n v="1000"/>
    <n v="768"/>
    <n v="0.434389140271493"/>
    <n v="0"/>
    <n v="0"/>
    <n v="4"/>
    <n v="1768"/>
  </r>
  <r>
    <s v="S0327"/>
    <d v="2024-03-22T00:00:00"/>
    <x v="11"/>
    <n v="3"/>
    <x v="2"/>
    <s v="P005"/>
    <x v="0"/>
    <n v="4"/>
    <n v="3740"/>
    <n v="15"/>
    <x v="25"/>
    <n v="2000"/>
    <n v="14960"/>
    <n v="8000"/>
    <n v="6960"/>
    <n v="0.46524064171122997"/>
    <n v="0"/>
    <n v="0"/>
    <n v="4"/>
    <n v="14960"/>
  </r>
  <r>
    <s v="S0326"/>
    <d v="2024-03-22T00:00:00"/>
    <x v="11"/>
    <n v="3"/>
    <x v="2"/>
    <s v="P015"/>
    <x v="2"/>
    <n v="3"/>
    <n v="598.5"/>
    <n v="5"/>
    <x v="24"/>
    <n v="350"/>
    <n v="1795.5"/>
    <n v="1050"/>
    <n v="745.5"/>
    <n v="0.41520467836257302"/>
    <n v="0"/>
    <n v="0"/>
    <n v="3"/>
    <n v="1795.5"/>
  </r>
  <r>
    <s v="S0323"/>
    <d v="2024-03-23T00:00:00"/>
    <x v="11"/>
    <n v="3"/>
    <x v="2"/>
    <s v="P011"/>
    <x v="3"/>
    <n v="3"/>
    <n v="1400"/>
    <n v="0"/>
    <x v="9"/>
    <n v="700"/>
    <n v="4200"/>
    <n v="2100"/>
    <n v="2100"/>
    <n v="0.5"/>
    <n v="0"/>
    <n v="0"/>
    <n v="3"/>
    <n v="4200"/>
  </r>
  <r>
    <s v="S0249"/>
    <d v="2024-03-23T00:00:00"/>
    <x v="11"/>
    <n v="3"/>
    <x v="2"/>
    <s v="P004"/>
    <x v="0"/>
    <n v="3"/>
    <n v="2508"/>
    <n v="5"/>
    <x v="5"/>
    <n v="1200"/>
    <n v="7524"/>
    <n v="3600"/>
    <n v="3924"/>
    <n v="0.52153110047846896"/>
    <n v="0"/>
    <n v="0"/>
    <n v="3"/>
    <n v="7524"/>
  </r>
  <r>
    <s v="S0273"/>
    <d v="2024-03-24T00:00:00"/>
    <x v="11"/>
    <n v="3"/>
    <x v="2"/>
    <s v="P008"/>
    <x v="3"/>
    <n v="4"/>
    <n v="1000"/>
    <n v="0"/>
    <x v="10"/>
    <n v="500"/>
    <n v="4000"/>
    <n v="2000"/>
    <n v="2000"/>
    <n v="0.5"/>
    <n v="0"/>
    <n v="0"/>
    <n v="4"/>
    <n v="4000"/>
  </r>
  <r>
    <s v="S0233"/>
    <d v="2024-03-24T00:00:00"/>
    <x v="11"/>
    <n v="3"/>
    <x v="2"/>
    <s v="P015"/>
    <x v="2"/>
    <n v="5"/>
    <n v="567"/>
    <n v="10"/>
    <x v="24"/>
    <n v="350"/>
    <n v="2835"/>
    <n v="1750"/>
    <n v="1085"/>
    <n v="0.38271604938271597"/>
    <n v="0"/>
    <n v="0"/>
    <n v="5"/>
    <n v="2835"/>
  </r>
  <r>
    <s v="S0319"/>
    <d v="2024-03-24T00:00:00"/>
    <x v="11"/>
    <n v="3"/>
    <x v="2"/>
    <s v="P029"/>
    <x v="5"/>
    <n v="2"/>
    <n v="400"/>
    <n v="0"/>
    <x v="27"/>
    <n v="200"/>
    <n v="800"/>
    <n v="400"/>
    <n v="400"/>
    <n v="0.5"/>
    <n v="0"/>
    <n v="0"/>
    <n v="2"/>
    <n v="800"/>
  </r>
  <r>
    <s v="S0312"/>
    <d v="2024-03-24T00:00:00"/>
    <x v="11"/>
    <n v="3"/>
    <x v="2"/>
    <s v="P019"/>
    <x v="4"/>
    <n v="3"/>
    <n v="3825"/>
    <n v="15"/>
    <x v="14"/>
    <n v="1800"/>
    <n v="11475"/>
    <n v="5400"/>
    <n v="6075"/>
    <n v="0.52941176470588203"/>
    <n v="0"/>
    <n v="0"/>
    <n v="3"/>
    <n v="11475"/>
  </r>
  <r>
    <s v="S0265"/>
    <d v="2024-03-25T00:00:00"/>
    <x v="12"/>
    <n v="3"/>
    <x v="2"/>
    <s v="P023"/>
    <x v="1"/>
    <n v="1"/>
    <n v="2835"/>
    <n v="10"/>
    <x v="12"/>
    <n v="1500"/>
    <n v="2835"/>
    <n v="1500"/>
    <n v="1335"/>
    <n v="0.47089947089947098"/>
    <n v="0"/>
    <n v="0"/>
    <n v="1"/>
    <n v="2835"/>
  </r>
  <r>
    <s v="S0277"/>
    <d v="2024-03-26T00:00:00"/>
    <x v="12"/>
    <n v="3"/>
    <x v="2"/>
    <s v="P009"/>
    <x v="3"/>
    <n v="5"/>
    <n v="600"/>
    <n v="0"/>
    <x v="7"/>
    <n v="300"/>
    <n v="3000"/>
    <n v="1500"/>
    <n v="1500"/>
    <n v="0.5"/>
    <n v="0"/>
    <n v="0"/>
    <n v="5"/>
    <n v="3000"/>
  </r>
  <r>
    <s v="S0302"/>
    <d v="2024-03-26T00:00:00"/>
    <x v="12"/>
    <n v="3"/>
    <x v="2"/>
    <s v="P022"/>
    <x v="1"/>
    <n v="2"/>
    <n v="1470"/>
    <n v="0"/>
    <x v="11"/>
    <n v="700"/>
    <n v="2940"/>
    <n v="1400"/>
    <n v="1540"/>
    <n v="0.52380952380952395"/>
    <n v="0"/>
    <n v="0"/>
    <n v="2"/>
    <n v="2940"/>
  </r>
  <r>
    <s v="S0275"/>
    <d v="2024-03-26T00:00:00"/>
    <x v="12"/>
    <n v="3"/>
    <x v="2"/>
    <s v="P009"/>
    <x v="3"/>
    <n v="3"/>
    <n v="510"/>
    <n v="15"/>
    <x v="7"/>
    <n v="300"/>
    <n v="1530"/>
    <n v="900"/>
    <n v="630"/>
    <n v="0.41176470588235298"/>
    <n v="0"/>
    <n v="0"/>
    <n v="3"/>
    <n v="1530"/>
  </r>
  <r>
    <s v="S0270"/>
    <d v="2024-03-26T00:00:00"/>
    <x v="12"/>
    <n v="3"/>
    <x v="2"/>
    <s v="P004"/>
    <x v="0"/>
    <n v="5"/>
    <n v="2640"/>
    <n v="0"/>
    <x v="5"/>
    <n v="1200"/>
    <n v="13200"/>
    <n v="6000"/>
    <n v="7200"/>
    <n v="0.54545454545454497"/>
    <n v="2"/>
    <n v="2"/>
    <n v="3"/>
    <n v="7920"/>
  </r>
  <r>
    <s v="S0274"/>
    <d v="2024-03-26T00:00:00"/>
    <x v="12"/>
    <n v="3"/>
    <x v="2"/>
    <s v="P003"/>
    <x v="0"/>
    <n v="1"/>
    <n v="380"/>
    <n v="5"/>
    <x v="17"/>
    <n v="180"/>
    <n v="380"/>
    <n v="180"/>
    <n v="200"/>
    <n v="0.52631578947368396"/>
    <n v="0"/>
    <n v="0"/>
    <n v="1"/>
    <n v="380"/>
  </r>
  <r>
    <s v="S0279"/>
    <d v="2024-03-26T00:00:00"/>
    <x v="12"/>
    <n v="3"/>
    <x v="2"/>
    <s v="P009"/>
    <x v="3"/>
    <n v="5"/>
    <n v="510"/>
    <n v="15"/>
    <x v="7"/>
    <n v="300"/>
    <n v="2550"/>
    <n v="1500"/>
    <n v="1050"/>
    <n v="0.41176470588235298"/>
    <n v="0"/>
    <n v="0"/>
    <n v="5"/>
    <n v="2550"/>
  </r>
  <r>
    <s v="S0255"/>
    <d v="2024-03-27T00:00:00"/>
    <x v="12"/>
    <n v="3"/>
    <x v="2"/>
    <s v="P030"/>
    <x v="5"/>
    <n v="4"/>
    <n v="700"/>
    <n v="0"/>
    <x v="29"/>
    <n v="350"/>
    <n v="2800"/>
    <n v="1400"/>
    <n v="1400"/>
    <n v="0.5"/>
    <n v="3"/>
    <n v="3"/>
    <n v="1"/>
    <n v="700"/>
  </r>
  <r>
    <s v="S0284"/>
    <d v="2024-03-27T00:00:00"/>
    <x v="12"/>
    <n v="3"/>
    <x v="2"/>
    <s v="P018"/>
    <x v="4"/>
    <n v="5"/>
    <n v="361"/>
    <n v="5"/>
    <x v="16"/>
    <n v="150"/>
    <n v="1805"/>
    <n v="750"/>
    <n v="1055"/>
    <n v="0.58448753462603897"/>
    <n v="1"/>
    <n v="1"/>
    <n v="4"/>
    <n v="1444"/>
  </r>
  <r>
    <s v="S0286"/>
    <d v="2024-03-27T00:00:00"/>
    <x v="12"/>
    <n v="3"/>
    <x v="2"/>
    <s v="P025"/>
    <x v="1"/>
    <n v="2"/>
    <n v="940"/>
    <n v="0"/>
    <x v="19"/>
    <n v="450"/>
    <n v="1880"/>
    <n v="900"/>
    <n v="980"/>
    <n v="0.52127659574468099"/>
    <n v="0"/>
    <n v="0"/>
    <n v="2"/>
    <n v="1880"/>
  </r>
  <r>
    <s v="S0281"/>
    <d v="2024-03-28T00:00:00"/>
    <x v="12"/>
    <n v="3"/>
    <x v="2"/>
    <s v="P029"/>
    <x v="5"/>
    <n v="3"/>
    <n v="400"/>
    <n v="0"/>
    <x v="27"/>
    <n v="200"/>
    <n v="1200"/>
    <n v="600"/>
    <n v="600"/>
    <n v="0.5"/>
    <n v="0"/>
    <n v="0"/>
    <n v="3"/>
    <n v="1200"/>
  </r>
  <r>
    <s v="S0276"/>
    <d v="2024-03-28T00:00:00"/>
    <x v="12"/>
    <n v="3"/>
    <x v="2"/>
    <s v="P023"/>
    <x v="1"/>
    <n v="1"/>
    <n v="2677.5"/>
    <n v="15"/>
    <x v="12"/>
    <n v="1500"/>
    <n v="2677.5"/>
    <n v="1500"/>
    <n v="1177.5"/>
    <n v="0.43977591036414598"/>
    <n v="0"/>
    <n v="0"/>
    <n v="1"/>
    <n v="2677.5"/>
  </r>
  <r>
    <s v="S0269"/>
    <d v="2024-03-28T00:00:00"/>
    <x v="12"/>
    <n v="3"/>
    <x v="2"/>
    <s v="P029"/>
    <x v="5"/>
    <n v="4"/>
    <n v="400"/>
    <n v="0"/>
    <x v="27"/>
    <n v="200"/>
    <n v="1600"/>
    <n v="800"/>
    <n v="800"/>
    <n v="0.5"/>
    <n v="0"/>
    <n v="0"/>
    <n v="4"/>
    <n v="1600"/>
  </r>
  <r>
    <s v="S0282"/>
    <d v="2024-03-28T00:00:00"/>
    <x v="12"/>
    <n v="3"/>
    <x v="2"/>
    <s v="P024"/>
    <x v="1"/>
    <n v="1"/>
    <n v="1596"/>
    <n v="5"/>
    <x v="20"/>
    <n v="800"/>
    <n v="1596"/>
    <n v="800"/>
    <n v="796"/>
    <n v="0.49874686716791999"/>
    <n v="0"/>
    <n v="0"/>
    <n v="1"/>
    <n v="1596"/>
  </r>
  <r>
    <s v="S0239"/>
    <d v="2024-03-28T00:00:00"/>
    <x v="12"/>
    <n v="3"/>
    <x v="2"/>
    <s v="P027"/>
    <x v="5"/>
    <n v="2"/>
    <n v="960"/>
    <n v="0"/>
    <x v="28"/>
    <n v="480"/>
    <n v="1920"/>
    <n v="960"/>
    <n v="960"/>
    <n v="0.5"/>
    <n v="2"/>
    <n v="2"/>
    <n v="0"/>
    <n v="0"/>
  </r>
  <r>
    <s v="S0328"/>
    <d v="2024-03-29T00:00:00"/>
    <x v="12"/>
    <n v="3"/>
    <x v="2"/>
    <s v="P006"/>
    <x v="0"/>
    <n v="1"/>
    <n v="480"/>
    <n v="0"/>
    <x v="0"/>
    <n v="220"/>
    <n v="480"/>
    <n v="220"/>
    <n v="260"/>
    <n v="0.54166666666666696"/>
    <n v="0"/>
    <n v="0"/>
    <n v="1"/>
    <n v="480"/>
  </r>
  <r>
    <s v="S0232"/>
    <d v="2024-03-29T00:00:00"/>
    <x v="12"/>
    <n v="3"/>
    <x v="2"/>
    <s v="P016"/>
    <x v="2"/>
    <n v="2"/>
    <n v="2340"/>
    <n v="0"/>
    <x v="13"/>
    <n v="1300"/>
    <n v="4680"/>
    <n v="2600"/>
    <n v="2080"/>
    <n v="0.44444444444444398"/>
    <n v="0"/>
    <n v="0"/>
    <n v="2"/>
    <n v="4680"/>
  </r>
  <r>
    <s v="S0271"/>
    <d v="2024-03-29T00:00:00"/>
    <x v="12"/>
    <n v="3"/>
    <x v="2"/>
    <s v="P009"/>
    <x v="3"/>
    <n v="4"/>
    <n v="570"/>
    <n v="5"/>
    <x v="7"/>
    <n v="300"/>
    <n v="2280"/>
    <n v="1200"/>
    <n v="1080"/>
    <n v="0.47368421052631599"/>
    <n v="0"/>
    <n v="0"/>
    <n v="4"/>
    <n v="2280"/>
  </r>
  <r>
    <s v="S0266"/>
    <d v="2024-03-29T00:00:00"/>
    <x v="12"/>
    <n v="3"/>
    <x v="2"/>
    <s v="P021"/>
    <x v="4"/>
    <n v="3"/>
    <n v="950"/>
    <n v="5"/>
    <x v="6"/>
    <n v="400"/>
    <n v="2850"/>
    <n v="1200"/>
    <n v="1650"/>
    <n v="0.57894736842105299"/>
    <n v="0"/>
    <n v="0"/>
    <n v="3"/>
    <n v="2850"/>
  </r>
  <r>
    <s v="S0253"/>
    <d v="2024-03-29T00:00:00"/>
    <x v="12"/>
    <n v="3"/>
    <x v="2"/>
    <s v="P027"/>
    <x v="5"/>
    <n v="1"/>
    <n v="960"/>
    <n v="0"/>
    <x v="28"/>
    <n v="480"/>
    <n v="960"/>
    <n v="480"/>
    <n v="480"/>
    <n v="0.5"/>
    <n v="0"/>
    <n v="0"/>
    <n v="1"/>
    <n v="960"/>
  </r>
  <r>
    <s v="S0260"/>
    <d v="2024-03-29T00:00:00"/>
    <x v="12"/>
    <n v="3"/>
    <x v="2"/>
    <s v="P002"/>
    <x v="0"/>
    <n v="5"/>
    <n v="880"/>
    <n v="0"/>
    <x v="2"/>
    <n v="400"/>
    <n v="4400"/>
    <n v="2000"/>
    <n v="2400"/>
    <n v="0.54545454545454497"/>
    <n v="0"/>
    <n v="0"/>
    <n v="5"/>
    <n v="4400"/>
  </r>
  <r>
    <s v="S0261"/>
    <d v="2024-03-29T00:00:00"/>
    <x v="12"/>
    <n v="3"/>
    <x v="2"/>
    <s v="P030"/>
    <x v="5"/>
    <n v="5"/>
    <n v="700"/>
    <n v="0"/>
    <x v="29"/>
    <n v="350"/>
    <n v="3500"/>
    <n v="1750"/>
    <n v="1750"/>
    <n v="0.5"/>
    <n v="0"/>
    <n v="0"/>
    <n v="5"/>
    <n v="3500"/>
  </r>
  <r>
    <s v="S0316"/>
    <d v="2024-03-30T00:00:00"/>
    <x v="12"/>
    <n v="3"/>
    <x v="2"/>
    <s v="P010"/>
    <x v="3"/>
    <n v="2"/>
    <n v="500"/>
    <n v="0"/>
    <x v="4"/>
    <n v="250"/>
    <n v="1000"/>
    <n v="500"/>
    <n v="500"/>
    <n v="0.5"/>
    <n v="0"/>
    <n v="0"/>
    <n v="2"/>
    <n v="1000"/>
  </r>
  <r>
    <s v="S0315"/>
    <d v="2024-03-31T00:00:00"/>
    <x v="12"/>
    <n v="3"/>
    <x v="2"/>
    <s v="P026"/>
    <x v="1"/>
    <n v="4"/>
    <n v="442"/>
    <n v="15"/>
    <x v="1"/>
    <n v="250"/>
    <n v="1768"/>
    <n v="1000"/>
    <n v="768"/>
    <n v="0.434389140271493"/>
    <n v="0"/>
    <n v="0"/>
    <n v="4"/>
    <n v="1768"/>
  </r>
  <r>
    <s v="S0291"/>
    <d v="2024-03-31T00:00:00"/>
    <x v="12"/>
    <n v="3"/>
    <x v="2"/>
    <s v="P003"/>
    <x v="0"/>
    <n v="1"/>
    <n v="400"/>
    <n v="0"/>
    <x v="17"/>
    <n v="180"/>
    <n v="400"/>
    <n v="180"/>
    <n v="220"/>
    <n v="0.55000000000000004"/>
    <n v="0"/>
    <n v="0"/>
    <n v="1"/>
    <n v="400"/>
  </r>
  <r>
    <s v="S0311"/>
    <d v="2024-03-31T00:00:00"/>
    <x v="12"/>
    <n v="3"/>
    <x v="2"/>
    <s v="P030"/>
    <x v="5"/>
    <n v="2"/>
    <n v="595"/>
    <n v="15"/>
    <x v="29"/>
    <n v="350"/>
    <n v="1190"/>
    <n v="700"/>
    <n v="490"/>
    <n v="0.41176470588235298"/>
    <n v="0"/>
    <n v="0"/>
    <n v="2"/>
    <n v="1190"/>
  </r>
  <r>
    <s v="S0298"/>
    <d v="2024-03-31T00:00:00"/>
    <x v="12"/>
    <n v="3"/>
    <x v="2"/>
    <s v="P013"/>
    <x v="2"/>
    <n v="5"/>
    <n v="1980"/>
    <n v="0"/>
    <x v="21"/>
    <n v="1100"/>
    <n v="9900"/>
    <n v="5500"/>
    <n v="4400"/>
    <n v="0.44444444444444398"/>
    <n v="0"/>
    <n v="0"/>
    <n v="5"/>
    <n v="9900"/>
  </r>
  <r>
    <s v="S0252"/>
    <d v="2024-03-31T00:00:00"/>
    <x v="12"/>
    <n v="3"/>
    <x v="2"/>
    <s v="P024"/>
    <x v="1"/>
    <n v="5"/>
    <n v="1428"/>
    <n v="15"/>
    <x v="20"/>
    <n v="800"/>
    <n v="7140"/>
    <n v="4000"/>
    <n v="3140"/>
    <n v="0.43977591036414598"/>
    <n v="0"/>
    <n v="0"/>
    <n v="5"/>
    <n v="7140"/>
  </r>
  <r>
    <s v="S0420"/>
    <d v="2024-04-01T00:00:00"/>
    <x v="13"/>
    <n v="4"/>
    <x v="3"/>
    <s v="P027"/>
    <x v="5"/>
    <n v="1"/>
    <n v="912"/>
    <n v="5"/>
    <x v="28"/>
    <n v="480"/>
    <n v="912"/>
    <n v="480"/>
    <n v="432"/>
    <n v="0.47368421052631599"/>
    <n v="0"/>
    <n v="0"/>
    <n v="1"/>
    <n v="912"/>
  </r>
  <r>
    <s v="S0403"/>
    <d v="2024-04-01T00:00:00"/>
    <x v="13"/>
    <n v="4"/>
    <x v="3"/>
    <s v="P005"/>
    <x v="0"/>
    <n v="5"/>
    <n v="4400"/>
    <n v="0"/>
    <x v="25"/>
    <n v="2000"/>
    <n v="22000"/>
    <n v="10000"/>
    <n v="12000"/>
    <n v="0.54545454545454497"/>
    <n v="0"/>
    <n v="0"/>
    <n v="5"/>
    <n v="22000"/>
  </r>
  <r>
    <s v="S0438"/>
    <d v="2024-04-02T00:00:00"/>
    <x v="13"/>
    <n v="4"/>
    <x v="3"/>
    <s v="P020"/>
    <x v="4"/>
    <n v="4"/>
    <n v="1500"/>
    <n v="0"/>
    <x v="8"/>
    <n v="600"/>
    <n v="6000"/>
    <n v="2400"/>
    <n v="3600"/>
    <n v="0.6"/>
    <n v="0"/>
    <n v="0"/>
    <n v="4"/>
    <n v="6000"/>
  </r>
  <r>
    <s v="S0397"/>
    <d v="2024-04-02T00:00:00"/>
    <x v="13"/>
    <n v="4"/>
    <x v="3"/>
    <s v="P030"/>
    <x v="5"/>
    <n v="5"/>
    <n v="700"/>
    <n v="0"/>
    <x v="29"/>
    <n v="350"/>
    <n v="3500"/>
    <n v="1750"/>
    <n v="1750"/>
    <n v="0.5"/>
    <n v="0"/>
    <n v="0"/>
    <n v="5"/>
    <n v="3500"/>
  </r>
  <r>
    <s v="S0366"/>
    <d v="2024-04-02T00:00:00"/>
    <x v="13"/>
    <n v="4"/>
    <x v="3"/>
    <s v="P022"/>
    <x v="1"/>
    <n v="2"/>
    <n v="1323"/>
    <n v="10"/>
    <x v="11"/>
    <n v="700"/>
    <n v="2646"/>
    <n v="1400"/>
    <n v="1246"/>
    <n v="0.47089947089947098"/>
    <n v="0"/>
    <n v="0"/>
    <n v="2"/>
    <n v="2646"/>
  </r>
  <r>
    <s v="S0350"/>
    <d v="2024-04-02T00:00:00"/>
    <x v="13"/>
    <n v="4"/>
    <x v="3"/>
    <s v="P029"/>
    <x v="5"/>
    <n v="3"/>
    <n v="400"/>
    <n v="0"/>
    <x v="27"/>
    <n v="200"/>
    <n v="1200"/>
    <n v="600"/>
    <n v="600"/>
    <n v="0.5"/>
    <n v="0"/>
    <n v="0"/>
    <n v="3"/>
    <n v="1200"/>
  </r>
  <r>
    <s v="S0435"/>
    <d v="2024-04-02T00:00:00"/>
    <x v="13"/>
    <n v="4"/>
    <x v="3"/>
    <s v="P030"/>
    <x v="5"/>
    <n v="4"/>
    <n v="700"/>
    <n v="0"/>
    <x v="29"/>
    <n v="350"/>
    <n v="2800"/>
    <n v="1400"/>
    <n v="1400"/>
    <n v="0.5"/>
    <n v="0"/>
    <n v="0"/>
    <n v="4"/>
    <n v="2800"/>
  </r>
  <r>
    <s v="S0423"/>
    <d v="2024-04-03T00:00:00"/>
    <x v="13"/>
    <n v="4"/>
    <x v="3"/>
    <s v="P026"/>
    <x v="1"/>
    <n v="5"/>
    <n v="442"/>
    <n v="15"/>
    <x v="1"/>
    <n v="250"/>
    <n v="2210"/>
    <n v="1250"/>
    <n v="960"/>
    <n v="0.434389140271493"/>
    <n v="0"/>
    <n v="0"/>
    <n v="5"/>
    <n v="2210"/>
  </r>
  <r>
    <s v="S0389"/>
    <d v="2024-04-03T00:00:00"/>
    <x v="13"/>
    <n v="4"/>
    <x v="3"/>
    <s v="P015"/>
    <x v="2"/>
    <n v="5"/>
    <n v="630"/>
    <n v="0"/>
    <x v="24"/>
    <n v="350"/>
    <n v="3150"/>
    <n v="1750"/>
    <n v="1400"/>
    <n v="0.44444444444444398"/>
    <n v="0"/>
    <n v="0"/>
    <n v="5"/>
    <n v="3150"/>
  </r>
  <r>
    <s v="S0342"/>
    <d v="2024-04-03T00:00:00"/>
    <x v="13"/>
    <n v="4"/>
    <x v="3"/>
    <s v="P029"/>
    <x v="5"/>
    <n v="5"/>
    <n v="400"/>
    <n v="0"/>
    <x v="27"/>
    <n v="200"/>
    <n v="2000"/>
    <n v="1000"/>
    <n v="1000"/>
    <n v="0.5"/>
    <n v="4"/>
    <n v="4"/>
    <n v="1"/>
    <n v="400"/>
  </r>
  <r>
    <s v="S0437"/>
    <d v="2024-04-03T00:00:00"/>
    <x v="13"/>
    <n v="4"/>
    <x v="3"/>
    <s v="P021"/>
    <x v="4"/>
    <n v="4"/>
    <n v="850"/>
    <n v="15"/>
    <x v="6"/>
    <n v="400"/>
    <n v="3400"/>
    <n v="1600"/>
    <n v="1800"/>
    <n v="0.52941176470588203"/>
    <n v="0"/>
    <n v="0"/>
    <n v="4"/>
    <n v="3400"/>
  </r>
  <r>
    <s v="S0444"/>
    <d v="2024-04-04T00:00:00"/>
    <x v="13"/>
    <n v="4"/>
    <x v="3"/>
    <s v="P025"/>
    <x v="1"/>
    <n v="1"/>
    <n v="846"/>
    <n v="10"/>
    <x v="19"/>
    <n v="450"/>
    <n v="846"/>
    <n v="450"/>
    <n v="396"/>
    <n v="0.46808510638297901"/>
    <n v="0"/>
    <n v="0"/>
    <n v="1"/>
    <n v="846"/>
  </r>
  <r>
    <s v="S0392"/>
    <d v="2024-04-05T00:00:00"/>
    <x v="13"/>
    <n v="4"/>
    <x v="3"/>
    <s v="P003"/>
    <x v="0"/>
    <n v="5"/>
    <n v="340"/>
    <n v="15"/>
    <x v="17"/>
    <n v="180"/>
    <n v="1700"/>
    <n v="900"/>
    <n v="800"/>
    <n v="0.47058823529411797"/>
    <n v="0"/>
    <n v="0"/>
    <n v="5"/>
    <n v="1700"/>
  </r>
  <r>
    <s v="S0390"/>
    <d v="2024-04-05T00:00:00"/>
    <x v="13"/>
    <n v="4"/>
    <x v="3"/>
    <s v="P002"/>
    <x v="0"/>
    <n v="4"/>
    <n v="880"/>
    <n v="0"/>
    <x v="2"/>
    <n v="400"/>
    <n v="3520"/>
    <n v="1600"/>
    <n v="1920"/>
    <n v="0.54545454545454497"/>
    <n v="0"/>
    <n v="0"/>
    <n v="4"/>
    <n v="3520"/>
  </r>
  <r>
    <s v="S0359"/>
    <d v="2024-04-05T00:00:00"/>
    <x v="13"/>
    <n v="4"/>
    <x v="3"/>
    <s v="P016"/>
    <x v="2"/>
    <n v="2"/>
    <n v="1989"/>
    <n v="15"/>
    <x v="13"/>
    <n v="1300"/>
    <n v="3978"/>
    <n v="2600"/>
    <n v="1378"/>
    <n v="0.34640522875816998"/>
    <n v="0"/>
    <n v="0"/>
    <n v="2"/>
    <n v="3978"/>
  </r>
  <r>
    <s v="S0349"/>
    <d v="2024-04-05T00:00:00"/>
    <x v="13"/>
    <n v="4"/>
    <x v="3"/>
    <s v="P008"/>
    <x v="3"/>
    <n v="3"/>
    <n v="1000"/>
    <n v="0"/>
    <x v="10"/>
    <n v="500"/>
    <n v="3000"/>
    <n v="1500"/>
    <n v="1500"/>
    <n v="0.5"/>
    <n v="0"/>
    <n v="0"/>
    <n v="3"/>
    <n v="3000"/>
  </r>
  <r>
    <s v="S0426"/>
    <d v="2024-04-06T00:00:00"/>
    <x v="13"/>
    <n v="4"/>
    <x v="3"/>
    <s v="P013"/>
    <x v="2"/>
    <n v="5"/>
    <n v="1980"/>
    <n v="0"/>
    <x v="21"/>
    <n v="1100"/>
    <n v="9900"/>
    <n v="5500"/>
    <n v="4400"/>
    <n v="0.44444444444444398"/>
    <n v="0"/>
    <n v="0"/>
    <n v="5"/>
    <n v="9900"/>
  </r>
  <r>
    <s v="S0448"/>
    <d v="2024-04-06T00:00:00"/>
    <x v="13"/>
    <n v="4"/>
    <x v="3"/>
    <s v="P004"/>
    <x v="0"/>
    <n v="1"/>
    <n v="2376"/>
    <n v="10"/>
    <x v="5"/>
    <n v="1200"/>
    <n v="2376"/>
    <n v="1200"/>
    <n v="1176"/>
    <n v="0.49494949494949497"/>
    <n v="0"/>
    <n v="0"/>
    <n v="1"/>
    <n v="2376"/>
  </r>
  <r>
    <s v="S0341"/>
    <d v="2024-04-06T00:00:00"/>
    <x v="13"/>
    <n v="4"/>
    <x v="3"/>
    <s v="P024"/>
    <x v="1"/>
    <n v="3"/>
    <n v="1428"/>
    <n v="15"/>
    <x v="20"/>
    <n v="800"/>
    <n v="4284"/>
    <n v="2400"/>
    <n v="1884"/>
    <n v="0.43977591036414598"/>
    <n v="0"/>
    <n v="0"/>
    <n v="3"/>
    <n v="4284"/>
  </r>
  <r>
    <s v="S0393"/>
    <d v="2024-04-07T00:00:00"/>
    <x v="13"/>
    <n v="4"/>
    <x v="3"/>
    <s v="P001"/>
    <x v="0"/>
    <n v="1"/>
    <n v="770"/>
    <n v="0"/>
    <x v="23"/>
    <n v="350"/>
    <n v="770"/>
    <n v="350"/>
    <n v="420"/>
    <n v="0.54545454545454497"/>
    <n v="0"/>
    <n v="0"/>
    <n v="1"/>
    <n v="770"/>
  </r>
  <r>
    <s v="S0445"/>
    <d v="2024-04-07T00:00:00"/>
    <x v="13"/>
    <n v="4"/>
    <x v="3"/>
    <s v="P029"/>
    <x v="5"/>
    <n v="1"/>
    <n v="380"/>
    <n v="5"/>
    <x v="27"/>
    <n v="200"/>
    <n v="380"/>
    <n v="200"/>
    <n v="180"/>
    <n v="0.47368421052631599"/>
    <n v="0"/>
    <n v="0"/>
    <n v="1"/>
    <n v="380"/>
  </r>
  <r>
    <s v="S0333"/>
    <d v="2024-04-07T00:00:00"/>
    <x v="13"/>
    <n v="4"/>
    <x v="3"/>
    <s v="P011"/>
    <x v="3"/>
    <n v="2"/>
    <n v="1330"/>
    <n v="5"/>
    <x v="9"/>
    <n v="700"/>
    <n v="2660"/>
    <n v="1400"/>
    <n v="1260"/>
    <n v="0.47368421052631599"/>
    <n v="0"/>
    <n v="0"/>
    <n v="2"/>
    <n v="2660"/>
  </r>
  <r>
    <s v="S0386"/>
    <d v="2024-04-08T00:00:00"/>
    <x v="14"/>
    <n v="4"/>
    <x v="3"/>
    <s v="P017"/>
    <x v="4"/>
    <n v="4"/>
    <n v="500"/>
    <n v="0"/>
    <x v="15"/>
    <n v="200"/>
    <n v="2000"/>
    <n v="800"/>
    <n v="1200"/>
    <n v="0.6"/>
    <n v="0"/>
    <n v="0"/>
    <n v="4"/>
    <n v="2000"/>
  </r>
  <r>
    <s v="S0367"/>
    <d v="2024-04-08T00:00:00"/>
    <x v="14"/>
    <n v="4"/>
    <x v="3"/>
    <s v="P008"/>
    <x v="3"/>
    <n v="3"/>
    <n v="1000"/>
    <n v="0"/>
    <x v="10"/>
    <n v="500"/>
    <n v="3000"/>
    <n v="1500"/>
    <n v="1500"/>
    <n v="0.5"/>
    <n v="0"/>
    <n v="0"/>
    <n v="3"/>
    <n v="3000"/>
  </r>
  <r>
    <s v="S0348"/>
    <d v="2024-04-08T00:00:00"/>
    <x v="14"/>
    <n v="4"/>
    <x v="3"/>
    <s v="P026"/>
    <x v="1"/>
    <n v="3"/>
    <n v="520"/>
    <n v="0"/>
    <x v="1"/>
    <n v="250"/>
    <n v="1560"/>
    <n v="750"/>
    <n v="810"/>
    <n v="0.51923076923076905"/>
    <n v="2"/>
    <n v="2"/>
    <n v="1"/>
    <n v="520"/>
  </r>
  <r>
    <s v="S0363"/>
    <d v="2024-04-08T00:00:00"/>
    <x v="14"/>
    <n v="4"/>
    <x v="3"/>
    <s v="P019"/>
    <x v="4"/>
    <n v="1"/>
    <n v="4500"/>
    <n v="0"/>
    <x v="14"/>
    <n v="1800"/>
    <n v="4500"/>
    <n v="1800"/>
    <n v="2700"/>
    <n v="0.6"/>
    <n v="0"/>
    <n v="0"/>
    <n v="1"/>
    <n v="4500"/>
  </r>
  <r>
    <s v="S0383"/>
    <d v="2024-04-08T00:00:00"/>
    <x v="14"/>
    <n v="4"/>
    <x v="3"/>
    <s v="P006"/>
    <x v="0"/>
    <n v="4"/>
    <n v="480"/>
    <n v="0"/>
    <x v="0"/>
    <n v="220"/>
    <n v="1920"/>
    <n v="880"/>
    <n v="1040"/>
    <n v="0.54166666666666696"/>
    <n v="0"/>
    <n v="0"/>
    <n v="4"/>
    <n v="1920"/>
  </r>
  <r>
    <s v="S0439"/>
    <d v="2024-04-08T00:00:00"/>
    <x v="14"/>
    <n v="4"/>
    <x v="3"/>
    <s v="P019"/>
    <x v="4"/>
    <n v="4"/>
    <n v="4500"/>
    <n v="0"/>
    <x v="14"/>
    <n v="1800"/>
    <n v="18000"/>
    <n v="7200"/>
    <n v="10800"/>
    <n v="0.6"/>
    <n v="0"/>
    <n v="0"/>
    <n v="4"/>
    <n v="18000"/>
  </r>
  <r>
    <s v="S0442"/>
    <d v="2024-04-08T00:00:00"/>
    <x v="14"/>
    <n v="4"/>
    <x v="3"/>
    <s v="P026"/>
    <x v="1"/>
    <n v="2"/>
    <n v="520"/>
    <n v="0"/>
    <x v="1"/>
    <n v="250"/>
    <n v="1040"/>
    <n v="500"/>
    <n v="540"/>
    <n v="0.51923076923076905"/>
    <n v="0"/>
    <n v="0"/>
    <n v="2"/>
    <n v="1040"/>
  </r>
  <r>
    <s v="S0436"/>
    <d v="2024-04-08T00:00:00"/>
    <x v="14"/>
    <n v="4"/>
    <x v="3"/>
    <s v="P029"/>
    <x v="5"/>
    <n v="2"/>
    <n v="340"/>
    <n v="15"/>
    <x v="27"/>
    <n v="200"/>
    <n v="680"/>
    <n v="400"/>
    <n v="280"/>
    <n v="0.41176470588235298"/>
    <n v="0"/>
    <n v="0"/>
    <n v="2"/>
    <n v="680"/>
  </r>
  <r>
    <s v="S0411"/>
    <d v="2024-04-09T00:00:00"/>
    <x v="14"/>
    <n v="4"/>
    <x v="3"/>
    <s v="P007"/>
    <x v="3"/>
    <n v="1"/>
    <n v="1140"/>
    <n v="5"/>
    <x v="22"/>
    <n v="600"/>
    <n v="1140"/>
    <n v="600"/>
    <n v="540"/>
    <n v="0.47368421052631599"/>
    <n v="0"/>
    <n v="0"/>
    <n v="1"/>
    <n v="1140"/>
  </r>
  <r>
    <s v="S0427"/>
    <d v="2024-04-09T00:00:00"/>
    <x v="14"/>
    <n v="4"/>
    <x v="3"/>
    <s v="P018"/>
    <x v="4"/>
    <n v="5"/>
    <n v="361"/>
    <n v="5"/>
    <x v="16"/>
    <n v="150"/>
    <n v="1805"/>
    <n v="750"/>
    <n v="1055"/>
    <n v="0.58448753462603897"/>
    <n v="0"/>
    <n v="0"/>
    <n v="5"/>
    <n v="1805"/>
  </r>
  <r>
    <s v="S0431"/>
    <d v="2024-04-09T00:00:00"/>
    <x v="14"/>
    <n v="4"/>
    <x v="3"/>
    <s v="P019"/>
    <x v="4"/>
    <n v="2"/>
    <n v="4275"/>
    <n v="5"/>
    <x v="14"/>
    <n v="1800"/>
    <n v="8550"/>
    <n v="3600"/>
    <n v="4950"/>
    <n v="0.57894736842105299"/>
    <n v="0"/>
    <n v="0"/>
    <n v="2"/>
    <n v="8550"/>
  </r>
  <r>
    <s v="S0432"/>
    <d v="2024-04-09T00:00:00"/>
    <x v="14"/>
    <n v="4"/>
    <x v="3"/>
    <s v="P008"/>
    <x v="3"/>
    <n v="5"/>
    <n v="1000"/>
    <n v="0"/>
    <x v="10"/>
    <n v="500"/>
    <n v="5000"/>
    <n v="2500"/>
    <n v="2500"/>
    <n v="0.5"/>
    <n v="0"/>
    <n v="0"/>
    <n v="5"/>
    <n v="5000"/>
  </r>
  <r>
    <s v="S0381"/>
    <d v="2024-04-09T00:00:00"/>
    <x v="14"/>
    <n v="4"/>
    <x v="3"/>
    <s v="P007"/>
    <x v="3"/>
    <n v="2"/>
    <n v="1080"/>
    <n v="10"/>
    <x v="22"/>
    <n v="600"/>
    <n v="2160"/>
    <n v="1200"/>
    <n v="960"/>
    <n v="0.44444444444444398"/>
    <n v="0"/>
    <n v="0"/>
    <n v="2"/>
    <n v="2160"/>
  </r>
  <r>
    <s v="S0404"/>
    <d v="2024-04-10T00:00:00"/>
    <x v="14"/>
    <n v="4"/>
    <x v="3"/>
    <s v="P006"/>
    <x v="0"/>
    <n v="3"/>
    <n v="456"/>
    <n v="5"/>
    <x v="0"/>
    <n v="220"/>
    <n v="1368"/>
    <n v="660"/>
    <n v="708"/>
    <n v="0.51754385964912297"/>
    <n v="3"/>
    <n v="3"/>
    <n v="0"/>
    <n v="0"/>
  </r>
  <r>
    <s v="S0332"/>
    <d v="2024-04-10T00:00:00"/>
    <x v="14"/>
    <n v="4"/>
    <x v="3"/>
    <s v="P002"/>
    <x v="0"/>
    <n v="5"/>
    <n v="880"/>
    <n v="0"/>
    <x v="2"/>
    <n v="400"/>
    <n v="4400"/>
    <n v="2000"/>
    <n v="2400"/>
    <n v="0.54545454545454497"/>
    <n v="0"/>
    <n v="0"/>
    <n v="5"/>
    <n v="4400"/>
  </r>
  <r>
    <s v="S0428"/>
    <d v="2024-04-11T00:00:00"/>
    <x v="14"/>
    <n v="4"/>
    <x v="3"/>
    <s v="P007"/>
    <x v="3"/>
    <n v="4"/>
    <n v="1200"/>
    <n v="0"/>
    <x v="22"/>
    <n v="600"/>
    <n v="4800"/>
    <n v="2400"/>
    <n v="2400"/>
    <n v="0.5"/>
    <n v="0"/>
    <n v="0"/>
    <n v="4"/>
    <n v="4800"/>
  </r>
  <r>
    <s v="S0395"/>
    <d v="2024-04-11T00:00:00"/>
    <x v="14"/>
    <n v="4"/>
    <x v="3"/>
    <s v="P012"/>
    <x v="2"/>
    <n v="1"/>
    <n v="1458"/>
    <n v="10"/>
    <x v="3"/>
    <n v="900"/>
    <n v="1458"/>
    <n v="900"/>
    <n v="558"/>
    <n v="0.38271604938271597"/>
    <n v="0"/>
    <n v="0"/>
    <n v="1"/>
    <n v="1458"/>
  </r>
  <r>
    <s v="S0430"/>
    <d v="2024-04-11T00:00:00"/>
    <x v="14"/>
    <n v="4"/>
    <x v="3"/>
    <s v="P022"/>
    <x v="1"/>
    <n v="3"/>
    <n v="1396.5"/>
    <n v="5"/>
    <x v="11"/>
    <n v="700"/>
    <n v="4189.5"/>
    <n v="2100"/>
    <n v="2089.5"/>
    <n v="0.49874686716791999"/>
    <n v="0"/>
    <n v="0"/>
    <n v="3"/>
    <n v="4189.5"/>
  </r>
  <r>
    <s v="S0345"/>
    <d v="2024-04-11T00:00:00"/>
    <x v="14"/>
    <n v="4"/>
    <x v="3"/>
    <s v="P020"/>
    <x v="4"/>
    <n v="4"/>
    <n v="1500"/>
    <n v="0"/>
    <x v="8"/>
    <n v="600"/>
    <n v="6000"/>
    <n v="2400"/>
    <n v="3600"/>
    <n v="0.6"/>
    <n v="0"/>
    <n v="0"/>
    <n v="4"/>
    <n v="6000"/>
  </r>
  <r>
    <s v="S0387"/>
    <d v="2024-04-11T00:00:00"/>
    <x v="14"/>
    <n v="4"/>
    <x v="3"/>
    <s v="P011"/>
    <x v="3"/>
    <n v="3"/>
    <n v="1400"/>
    <n v="0"/>
    <x v="9"/>
    <n v="700"/>
    <n v="4200"/>
    <n v="2100"/>
    <n v="2100"/>
    <n v="0.5"/>
    <n v="0"/>
    <n v="0"/>
    <n v="3"/>
    <n v="4200"/>
  </r>
  <r>
    <s v="S0336"/>
    <d v="2024-04-11T00:00:00"/>
    <x v="14"/>
    <n v="4"/>
    <x v="3"/>
    <s v="P016"/>
    <x v="2"/>
    <n v="2"/>
    <n v="2223"/>
    <n v="5"/>
    <x v="13"/>
    <n v="1300"/>
    <n v="4446"/>
    <n v="2600"/>
    <n v="1846"/>
    <n v="0.41520467836257302"/>
    <n v="0"/>
    <n v="0"/>
    <n v="2"/>
    <n v="4446"/>
  </r>
  <r>
    <s v="S0372"/>
    <d v="2024-04-11T00:00:00"/>
    <x v="14"/>
    <n v="4"/>
    <x v="3"/>
    <s v="P003"/>
    <x v="0"/>
    <n v="3"/>
    <n v="380"/>
    <n v="5"/>
    <x v="17"/>
    <n v="180"/>
    <n v="1140"/>
    <n v="540"/>
    <n v="600"/>
    <n v="0.52631578947368396"/>
    <n v="0"/>
    <n v="0"/>
    <n v="3"/>
    <n v="1140"/>
  </r>
  <r>
    <s v="S0413"/>
    <d v="2024-04-13T00:00:00"/>
    <x v="14"/>
    <n v="4"/>
    <x v="3"/>
    <s v="P018"/>
    <x v="4"/>
    <n v="3"/>
    <n v="380"/>
    <n v="0"/>
    <x v="16"/>
    <n v="150"/>
    <n v="1140"/>
    <n v="450"/>
    <n v="690"/>
    <n v="0.60526315789473695"/>
    <n v="0"/>
    <n v="0"/>
    <n v="3"/>
    <n v="1140"/>
  </r>
  <r>
    <s v="S0402"/>
    <d v="2024-04-13T00:00:00"/>
    <x v="14"/>
    <n v="4"/>
    <x v="3"/>
    <s v="P027"/>
    <x v="5"/>
    <n v="4"/>
    <n v="912"/>
    <n v="5"/>
    <x v="28"/>
    <n v="480"/>
    <n v="3648"/>
    <n v="1920"/>
    <n v="1728"/>
    <n v="0.47368421052631599"/>
    <n v="0"/>
    <n v="0"/>
    <n v="4"/>
    <n v="3648"/>
  </r>
  <r>
    <s v="S0391"/>
    <d v="2024-04-13T00:00:00"/>
    <x v="14"/>
    <n v="4"/>
    <x v="3"/>
    <s v="P006"/>
    <x v="0"/>
    <n v="2"/>
    <n v="408"/>
    <n v="15"/>
    <x v="0"/>
    <n v="220"/>
    <n v="816"/>
    <n v="440"/>
    <n v="376"/>
    <n v="0.46078431372549"/>
    <n v="0"/>
    <n v="0"/>
    <n v="2"/>
    <n v="816"/>
  </r>
  <r>
    <s v="S0358"/>
    <d v="2024-04-13T00:00:00"/>
    <x v="14"/>
    <n v="4"/>
    <x v="3"/>
    <s v="P029"/>
    <x v="5"/>
    <n v="4"/>
    <n v="400"/>
    <n v="0"/>
    <x v="27"/>
    <n v="200"/>
    <n v="1600"/>
    <n v="800"/>
    <n v="800"/>
    <n v="0.5"/>
    <n v="0"/>
    <n v="0"/>
    <n v="4"/>
    <n v="1600"/>
  </r>
  <r>
    <s v="S0357"/>
    <d v="2024-04-13T00:00:00"/>
    <x v="14"/>
    <n v="4"/>
    <x v="3"/>
    <s v="P018"/>
    <x v="4"/>
    <n v="1"/>
    <n v="361"/>
    <n v="5"/>
    <x v="16"/>
    <n v="150"/>
    <n v="361"/>
    <n v="150"/>
    <n v="211"/>
    <n v="0.58448753462603897"/>
    <n v="0"/>
    <n v="0"/>
    <n v="1"/>
    <n v="361"/>
  </r>
  <r>
    <s v="S0399"/>
    <d v="2024-04-13T00:00:00"/>
    <x v="14"/>
    <n v="4"/>
    <x v="3"/>
    <s v="P007"/>
    <x v="3"/>
    <n v="3"/>
    <n v="1080"/>
    <n v="10"/>
    <x v="22"/>
    <n v="600"/>
    <n v="3240"/>
    <n v="1800"/>
    <n v="1440"/>
    <n v="0.44444444444444398"/>
    <n v="0"/>
    <n v="0"/>
    <n v="3"/>
    <n v="3240"/>
  </r>
  <r>
    <s v="S0394"/>
    <d v="2024-04-14T00:00:00"/>
    <x v="14"/>
    <n v="4"/>
    <x v="3"/>
    <s v="P020"/>
    <x v="4"/>
    <n v="3"/>
    <n v="1425"/>
    <n v="5"/>
    <x v="8"/>
    <n v="600"/>
    <n v="4275"/>
    <n v="1800"/>
    <n v="2475"/>
    <n v="0.57894736842105299"/>
    <n v="0"/>
    <n v="0"/>
    <n v="3"/>
    <n v="4275"/>
  </r>
  <r>
    <s v="S0375"/>
    <d v="2024-04-14T00:00:00"/>
    <x v="14"/>
    <n v="4"/>
    <x v="3"/>
    <s v="P020"/>
    <x v="4"/>
    <n v="3"/>
    <n v="1350"/>
    <n v="10"/>
    <x v="8"/>
    <n v="600"/>
    <n v="4050"/>
    <n v="1800"/>
    <n v="2250"/>
    <n v="0.55555555555555602"/>
    <n v="0"/>
    <n v="0"/>
    <n v="3"/>
    <n v="4050"/>
  </r>
  <r>
    <s v="S0424"/>
    <d v="2024-04-14T00:00:00"/>
    <x v="14"/>
    <n v="4"/>
    <x v="3"/>
    <s v="P004"/>
    <x v="0"/>
    <n v="4"/>
    <n v="2640"/>
    <n v="0"/>
    <x v="5"/>
    <n v="1200"/>
    <n v="10560"/>
    <n v="4800"/>
    <n v="5760"/>
    <n v="0.54545454545454497"/>
    <n v="0"/>
    <n v="0"/>
    <n v="4"/>
    <n v="10560"/>
  </r>
  <r>
    <s v="S0378"/>
    <d v="2024-04-15T00:00:00"/>
    <x v="15"/>
    <n v="4"/>
    <x v="3"/>
    <s v="P027"/>
    <x v="5"/>
    <n v="2"/>
    <n v="960"/>
    <n v="0"/>
    <x v="28"/>
    <n v="480"/>
    <n v="1920"/>
    <n v="960"/>
    <n v="960"/>
    <n v="0.5"/>
    <n v="0"/>
    <n v="0"/>
    <n v="2"/>
    <n v="1920"/>
  </r>
  <r>
    <s v="S0376"/>
    <d v="2024-04-15T00:00:00"/>
    <x v="15"/>
    <n v="4"/>
    <x v="3"/>
    <s v="P028"/>
    <x v="5"/>
    <n v="1"/>
    <n v="600"/>
    <n v="0"/>
    <x v="26"/>
    <n v="300"/>
    <n v="600"/>
    <n v="300"/>
    <n v="300"/>
    <n v="0.5"/>
    <n v="0"/>
    <n v="0"/>
    <n v="1"/>
    <n v="600"/>
  </r>
  <r>
    <s v="S0337"/>
    <d v="2024-04-15T00:00:00"/>
    <x v="15"/>
    <n v="4"/>
    <x v="3"/>
    <s v="P029"/>
    <x v="5"/>
    <n v="1"/>
    <n v="380"/>
    <n v="5"/>
    <x v="27"/>
    <n v="200"/>
    <n v="380"/>
    <n v="200"/>
    <n v="180"/>
    <n v="0.47368421052631599"/>
    <n v="0"/>
    <n v="0"/>
    <n v="1"/>
    <n v="380"/>
  </r>
  <r>
    <s v="S0368"/>
    <d v="2024-04-15T00:00:00"/>
    <x v="15"/>
    <n v="4"/>
    <x v="3"/>
    <s v="P030"/>
    <x v="5"/>
    <n v="5"/>
    <n v="700"/>
    <n v="0"/>
    <x v="29"/>
    <n v="350"/>
    <n v="3500"/>
    <n v="1750"/>
    <n v="1750"/>
    <n v="0.5"/>
    <n v="0"/>
    <n v="0"/>
    <n v="5"/>
    <n v="3500"/>
  </r>
  <r>
    <s v="S0429"/>
    <d v="2024-04-15T00:00:00"/>
    <x v="15"/>
    <n v="4"/>
    <x v="3"/>
    <s v="P026"/>
    <x v="1"/>
    <n v="3"/>
    <n v="520"/>
    <n v="0"/>
    <x v="1"/>
    <n v="250"/>
    <n v="1560"/>
    <n v="750"/>
    <n v="810"/>
    <n v="0.51923076923076905"/>
    <n v="0"/>
    <n v="0"/>
    <n v="3"/>
    <n v="1560"/>
  </r>
  <r>
    <s v="S0396"/>
    <d v="2024-04-15T00:00:00"/>
    <x v="15"/>
    <n v="4"/>
    <x v="3"/>
    <s v="P028"/>
    <x v="5"/>
    <n v="4"/>
    <n v="570"/>
    <n v="5"/>
    <x v="26"/>
    <n v="300"/>
    <n v="2280"/>
    <n v="1200"/>
    <n v="1080"/>
    <n v="0.47368421052631599"/>
    <n v="0"/>
    <n v="0"/>
    <n v="4"/>
    <n v="2280"/>
  </r>
  <r>
    <s v="S0384"/>
    <d v="2024-04-15T00:00:00"/>
    <x v="15"/>
    <n v="4"/>
    <x v="3"/>
    <s v="P008"/>
    <x v="3"/>
    <n v="1"/>
    <n v="1000"/>
    <n v="0"/>
    <x v="10"/>
    <n v="500"/>
    <n v="1000"/>
    <n v="500"/>
    <n v="500"/>
    <n v="0.5"/>
    <n v="0"/>
    <n v="0"/>
    <n v="1"/>
    <n v="1000"/>
  </r>
  <r>
    <s v="S0353"/>
    <d v="2024-04-15T00:00:00"/>
    <x v="15"/>
    <n v="4"/>
    <x v="3"/>
    <s v="P013"/>
    <x v="2"/>
    <n v="1"/>
    <n v="1881"/>
    <n v="5"/>
    <x v="21"/>
    <n v="1100"/>
    <n v="1881"/>
    <n v="1100"/>
    <n v="781"/>
    <n v="0.41520467836257302"/>
    <n v="0"/>
    <n v="0"/>
    <n v="1"/>
    <n v="1881"/>
  </r>
  <r>
    <s v="S0351"/>
    <d v="2024-04-16T00:00:00"/>
    <x v="15"/>
    <n v="4"/>
    <x v="3"/>
    <s v="P018"/>
    <x v="4"/>
    <n v="5"/>
    <n v="342"/>
    <n v="10"/>
    <x v="16"/>
    <n v="150"/>
    <n v="1710"/>
    <n v="750"/>
    <n v="960"/>
    <n v="0.56140350877193002"/>
    <n v="0"/>
    <n v="0"/>
    <n v="5"/>
    <n v="1710"/>
  </r>
  <r>
    <s v="S0410"/>
    <d v="2024-04-16T00:00:00"/>
    <x v="15"/>
    <n v="4"/>
    <x v="3"/>
    <s v="P026"/>
    <x v="1"/>
    <n v="1"/>
    <n v="520"/>
    <n v="0"/>
    <x v="1"/>
    <n v="250"/>
    <n v="520"/>
    <n v="250"/>
    <n v="270"/>
    <n v="0.51923076923076905"/>
    <n v="0"/>
    <n v="0"/>
    <n v="1"/>
    <n v="520"/>
  </r>
  <r>
    <s v="S0412"/>
    <d v="2024-04-16T00:00:00"/>
    <x v="15"/>
    <n v="4"/>
    <x v="3"/>
    <s v="P013"/>
    <x v="2"/>
    <n v="2"/>
    <n v="1980"/>
    <n v="0"/>
    <x v="21"/>
    <n v="1100"/>
    <n v="3960"/>
    <n v="2200"/>
    <n v="1760"/>
    <n v="0.44444444444444398"/>
    <n v="0"/>
    <n v="0"/>
    <n v="2"/>
    <n v="3960"/>
  </r>
  <r>
    <s v="S0382"/>
    <d v="2024-04-16T00:00:00"/>
    <x v="15"/>
    <n v="4"/>
    <x v="3"/>
    <s v="P011"/>
    <x v="3"/>
    <n v="3"/>
    <n v="1190"/>
    <n v="15"/>
    <x v="9"/>
    <n v="700"/>
    <n v="3570"/>
    <n v="2100"/>
    <n v="1470"/>
    <n v="0.41176470588235298"/>
    <n v="3"/>
    <n v="3"/>
    <n v="0"/>
    <n v="0"/>
  </r>
  <r>
    <s v="S0443"/>
    <d v="2024-04-16T00:00:00"/>
    <x v="15"/>
    <n v="4"/>
    <x v="3"/>
    <s v="P003"/>
    <x v="0"/>
    <n v="3"/>
    <n v="340"/>
    <n v="15"/>
    <x v="17"/>
    <n v="180"/>
    <n v="1020"/>
    <n v="540"/>
    <n v="480"/>
    <n v="0.47058823529411797"/>
    <n v="0"/>
    <n v="0"/>
    <n v="3"/>
    <n v="1020"/>
  </r>
  <r>
    <s v="S0433"/>
    <d v="2024-04-16T00:00:00"/>
    <x v="15"/>
    <n v="4"/>
    <x v="3"/>
    <s v="P027"/>
    <x v="5"/>
    <n v="2"/>
    <n v="960"/>
    <n v="0"/>
    <x v="28"/>
    <n v="480"/>
    <n v="1920"/>
    <n v="960"/>
    <n v="960"/>
    <n v="0.5"/>
    <n v="0"/>
    <n v="0"/>
    <n v="2"/>
    <n v="1920"/>
  </r>
  <r>
    <s v="S0339"/>
    <d v="2024-04-17T00:00:00"/>
    <x v="15"/>
    <n v="4"/>
    <x v="3"/>
    <s v="P011"/>
    <x v="3"/>
    <n v="2"/>
    <n v="1330"/>
    <n v="5"/>
    <x v="9"/>
    <n v="700"/>
    <n v="2660"/>
    <n v="1400"/>
    <n v="1260"/>
    <n v="0.47368421052631599"/>
    <n v="0"/>
    <n v="0"/>
    <n v="2"/>
    <n v="2660"/>
  </r>
  <r>
    <s v="S0343"/>
    <d v="2024-04-17T00:00:00"/>
    <x v="15"/>
    <n v="4"/>
    <x v="3"/>
    <s v="P001"/>
    <x v="0"/>
    <n v="4"/>
    <n v="654.5"/>
    <n v="15"/>
    <x v="23"/>
    <n v="350"/>
    <n v="2618"/>
    <n v="1400"/>
    <n v="1218"/>
    <n v="0.46524064171122997"/>
    <n v="0"/>
    <n v="0"/>
    <n v="4"/>
    <n v="2618"/>
  </r>
  <r>
    <s v="S0365"/>
    <d v="2024-04-17T00:00:00"/>
    <x v="15"/>
    <n v="4"/>
    <x v="3"/>
    <s v="P009"/>
    <x v="3"/>
    <n v="4"/>
    <n v="570"/>
    <n v="5"/>
    <x v="7"/>
    <n v="300"/>
    <n v="2280"/>
    <n v="1200"/>
    <n v="1080"/>
    <n v="0.47368421052631599"/>
    <n v="0"/>
    <n v="0"/>
    <n v="4"/>
    <n v="2280"/>
  </r>
  <r>
    <s v="S0331"/>
    <d v="2024-04-18T00:00:00"/>
    <x v="15"/>
    <n v="4"/>
    <x v="3"/>
    <s v="P020"/>
    <x v="4"/>
    <n v="3"/>
    <n v="1500"/>
    <n v="0"/>
    <x v="8"/>
    <n v="600"/>
    <n v="4500"/>
    <n v="1800"/>
    <n v="2700"/>
    <n v="0.6"/>
    <n v="0"/>
    <n v="0"/>
    <n v="3"/>
    <n v="4500"/>
  </r>
  <r>
    <s v="S0406"/>
    <d v="2024-04-18T00:00:00"/>
    <x v="15"/>
    <n v="4"/>
    <x v="3"/>
    <s v="P029"/>
    <x v="5"/>
    <n v="1"/>
    <n v="340"/>
    <n v="15"/>
    <x v="27"/>
    <n v="200"/>
    <n v="340"/>
    <n v="200"/>
    <n v="140"/>
    <n v="0.41176470588235298"/>
    <n v="0"/>
    <n v="0"/>
    <n v="1"/>
    <n v="340"/>
  </r>
  <r>
    <s v="S0371"/>
    <d v="2024-04-18T00:00:00"/>
    <x v="15"/>
    <n v="4"/>
    <x v="3"/>
    <s v="P028"/>
    <x v="5"/>
    <n v="1"/>
    <n v="540"/>
    <n v="10"/>
    <x v="26"/>
    <n v="300"/>
    <n v="540"/>
    <n v="300"/>
    <n v="240"/>
    <n v="0.44444444444444398"/>
    <n v="0"/>
    <n v="0"/>
    <n v="1"/>
    <n v="540"/>
  </r>
  <r>
    <s v="S0421"/>
    <d v="2024-04-19T00:00:00"/>
    <x v="15"/>
    <n v="4"/>
    <x v="3"/>
    <s v="P001"/>
    <x v="0"/>
    <n v="2"/>
    <n v="693"/>
    <n v="10"/>
    <x v="23"/>
    <n v="350"/>
    <n v="1386"/>
    <n v="700"/>
    <n v="686"/>
    <n v="0.49494949494949497"/>
    <n v="0"/>
    <n v="0"/>
    <n v="2"/>
    <n v="1386"/>
  </r>
  <r>
    <s v="S0355"/>
    <d v="2024-04-19T00:00:00"/>
    <x v="15"/>
    <n v="4"/>
    <x v="3"/>
    <s v="P001"/>
    <x v="0"/>
    <n v="1"/>
    <n v="770"/>
    <n v="0"/>
    <x v="23"/>
    <n v="350"/>
    <n v="770"/>
    <n v="350"/>
    <n v="420"/>
    <n v="0.54545454545454497"/>
    <n v="0"/>
    <n v="0"/>
    <n v="1"/>
    <n v="770"/>
  </r>
  <r>
    <s v="S0335"/>
    <d v="2024-04-20T00:00:00"/>
    <x v="15"/>
    <n v="4"/>
    <x v="3"/>
    <s v="P019"/>
    <x v="4"/>
    <n v="5"/>
    <n v="3825"/>
    <n v="15"/>
    <x v="14"/>
    <n v="1800"/>
    <n v="19125"/>
    <n v="9000"/>
    <n v="10125"/>
    <n v="0.52941176470588203"/>
    <n v="0"/>
    <n v="0"/>
    <n v="5"/>
    <n v="19125"/>
  </r>
  <r>
    <s v="S0419"/>
    <d v="2024-04-20T00:00:00"/>
    <x v="15"/>
    <n v="4"/>
    <x v="3"/>
    <s v="P010"/>
    <x v="3"/>
    <n v="5"/>
    <n v="450"/>
    <n v="10"/>
    <x v="4"/>
    <n v="250"/>
    <n v="2250"/>
    <n v="1250"/>
    <n v="1000"/>
    <n v="0.44444444444444398"/>
    <n v="0"/>
    <n v="0"/>
    <n v="5"/>
    <n v="2250"/>
  </r>
  <r>
    <s v="S0449"/>
    <d v="2024-04-20T00:00:00"/>
    <x v="15"/>
    <n v="4"/>
    <x v="3"/>
    <s v="P011"/>
    <x v="3"/>
    <n v="3"/>
    <n v="1190"/>
    <n v="15"/>
    <x v="9"/>
    <n v="700"/>
    <n v="3570"/>
    <n v="2100"/>
    <n v="1470"/>
    <n v="0.41176470588235298"/>
    <n v="0"/>
    <n v="0"/>
    <n v="3"/>
    <n v="3570"/>
  </r>
  <r>
    <s v="S0373"/>
    <d v="2024-04-20T00:00:00"/>
    <x v="15"/>
    <n v="4"/>
    <x v="3"/>
    <s v="P001"/>
    <x v="0"/>
    <n v="5"/>
    <n v="654.5"/>
    <n v="15"/>
    <x v="23"/>
    <n v="350"/>
    <n v="3272.5"/>
    <n v="1750"/>
    <n v="1522.5"/>
    <n v="0.46524064171122997"/>
    <n v="0"/>
    <n v="0"/>
    <n v="5"/>
    <n v="3272.5"/>
  </r>
  <r>
    <s v="S0441"/>
    <d v="2024-04-20T00:00:00"/>
    <x v="15"/>
    <n v="4"/>
    <x v="3"/>
    <s v="P024"/>
    <x v="1"/>
    <n v="2"/>
    <n v="1680"/>
    <n v="0"/>
    <x v="20"/>
    <n v="800"/>
    <n v="3360"/>
    <n v="1600"/>
    <n v="1760"/>
    <n v="0.52380952380952395"/>
    <n v="0"/>
    <n v="0"/>
    <n v="2"/>
    <n v="3360"/>
  </r>
  <r>
    <s v="S0344"/>
    <d v="2024-04-21T00:00:00"/>
    <x v="15"/>
    <n v="4"/>
    <x v="3"/>
    <s v="P027"/>
    <x v="5"/>
    <n v="1"/>
    <n v="864"/>
    <n v="10"/>
    <x v="28"/>
    <n v="480"/>
    <n v="864"/>
    <n v="480"/>
    <n v="384"/>
    <n v="0.44444444444444398"/>
    <n v="0"/>
    <n v="0"/>
    <n v="1"/>
    <n v="864"/>
  </r>
  <r>
    <s v="S0347"/>
    <d v="2024-04-22T00:00:00"/>
    <x v="16"/>
    <n v="4"/>
    <x v="3"/>
    <s v="P026"/>
    <x v="1"/>
    <n v="2"/>
    <n v="520"/>
    <n v="0"/>
    <x v="1"/>
    <n v="250"/>
    <n v="1040"/>
    <n v="500"/>
    <n v="540"/>
    <n v="0.51923076923076905"/>
    <n v="0"/>
    <n v="0"/>
    <n v="2"/>
    <n v="1040"/>
  </r>
  <r>
    <s v="S0422"/>
    <d v="2024-04-22T00:00:00"/>
    <x v="16"/>
    <n v="4"/>
    <x v="3"/>
    <s v="P026"/>
    <x v="1"/>
    <n v="3"/>
    <n v="520"/>
    <n v="0"/>
    <x v="1"/>
    <n v="250"/>
    <n v="1560"/>
    <n v="750"/>
    <n v="810"/>
    <n v="0.51923076923076905"/>
    <n v="0"/>
    <n v="0"/>
    <n v="3"/>
    <n v="1560"/>
  </r>
  <r>
    <s v="S0338"/>
    <d v="2024-04-22T00:00:00"/>
    <x v="16"/>
    <n v="4"/>
    <x v="3"/>
    <s v="P017"/>
    <x v="4"/>
    <n v="5"/>
    <n v="500"/>
    <n v="0"/>
    <x v="15"/>
    <n v="200"/>
    <n v="2500"/>
    <n v="1000"/>
    <n v="1500"/>
    <n v="0.6"/>
    <n v="1"/>
    <n v="1"/>
    <n v="4"/>
    <n v="2000"/>
  </r>
  <r>
    <s v="S0370"/>
    <d v="2024-04-22T00:00:00"/>
    <x v="16"/>
    <n v="4"/>
    <x v="3"/>
    <s v="P003"/>
    <x v="0"/>
    <n v="4"/>
    <n v="360"/>
    <n v="10"/>
    <x v="17"/>
    <n v="180"/>
    <n v="1440"/>
    <n v="720"/>
    <n v="720"/>
    <n v="0.5"/>
    <n v="0"/>
    <n v="0"/>
    <n v="4"/>
    <n v="1440"/>
  </r>
  <r>
    <s v="S0414"/>
    <d v="2024-04-22T00:00:00"/>
    <x v="16"/>
    <n v="4"/>
    <x v="3"/>
    <s v="P018"/>
    <x v="4"/>
    <n v="3"/>
    <n v="323"/>
    <n v="15"/>
    <x v="16"/>
    <n v="150"/>
    <n v="969"/>
    <n v="450"/>
    <n v="519"/>
    <n v="0.53560371517027905"/>
    <n v="0"/>
    <n v="0"/>
    <n v="3"/>
    <n v="969"/>
  </r>
  <r>
    <s v="S0360"/>
    <d v="2024-04-23T00:00:00"/>
    <x v="16"/>
    <n v="4"/>
    <x v="3"/>
    <s v="P027"/>
    <x v="5"/>
    <n v="5"/>
    <n v="960"/>
    <n v="0"/>
    <x v="28"/>
    <n v="480"/>
    <n v="4800"/>
    <n v="2400"/>
    <n v="2400"/>
    <n v="0.5"/>
    <n v="0"/>
    <n v="0"/>
    <n v="5"/>
    <n v="4800"/>
  </r>
  <r>
    <s v="S0356"/>
    <d v="2024-04-23T00:00:00"/>
    <x v="16"/>
    <n v="4"/>
    <x v="3"/>
    <s v="P028"/>
    <x v="5"/>
    <n v="2"/>
    <n v="510"/>
    <n v="15"/>
    <x v="26"/>
    <n v="300"/>
    <n v="1020"/>
    <n v="600"/>
    <n v="420"/>
    <n v="0.41176470588235298"/>
    <n v="0"/>
    <n v="0"/>
    <n v="2"/>
    <n v="1020"/>
  </r>
  <r>
    <s v="S0450"/>
    <d v="2024-04-23T00:00:00"/>
    <x v="16"/>
    <n v="4"/>
    <x v="3"/>
    <s v="P020"/>
    <x v="4"/>
    <n v="5"/>
    <n v="1500"/>
    <n v="0"/>
    <x v="8"/>
    <n v="600"/>
    <n v="7500"/>
    <n v="3000"/>
    <n v="4500"/>
    <n v="0.6"/>
    <n v="0"/>
    <n v="0"/>
    <n v="5"/>
    <n v="7500"/>
  </r>
  <r>
    <s v="S0385"/>
    <d v="2024-04-23T00:00:00"/>
    <x v="16"/>
    <n v="4"/>
    <x v="3"/>
    <s v="P021"/>
    <x v="4"/>
    <n v="5"/>
    <n v="1000"/>
    <n v="0"/>
    <x v="6"/>
    <n v="400"/>
    <n v="5000"/>
    <n v="2000"/>
    <n v="3000"/>
    <n v="0.6"/>
    <n v="0"/>
    <n v="0"/>
    <n v="5"/>
    <n v="5000"/>
  </r>
  <r>
    <s v="S0446"/>
    <d v="2024-04-23T00:00:00"/>
    <x v="16"/>
    <n v="4"/>
    <x v="3"/>
    <s v="P004"/>
    <x v="0"/>
    <n v="5"/>
    <n v="2640"/>
    <n v="0"/>
    <x v="5"/>
    <n v="1200"/>
    <n v="13200"/>
    <n v="6000"/>
    <n v="7200"/>
    <n v="0.54545454545454497"/>
    <n v="0"/>
    <n v="0"/>
    <n v="5"/>
    <n v="13200"/>
  </r>
  <r>
    <s v="S0400"/>
    <d v="2024-04-23T00:00:00"/>
    <x v="16"/>
    <n v="4"/>
    <x v="3"/>
    <s v="P002"/>
    <x v="0"/>
    <n v="4"/>
    <n v="880"/>
    <n v="0"/>
    <x v="2"/>
    <n v="400"/>
    <n v="3520"/>
    <n v="1600"/>
    <n v="1920"/>
    <n v="0.54545454545454497"/>
    <n v="0"/>
    <n v="0"/>
    <n v="4"/>
    <n v="3520"/>
  </r>
  <r>
    <s v="S0416"/>
    <d v="2024-04-24T00:00:00"/>
    <x v="16"/>
    <n v="4"/>
    <x v="3"/>
    <s v="P005"/>
    <x v="0"/>
    <n v="5"/>
    <n v="4400"/>
    <n v="0"/>
    <x v="25"/>
    <n v="2000"/>
    <n v="22000"/>
    <n v="10000"/>
    <n v="12000"/>
    <n v="0.54545454545454497"/>
    <n v="5"/>
    <n v="5"/>
    <n v="0"/>
    <n v="0"/>
  </r>
  <r>
    <s v="S0407"/>
    <d v="2024-04-24T00:00:00"/>
    <x v="16"/>
    <n v="4"/>
    <x v="3"/>
    <s v="P028"/>
    <x v="5"/>
    <n v="1"/>
    <n v="540"/>
    <n v="10"/>
    <x v="26"/>
    <n v="300"/>
    <n v="540"/>
    <n v="300"/>
    <n v="240"/>
    <n v="0.44444444444444398"/>
    <n v="1"/>
    <n v="1"/>
    <n v="0"/>
    <n v="0"/>
  </r>
  <r>
    <s v="S0434"/>
    <d v="2024-04-24T00:00:00"/>
    <x v="16"/>
    <n v="4"/>
    <x v="3"/>
    <s v="P011"/>
    <x v="3"/>
    <n v="2"/>
    <n v="1260"/>
    <n v="10"/>
    <x v="9"/>
    <n v="700"/>
    <n v="2520"/>
    <n v="1400"/>
    <n v="1120"/>
    <n v="0.44444444444444398"/>
    <n v="0"/>
    <n v="0"/>
    <n v="2"/>
    <n v="2520"/>
  </r>
  <r>
    <s v="S0377"/>
    <d v="2024-04-24T00:00:00"/>
    <x v="16"/>
    <n v="4"/>
    <x v="3"/>
    <s v="P017"/>
    <x v="4"/>
    <n v="3"/>
    <n v="475"/>
    <n v="5"/>
    <x v="15"/>
    <n v="200"/>
    <n v="1425"/>
    <n v="600"/>
    <n v="825"/>
    <n v="0.57894736842105299"/>
    <n v="0"/>
    <n v="0"/>
    <n v="3"/>
    <n v="1425"/>
  </r>
  <r>
    <s v="S0447"/>
    <d v="2024-04-25T00:00:00"/>
    <x v="16"/>
    <n v="4"/>
    <x v="3"/>
    <s v="P005"/>
    <x v="0"/>
    <n v="4"/>
    <n v="4400"/>
    <n v="0"/>
    <x v="25"/>
    <n v="2000"/>
    <n v="17600"/>
    <n v="8000"/>
    <n v="9600"/>
    <n v="0.54545454545454497"/>
    <n v="4"/>
    <n v="4"/>
    <n v="0"/>
    <n v="0"/>
  </r>
  <r>
    <s v="S0362"/>
    <d v="2024-04-25T00:00:00"/>
    <x v="16"/>
    <n v="4"/>
    <x v="3"/>
    <s v="P018"/>
    <x v="4"/>
    <n v="2"/>
    <n v="361"/>
    <n v="5"/>
    <x v="16"/>
    <n v="150"/>
    <n v="722"/>
    <n v="300"/>
    <n v="422"/>
    <n v="0.58448753462603897"/>
    <n v="0"/>
    <n v="0"/>
    <n v="2"/>
    <n v="722"/>
  </r>
  <r>
    <s v="S0379"/>
    <d v="2024-04-25T00:00:00"/>
    <x v="16"/>
    <n v="4"/>
    <x v="3"/>
    <s v="P019"/>
    <x v="4"/>
    <n v="2"/>
    <n v="4500"/>
    <n v="0"/>
    <x v="14"/>
    <n v="1800"/>
    <n v="9000"/>
    <n v="3600"/>
    <n v="5400"/>
    <n v="0.6"/>
    <n v="1"/>
    <n v="1"/>
    <n v="1"/>
    <n v="4500"/>
  </r>
  <r>
    <s v="S0451"/>
    <d v="2024-04-25T00:00:00"/>
    <x v="16"/>
    <n v="4"/>
    <x v="3"/>
    <s v="P013"/>
    <x v="2"/>
    <n v="5"/>
    <n v="1980"/>
    <n v="0"/>
    <x v="21"/>
    <n v="1100"/>
    <n v="9900"/>
    <n v="5500"/>
    <n v="4400"/>
    <n v="0.44444444444444398"/>
    <n v="0"/>
    <n v="0"/>
    <n v="5"/>
    <n v="9900"/>
  </r>
  <r>
    <s v="S0415"/>
    <d v="2024-04-26T00:00:00"/>
    <x v="16"/>
    <n v="4"/>
    <x v="3"/>
    <s v="P021"/>
    <x v="4"/>
    <n v="2"/>
    <n v="950"/>
    <n v="5"/>
    <x v="6"/>
    <n v="400"/>
    <n v="1900"/>
    <n v="800"/>
    <n v="1100"/>
    <n v="0.57894736842105299"/>
    <n v="0"/>
    <n v="0"/>
    <n v="2"/>
    <n v="1900"/>
  </r>
  <r>
    <s v="S0408"/>
    <d v="2024-04-26T00:00:00"/>
    <x v="16"/>
    <n v="4"/>
    <x v="3"/>
    <s v="P023"/>
    <x v="1"/>
    <n v="3"/>
    <n v="2835"/>
    <n v="10"/>
    <x v="12"/>
    <n v="1500"/>
    <n v="8505"/>
    <n v="4500"/>
    <n v="4005"/>
    <n v="0.47089947089947098"/>
    <n v="0"/>
    <n v="0"/>
    <n v="3"/>
    <n v="8505"/>
  </r>
  <r>
    <s v="S0334"/>
    <d v="2024-04-26T00:00:00"/>
    <x v="16"/>
    <n v="4"/>
    <x v="3"/>
    <s v="P006"/>
    <x v="0"/>
    <n v="5"/>
    <n v="432"/>
    <n v="10"/>
    <x v="0"/>
    <n v="220"/>
    <n v="2160"/>
    <n v="1100"/>
    <n v="1060"/>
    <n v="0.49074074074074098"/>
    <n v="1"/>
    <n v="1"/>
    <n v="4"/>
    <n v="1728"/>
  </r>
  <r>
    <s v="S0364"/>
    <d v="2024-04-26T00:00:00"/>
    <x v="16"/>
    <n v="4"/>
    <x v="3"/>
    <s v="P019"/>
    <x v="4"/>
    <n v="2"/>
    <n v="3825"/>
    <n v="15"/>
    <x v="14"/>
    <n v="1800"/>
    <n v="7650"/>
    <n v="3600"/>
    <n v="4050"/>
    <n v="0.52941176470588203"/>
    <n v="2"/>
    <n v="2"/>
    <n v="0"/>
    <n v="0"/>
  </r>
  <r>
    <s v="S0340"/>
    <d v="2024-04-26T00:00:00"/>
    <x v="16"/>
    <n v="4"/>
    <x v="3"/>
    <s v="P027"/>
    <x v="5"/>
    <n v="1"/>
    <n v="816"/>
    <n v="15"/>
    <x v="28"/>
    <n v="480"/>
    <n v="816"/>
    <n v="480"/>
    <n v="336"/>
    <n v="0.41176470588235298"/>
    <n v="0"/>
    <n v="0"/>
    <n v="1"/>
    <n v="816"/>
  </r>
  <r>
    <s v="S0369"/>
    <d v="2024-04-26T00:00:00"/>
    <x v="16"/>
    <n v="4"/>
    <x v="3"/>
    <s v="P029"/>
    <x v="5"/>
    <n v="5"/>
    <n v="380"/>
    <n v="5"/>
    <x v="27"/>
    <n v="200"/>
    <n v="1900"/>
    <n v="1000"/>
    <n v="900"/>
    <n v="0.47368421052631599"/>
    <n v="0"/>
    <n v="0"/>
    <n v="5"/>
    <n v="1900"/>
  </r>
  <r>
    <s v="S0440"/>
    <d v="2024-04-27T00:00:00"/>
    <x v="16"/>
    <n v="4"/>
    <x v="3"/>
    <s v="P027"/>
    <x v="5"/>
    <n v="5"/>
    <n v="960"/>
    <n v="0"/>
    <x v="28"/>
    <n v="480"/>
    <n v="4800"/>
    <n v="2400"/>
    <n v="2400"/>
    <n v="0.5"/>
    <n v="0"/>
    <n v="0"/>
    <n v="5"/>
    <n v="4800"/>
  </r>
  <r>
    <s v="S0380"/>
    <d v="2024-04-27T00:00:00"/>
    <x v="16"/>
    <n v="4"/>
    <x v="3"/>
    <s v="P009"/>
    <x v="3"/>
    <n v="4"/>
    <n v="510"/>
    <n v="15"/>
    <x v="7"/>
    <n v="300"/>
    <n v="2040"/>
    <n v="1200"/>
    <n v="840"/>
    <n v="0.41176470588235298"/>
    <n v="0"/>
    <n v="0"/>
    <n v="4"/>
    <n v="2040"/>
  </r>
  <r>
    <s v="S0417"/>
    <d v="2024-04-27T00:00:00"/>
    <x v="16"/>
    <n v="4"/>
    <x v="3"/>
    <s v="P017"/>
    <x v="4"/>
    <n v="3"/>
    <n v="475"/>
    <n v="5"/>
    <x v="15"/>
    <n v="200"/>
    <n v="1425"/>
    <n v="600"/>
    <n v="825"/>
    <n v="0.57894736842105299"/>
    <n v="0"/>
    <n v="0"/>
    <n v="3"/>
    <n v="1425"/>
  </r>
  <r>
    <s v="S0398"/>
    <d v="2024-04-27T00:00:00"/>
    <x v="16"/>
    <n v="4"/>
    <x v="3"/>
    <s v="P025"/>
    <x v="1"/>
    <n v="1"/>
    <n v="893"/>
    <n v="5"/>
    <x v="19"/>
    <n v="450"/>
    <n v="893"/>
    <n v="450"/>
    <n v="443"/>
    <n v="0.496080627099664"/>
    <n v="1"/>
    <n v="1"/>
    <n v="0"/>
    <n v="0"/>
  </r>
  <r>
    <s v="S0346"/>
    <d v="2024-04-27T00:00:00"/>
    <x v="16"/>
    <n v="4"/>
    <x v="3"/>
    <s v="P007"/>
    <x v="3"/>
    <n v="2"/>
    <n v="1200"/>
    <n v="0"/>
    <x v="22"/>
    <n v="600"/>
    <n v="2400"/>
    <n v="1200"/>
    <n v="1200"/>
    <n v="0.5"/>
    <n v="0"/>
    <n v="0"/>
    <n v="2"/>
    <n v="2400"/>
  </r>
  <r>
    <s v="S0405"/>
    <d v="2024-04-28T00:00:00"/>
    <x v="16"/>
    <n v="4"/>
    <x v="3"/>
    <s v="P023"/>
    <x v="1"/>
    <n v="2"/>
    <n v="2992.5"/>
    <n v="5"/>
    <x v="12"/>
    <n v="1500"/>
    <n v="5985"/>
    <n v="3000"/>
    <n v="2985"/>
    <n v="0.49874686716791999"/>
    <n v="0"/>
    <n v="0"/>
    <n v="2"/>
    <n v="5985"/>
  </r>
  <r>
    <s v="S0401"/>
    <d v="2024-04-28T00:00:00"/>
    <x v="16"/>
    <n v="4"/>
    <x v="3"/>
    <s v="P028"/>
    <x v="5"/>
    <n v="3"/>
    <n v="540"/>
    <n v="10"/>
    <x v="26"/>
    <n v="300"/>
    <n v="1620"/>
    <n v="900"/>
    <n v="720"/>
    <n v="0.44444444444444398"/>
    <n v="0"/>
    <n v="0"/>
    <n v="3"/>
    <n v="1620"/>
  </r>
  <r>
    <s v="S0425"/>
    <d v="2024-04-28T00:00:00"/>
    <x v="16"/>
    <n v="4"/>
    <x v="3"/>
    <s v="P015"/>
    <x v="2"/>
    <n v="4"/>
    <n v="598.5"/>
    <n v="5"/>
    <x v="24"/>
    <n v="350"/>
    <n v="2394"/>
    <n v="1400"/>
    <n v="994"/>
    <n v="0.41520467836257302"/>
    <n v="0"/>
    <n v="0"/>
    <n v="4"/>
    <n v="2394"/>
  </r>
  <r>
    <s v="S0352"/>
    <d v="2024-04-28T00:00:00"/>
    <x v="16"/>
    <n v="4"/>
    <x v="3"/>
    <s v="P028"/>
    <x v="5"/>
    <n v="3"/>
    <n v="600"/>
    <n v="0"/>
    <x v="26"/>
    <n v="300"/>
    <n v="1800"/>
    <n v="900"/>
    <n v="900"/>
    <n v="0.5"/>
    <n v="0"/>
    <n v="0"/>
    <n v="3"/>
    <n v="1800"/>
  </r>
  <r>
    <s v="S0409"/>
    <d v="2024-04-29T00:00:00"/>
    <x v="17"/>
    <n v="4"/>
    <x v="3"/>
    <s v="P021"/>
    <x v="4"/>
    <n v="1"/>
    <n v="1000"/>
    <n v="0"/>
    <x v="6"/>
    <n v="400"/>
    <n v="1000"/>
    <n v="400"/>
    <n v="600"/>
    <n v="0.6"/>
    <n v="0"/>
    <n v="0"/>
    <n v="1"/>
    <n v="1000"/>
  </r>
  <r>
    <s v="S0388"/>
    <d v="2024-04-29T00:00:00"/>
    <x v="17"/>
    <n v="4"/>
    <x v="3"/>
    <s v="P002"/>
    <x v="0"/>
    <n v="2"/>
    <n v="792"/>
    <n v="10"/>
    <x v="2"/>
    <n v="400"/>
    <n v="1584"/>
    <n v="800"/>
    <n v="784"/>
    <n v="0.49494949494949497"/>
    <n v="0"/>
    <n v="0"/>
    <n v="2"/>
    <n v="1584"/>
  </r>
  <r>
    <s v="S0374"/>
    <d v="2024-04-29T00:00:00"/>
    <x v="17"/>
    <n v="4"/>
    <x v="3"/>
    <s v="P030"/>
    <x v="5"/>
    <n v="2"/>
    <n v="630"/>
    <n v="10"/>
    <x v="29"/>
    <n v="350"/>
    <n v="1260"/>
    <n v="700"/>
    <n v="560"/>
    <n v="0.44444444444444398"/>
    <n v="0"/>
    <n v="0"/>
    <n v="2"/>
    <n v="1260"/>
  </r>
  <r>
    <s v="S0361"/>
    <d v="2024-04-29T00:00:00"/>
    <x v="17"/>
    <n v="4"/>
    <x v="3"/>
    <s v="P016"/>
    <x v="2"/>
    <n v="4"/>
    <n v="2340"/>
    <n v="0"/>
    <x v="13"/>
    <n v="1300"/>
    <n v="9360"/>
    <n v="5200"/>
    <n v="4160"/>
    <n v="0.44444444444444398"/>
    <n v="0"/>
    <n v="0"/>
    <n v="4"/>
    <n v="9360"/>
  </r>
  <r>
    <s v="S0354"/>
    <d v="2024-04-29T00:00:00"/>
    <x v="17"/>
    <n v="4"/>
    <x v="3"/>
    <s v="P025"/>
    <x v="1"/>
    <n v="4"/>
    <n v="799"/>
    <n v="15"/>
    <x v="19"/>
    <n v="450"/>
    <n v="3196"/>
    <n v="1800"/>
    <n v="1396"/>
    <n v="0.436795994993742"/>
    <n v="0"/>
    <n v="0"/>
    <n v="4"/>
    <n v="3196"/>
  </r>
  <r>
    <s v="S0418"/>
    <d v="2024-04-30T00:00:00"/>
    <x v="17"/>
    <n v="4"/>
    <x v="3"/>
    <s v="P027"/>
    <x v="5"/>
    <n v="1"/>
    <n v="960"/>
    <n v="0"/>
    <x v="28"/>
    <n v="480"/>
    <n v="960"/>
    <n v="480"/>
    <n v="480"/>
    <n v="0.5"/>
    <n v="0"/>
    <n v="0"/>
    <n v="1"/>
    <n v="960"/>
  </r>
  <r>
    <s v="S0454"/>
    <d v="2024-05-01T00:00:00"/>
    <x v="17"/>
    <n v="5"/>
    <x v="4"/>
    <s v="P011"/>
    <x v="3"/>
    <n v="4"/>
    <n v="1400"/>
    <n v="0"/>
    <x v="9"/>
    <n v="700"/>
    <n v="5600"/>
    <n v="2800"/>
    <n v="2800"/>
    <n v="0.5"/>
    <n v="4"/>
    <n v="4"/>
    <n v="0"/>
    <n v="0"/>
  </r>
  <r>
    <s v="S0554"/>
    <d v="2024-05-02T00:00:00"/>
    <x v="17"/>
    <n v="5"/>
    <x v="4"/>
    <s v="P030"/>
    <x v="5"/>
    <n v="1"/>
    <n v="700"/>
    <n v="0"/>
    <x v="29"/>
    <n v="350"/>
    <n v="700"/>
    <n v="350"/>
    <n v="350"/>
    <n v="0.5"/>
    <n v="0"/>
    <n v="0"/>
    <n v="1"/>
    <n v="700"/>
  </r>
  <r>
    <s v="S0568"/>
    <d v="2024-05-02T00:00:00"/>
    <x v="17"/>
    <n v="5"/>
    <x v="4"/>
    <s v="P030"/>
    <x v="5"/>
    <n v="2"/>
    <n v="630"/>
    <n v="10"/>
    <x v="29"/>
    <n v="350"/>
    <n v="1260"/>
    <n v="700"/>
    <n v="560"/>
    <n v="0.44444444444444398"/>
    <n v="0"/>
    <n v="0"/>
    <n v="2"/>
    <n v="1260"/>
  </r>
  <r>
    <s v="S0540"/>
    <d v="2024-05-02T00:00:00"/>
    <x v="17"/>
    <n v="5"/>
    <x v="4"/>
    <s v="P001"/>
    <x v="0"/>
    <n v="4"/>
    <n v="770"/>
    <n v="0"/>
    <x v="23"/>
    <n v="350"/>
    <n v="3080"/>
    <n v="1400"/>
    <n v="1680"/>
    <n v="0.54545454545454497"/>
    <n v="0"/>
    <n v="0"/>
    <n v="4"/>
    <n v="3080"/>
  </r>
  <r>
    <s v="S0580"/>
    <d v="2024-05-02T00:00:00"/>
    <x v="17"/>
    <n v="5"/>
    <x v="4"/>
    <s v="P027"/>
    <x v="5"/>
    <n v="1"/>
    <n v="960"/>
    <n v="0"/>
    <x v="28"/>
    <n v="480"/>
    <n v="960"/>
    <n v="480"/>
    <n v="480"/>
    <n v="0.5"/>
    <n v="0"/>
    <n v="0"/>
    <n v="1"/>
    <n v="960"/>
  </r>
  <r>
    <s v="S0503"/>
    <d v="2024-05-03T00:00:00"/>
    <x v="17"/>
    <n v="5"/>
    <x v="4"/>
    <s v="P012"/>
    <x v="2"/>
    <n v="4"/>
    <n v="1620"/>
    <n v="0"/>
    <x v="3"/>
    <n v="900"/>
    <n v="6480"/>
    <n v="3600"/>
    <n v="2880"/>
    <n v="0.44444444444444398"/>
    <n v="0"/>
    <n v="0"/>
    <n v="4"/>
    <n v="6480"/>
  </r>
  <r>
    <s v="S0573"/>
    <d v="2024-05-03T00:00:00"/>
    <x v="17"/>
    <n v="5"/>
    <x v="4"/>
    <s v="P021"/>
    <x v="4"/>
    <n v="3"/>
    <n v="1000"/>
    <n v="0"/>
    <x v="6"/>
    <n v="400"/>
    <n v="3000"/>
    <n v="1200"/>
    <n v="1800"/>
    <n v="0.6"/>
    <n v="0"/>
    <n v="0"/>
    <n v="3"/>
    <n v="3000"/>
  </r>
  <r>
    <s v="S0511"/>
    <d v="2024-05-03T00:00:00"/>
    <x v="17"/>
    <n v="5"/>
    <x v="4"/>
    <s v="P016"/>
    <x v="2"/>
    <n v="1"/>
    <n v="2340"/>
    <n v="0"/>
    <x v="13"/>
    <n v="1300"/>
    <n v="2340"/>
    <n v="1300"/>
    <n v="1040"/>
    <n v="0.44444444444444398"/>
    <n v="0"/>
    <n v="0"/>
    <n v="1"/>
    <n v="2340"/>
  </r>
  <r>
    <s v="S0557"/>
    <d v="2024-05-03T00:00:00"/>
    <x v="17"/>
    <n v="5"/>
    <x v="4"/>
    <s v="P027"/>
    <x v="5"/>
    <n v="5"/>
    <n v="960"/>
    <n v="0"/>
    <x v="28"/>
    <n v="480"/>
    <n v="4800"/>
    <n v="2400"/>
    <n v="2400"/>
    <n v="0.5"/>
    <n v="0"/>
    <n v="0"/>
    <n v="5"/>
    <n v="4800"/>
  </r>
  <r>
    <s v="S0552"/>
    <d v="2024-05-03T00:00:00"/>
    <x v="17"/>
    <n v="5"/>
    <x v="4"/>
    <s v="P004"/>
    <x v="0"/>
    <n v="5"/>
    <n v="2376"/>
    <n v="10"/>
    <x v="5"/>
    <n v="1200"/>
    <n v="11880"/>
    <n v="6000"/>
    <n v="5880"/>
    <n v="0.49494949494949497"/>
    <n v="0"/>
    <n v="0"/>
    <n v="5"/>
    <n v="11880"/>
  </r>
  <r>
    <s v="S0534"/>
    <d v="2024-05-04T00:00:00"/>
    <x v="17"/>
    <n v="5"/>
    <x v="4"/>
    <s v="P019"/>
    <x v="4"/>
    <n v="2"/>
    <n v="4500"/>
    <n v="0"/>
    <x v="14"/>
    <n v="1800"/>
    <n v="9000"/>
    <n v="3600"/>
    <n v="5400"/>
    <n v="0.6"/>
    <n v="1"/>
    <n v="1"/>
    <n v="1"/>
    <n v="4500"/>
  </r>
  <r>
    <s v="S0544"/>
    <d v="2024-05-04T00:00:00"/>
    <x v="17"/>
    <n v="5"/>
    <x v="4"/>
    <s v="P020"/>
    <x v="4"/>
    <n v="2"/>
    <n v="1500"/>
    <n v="0"/>
    <x v="8"/>
    <n v="600"/>
    <n v="3000"/>
    <n v="1200"/>
    <n v="1800"/>
    <n v="0.6"/>
    <n v="0"/>
    <n v="0"/>
    <n v="2"/>
    <n v="3000"/>
  </r>
  <r>
    <s v="S0453"/>
    <d v="2024-05-04T00:00:00"/>
    <x v="17"/>
    <n v="5"/>
    <x v="4"/>
    <s v="P028"/>
    <x v="5"/>
    <n v="2"/>
    <n v="540"/>
    <n v="10"/>
    <x v="26"/>
    <n v="300"/>
    <n v="1080"/>
    <n v="600"/>
    <n v="480"/>
    <n v="0.44444444444444398"/>
    <n v="0"/>
    <n v="0"/>
    <n v="2"/>
    <n v="1080"/>
  </r>
  <r>
    <s v="S0558"/>
    <d v="2024-05-04T00:00:00"/>
    <x v="17"/>
    <n v="5"/>
    <x v="4"/>
    <s v="P027"/>
    <x v="5"/>
    <n v="5"/>
    <n v="864"/>
    <n v="10"/>
    <x v="28"/>
    <n v="480"/>
    <n v="4320"/>
    <n v="2400"/>
    <n v="1920"/>
    <n v="0.44444444444444398"/>
    <n v="0"/>
    <n v="0"/>
    <n v="5"/>
    <n v="4320"/>
  </r>
  <r>
    <s v="S0570"/>
    <d v="2024-05-04T00:00:00"/>
    <x v="17"/>
    <n v="5"/>
    <x v="4"/>
    <s v="P015"/>
    <x v="2"/>
    <n v="4"/>
    <n v="630"/>
    <n v="0"/>
    <x v="24"/>
    <n v="350"/>
    <n v="2520"/>
    <n v="1400"/>
    <n v="1120"/>
    <n v="0.44444444444444398"/>
    <n v="0"/>
    <n v="0"/>
    <n v="4"/>
    <n v="2520"/>
  </r>
  <r>
    <s v="S0550"/>
    <d v="2024-05-04T00:00:00"/>
    <x v="17"/>
    <n v="5"/>
    <x v="4"/>
    <s v="P003"/>
    <x v="0"/>
    <n v="4"/>
    <n v="400"/>
    <n v="0"/>
    <x v="17"/>
    <n v="180"/>
    <n v="1600"/>
    <n v="720"/>
    <n v="880"/>
    <n v="0.55000000000000004"/>
    <n v="0"/>
    <n v="0"/>
    <n v="4"/>
    <n v="1600"/>
  </r>
  <r>
    <s v="S0474"/>
    <d v="2024-05-04T00:00:00"/>
    <x v="17"/>
    <n v="5"/>
    <x v="4"/>
    <s v="P020"/>
    <x v="4"/>
    <n v="5"/>
    <n v="1425"/>
    <n v="5"/>
    <x v="8"/>
    <n v="600"/>
    <n v="7125"/>
    <n v="3000"/>
    <n v="4125"/>
    <n v="0.57894736842105299"/>
    <n v="0"/>
    <n v="0"/>
    <n v="5"/>
    <n v="7125"/>
  </r>
  <r>
    <s v="S0555"/>
    <d v="2024-05-05T00:00:00"/>
    <x v="17"/>
    <n v="5"/>
    <x v="4"/>
    <s v="P030"/>
    <x v="5"/>
    <n v="1"/>
    <n v="630"/>
    <n v="10"/>
    <x v="29"/>
    <n v="350"/>
    <n v="630"/>
    <n v="350"/>
    <n v="280"/>
    <n v="0.44444444444444398"/>
    <n v="0"/>
    <n v="0"/>
    <n v="1"/>
    <n v="630"/>
  </r>
  <r>
    <s v="S0539"/>
    <d v="2024-05-05T00:00:00"/>
    <x v="17"/>
    <n v="5"/>
    <x v="4"/>
    <s v="P016"/>
    <x v="2"/>
    <n v="2"/>
    <n v="2340"/>
    <n v="0"/>
    <x v="13"/>
    <n v="1300"/>
    <n v="4680"/>
    <n v="2600"/>
    <n v="2080"/>
    <n v="0.44444444444444398"/>
    <n v="0"/>
    <n v="0"/>
    <n v="2"/>
    <n v="4680"/>
  </r>
  <r>
    <s v="S0495"/>
    <d v="2024-05-06T00:00:00"/>
    <x v="18"/>
    <n v="5"/>
    <x v="4"/>
    <s v="P013"/>
    <x v="2"/>
    <n v="2"/>
    <n v="1881"/>
    <n v="5"/>
    <x v="21"/>
    <n v="1100"/>
    <n v="3762"/>
    <n v="2200"/>
    <n v="1562"/>
    <n v="0.41520467836257302"/>
    <n v="0"/>
    <n v="0"/>
    <n v="2"/>
    <n v="3762"/>
  </r>
  <r>
    <s v="S0576"/>
    <d v="2024-05-06T00:00:00"/>
    <x v="18"/>
    <n v="5"/>
    <x v="4"/>
    <s v="P017"/>
    <x v="4"/>
    <n v="2"/>
    <n v="500"/>
    <n v="0"/>
    <x v="15"/>
    <n v="200"/>
    <n v="1000"/>
    <n v="400"/>
    <n v="600"/>
    <n v="0.6"/>
    <n v="0"/>
    <n v="0"/>
    <n v="2"/>
    <n v="1000"/>
  </r>
  <r>
    <s v="S0548"/>
    <d v="2024-05-06T00:00:00"/>
    <x v="18"/>
    <n v="5"/>
    <x v="4"/>
    <s v="P019"/>
    <x v="4"/>
    <n v="1"/>
    <n v="4500"/>
    <n v="0"/>
    <x v="14"/>
    <n v="1800"/>
    <n v="4500"/>
    <n v="1800"/>
    <n v="2700"/>
    <n v="0.6"/>
    <n v="0"/>
    <n v="0"/>
    <n v="1"/>
    <n v="4500"/>
  </r>
  <r>
    <s v="S0528"/>
    <d v="2024-05-06T00:00:00"/>
    <x v="18"/>
    <n v="5"/>
    <x v="4"/>
    <s v="P006"/>
    <x v="0"/>
    <n v="5"/>
    <n v="480"/>
    <n v="0"/>
    <x v="0"/>
    <n v="220"/>
    <n v="2400"/>
    <n v="1100"/>
    <n v="1300"/>
    <n v="0.54166666666666696"/>
    <n v="0"/>
    <n v="0"/>
    <n v="5"/>
    <n v="2400"/>
  </r>
  <r>
    <s v="S0496"/>
    <d v="2024-05-07T00:00:00"/>
    <x v="18"/>
    <n v="5"/>
    <x v="4"/>
    <s v="P001"/>
    <x v="0"/>
    <n v="1"/>
    <n v="770"/>
    <n v="0"/>
    <x v="23"/>
    <n v="350"/>
    <n v="770"/>
    <n v="350"/>
    <n v="420"/>
    <n v="0.54545454545454497"/>
    <n v="0"/>
    <n v="0"/>
    <n v="1"/>
    <n v="770"/>
  </r>
  <r>
    <s v="S0529"/>
    <d v="2024-05-07T00:00:00"/>
    <x v="18"/>
    <n v="5"/>
    <x v="4"/>
    <s v="P028"/>
    <x v="5"/>
    <n v="5"/>
    <n v="510"/>
    <n v="15"/>
    <x v="26"/>
    <n v="300"/>
    <n v="2550"/>
    <n v="1500"/>
    <n v="1050"/>
    <n v="0.41176470588235298"/>
    <n v="0"/>
    <n v="0"/>
    <n v="5"/>
    <n v="2550"/>
  </r>
  <r>
    <s v="S0458"/>
    <d v="2024-05-07T00:00:00"/>
    <x v="18"/>
    <n v="5"/>
    <x v="4"/>
    <s v="P015"/>
    <x v="2"/>
    <n v="3"/>
    <n v="630"/>
    <n v="0"/>
    <x v="24"/>
    <n v="350"/>
    <n v="1890"/>
    <n v="1050"/>
    <n v="840"/>
    <n v="0.44444444444444398"/>
    <n v="0"/>
    <n v="0"/>
    <n v="3"/>
    <n v="1890"/>
  </r>
  <r>
    <s v="S0574"/>
    <d v="2024-05-08T00:00:00"/>
    <x v="18"/>
    <n v="5"/>
    <x v="4"/>
    <s v="P018"/>
    <x v="4"/>
    <n v="5"/>
    <n v="380"/>
    <n v="0"/>
    <x v="16"/>
    <n v="150"/>
    <n v="1900"/>
    <n v="750"/>
    <n v="1150"/>
    <n v="0.60526315789473695"/>
    <n v="0"/>
    <n v="0"/>
    <n v="5"/>
    <n v="1900"/>
  </r>
  <r>
    <s v="S0490"/>
    <d v="2024-05-08T00:00:00"/>
    <x v="18"/>
    <n v="5"/>
    <x v="4"/>
    <s v="P029"/>
    <x v="5"/>
    <n v="4"/>
    <n v="380"/>
    <n v="5"/>
    <x v="27"/>
    <n v="200"/>
    <n v="1520"/>
    <n v="800"/>
    <n v="720"/>
    <n v="0.47368421052631599"/>
    <n v="0"/>
    <n v="0"/>
    <n v="4"/>
    <n v="1520"/>
  </r>
  <r>
    <s v="S0461"/>
    <d v="2024-05-08T00:00:00"/>
    <x v="18"/>
    <n v="5"/>
    <x v="4"/>
    <s v="P016"/>
    <x v="2"/>
    <n v="5"/>
    <n v="2340"/>
    <n v="0"/>
    <x v="13"/>
    <n v="1300"/>
    <n v="11700"/>
    <n v="6500"/>
    <n v="5200"/>
    <n v="0.44444444444444398"/>
    <n v="4"/>
    <n v="4"/>
    <n v="1"/>
    <n v="2340"/>
  </r>
  <r>
    <s v="S0512"/>
    <d v="2024-05-08T00:00:00"/>
    <x v="18"/>
    <n v="5"/>
    <x v="4"/>
    <s v="P009"/>
    <x v="3"/>
    <n v="2"/>
    <n v="570"/>
    <n v="5"/>
    <x v="7"/>
    <n v="300"/>
    <n v="1140"/>
    <n v="600"/>
    <n v="540"/>
    <n v="0.47368421052631599"/>
    <n v="0"/>
    <n v="0"/>
    <n v="2"/>
    <n v="1140"/>
  </r>
  <r>
    <s v="S0562"/>
    <d v="2024-05-08T00:00:00"/>
    <x v="18"/>
    <n v="5"/>
    <x v="4"/>
    <s v="P002"/>
    <x v="0"/>
    <n v="2"/>
    <n v="792"/>
    <n v="10"/>
    <x v="2"/>
    <n v="400"/>
    <n v="1584"/>
    <n v="800"/>
    <n v="784"/>
    <n v="0.49494949494949497"/>
    <n v="0"/>
    <n v="0"/>
    <n v="2"/>
    <n v="1584"/>
  </r>
  <r>
    <s v="S0523"/>
    <d v="2024-05-08T00:00:00"/>
    <x v="18"/>
    <n v="5"/>
    <x v="4"/>
    <s v="P007"/>
    <x v="3"/>
    <n v="2"/>
    <n v="1200"/>
    <n v="0"/>
    <x v="22"/>
    <n v="600"/>
    <n v="2400"/>
    <n v="1200"/>
    <n v="1200"/>
    <n v="0.5"/>
    <n v="0"/>
    <n v="0"/>
    <n v="2"/>
    <n v="2400"/>
  </r>
  <r>
    <s v="S0489"/>
    <d v="2024-05-09T00:00:00"/>
    <x v="18"/>
    <n v="5"/>
    <x v="4"/>
    <s v="P028"/>
    <x v="5"/>
    <n v="3"/>
    <n v="570"/>
    <n v="5"/>
    <x v="26"/>
    <n v="300"/>
    <n v="1710"/>
    <n v="900"/>
    <n v="810"/>
    <n v="0.47368421052631599"/>
    <n v="0"/>
    <n v="0"/>
    <n v="3"/>
    <n v="1710"/>
  </r>
  <r>
    <s v="S0572"/>
    <d v="2024-05-09T00:00:00"/>
    <x v="18"/>
    <n v="5"/>
    <x v="4"/>
    <s v="P017"/>
    <x v="4"/>
    <n v="1"/>
    <n v="425"/>
    <n v="15"/>
    <x v="15"/>
    <n v="200"/>
    <n v="425"/>
    <n v="200"/>
    <n v="225"/>
    <n v="0.52941176470588203"/>
    <n v="0"/>
    <n v="0"/>
    <n v="1"/>
    <n v="425"/>
  </r>
  <r>
    <s v="S0549"/>
    <d v="2024-05-09T00:00:00"/>
    <x v="18"/>
    <n v="5"/>
    <x v="4"/>
    <s v="P008"/>
    <x v="3"/>
    <n v="3"/>
    <n v="950"/>
    <n v="5"/>
    <x v="10"/>
    <n v="500"/>
    <n v="2850"/>
    <n v="1500"/>
    <n v="1350"/>
    <n v="0.47368421052631599"/>
    <n v="0"/>
    <n v="0"/>
    <n v="3"/>
    <n v="2850"/>
  </r>
  <r>
    <s v="S0481"/>
    <d v="2024-05-09T00:00:00"/>
    <x v="18"/>
    <n v="5"/>
    <x v="4"/>
    <s v="P011"/>
    <x v="3"/>
    <n v="3"/>
    <n v="1260"/>
    <n v="10"/>
    <x v="9"/>
    <n v="700"/>
    <n v="3780"/>
    <n v="2100"/>
    <n v="1680"/>
    <n v="0.44444444444444398"/>
    <n v="2"/>
    <n v="2"/>
    <n v="1"/>
    <n v="1260"/>
  </r>
  <r>
    <s v="S0514"/>
    <d v="2024-05-10T00:00:00"/>
    <x v="18"/>
    <n v="5"/>
    <x v="4"/>
    <s v="P005"/>
    <x v="0"/>
    <n v="3"/>
    <n v="3740"/>
    <n v="15"/>
    <x v="25"/>
    <n v="2000"/>
    <n v="11220"/>
    <n v="6000"/>
    <n v="5220"/>
    <n v="0.46524064171122997"/>
    <n v="0"/>
    <n v="0"/>
    <n v="3"/>
    <n v="11220"/>
  </r>
  <r>
    <s v="S0535"/>
    <d v="2024-05-10T00:00:00"/>
    <x v="18"/>
    <n v="5"/>
    <x v="4"/>
    <s v="P003"/>
    <x v="0"/>
    <n v="3"/>
    <n v="400"/>
    <n v="0"/>
    <x v="17"/>
    <n v="180"/>
    <n v="1200"/>
    <n v="540"/>
    <n v="660"/>
    <n v="0.55000000000000004"/>
    <n v="0"/>
    <n v="0"/>
    <n v="3"/>
    <n v="1200"/>
  </r>
  <r>
    <s v="S0537"/>
    <d v="2024-05-10T00:00:00"/>
    <x v="18"/>
    <n v="5"/>
    <x v="4"/>
    <s v="P027"/>
    <x v="5"/>
    <n v="3"/>
    <n v="960"/>
    <n v="0"/>
    <x v="28"/>
    <n v="480"/>
    <n v="2880"/>
    <n v="1440"/>
    <n v="1440"/>
    <n v="0.5"/>
    <n v="0"/>
    <n v="0"/>
    <n v="3"/>
    <n v="2880"/>
  </r>
  <r>
    <s v="S0565"/>
    <d v="2024-05-10T00:00:00"/>
    <x v="18"/>
    <n v="5"/>
    <x v="4"/>
    <s v="P006"/>
    <x v="0"/>
    <n v="5"/>
    <n v="432"/>
    <n v="10"/>
    <x v="0"/>
    <n v="220"/>
    <n v="2160"/>
    <n v="1100"/>
    <n v="1060"/>
    <n v="0.49074074074074098"/>
    <n v="2"/>
    <n v="2"/>
    <n v="3"/>
    <n v="1296"/>
  </r>
  <r>
    <s v="S0522"/>
    <d v="2024-05-10T00:00:00"/>
    <x v="18"/>
    <n v="5"/>
    <x v="4"/>
    <s v="P016"/>
    <x v="2"/>
    <n v="4"/>
    <n v="2340"/>
    <n v="0"/>
    <x v="13"/>
    <n v="1300"/>
    <n v="9360"/>
    <n v="5200"/>
    <n v="4160"/>
    <n v="0.44444444444444398"/>
    <n v="0"/>
    <n v="0"/>
    <n v="4"/>
    <n v="9360"/>
  </r>
  <r>
    <s v="S0581"/>
    <d v="2024-05-10T00:00:00"/>
    <x v="18"/>
    <n v="5"/>
    <x v="4"/>
    <s v="P029"/>
    <x v="5"/>
    <n v="2"/>
    <n v="340"/>
    <n v="15"/>
    <x v="27"/>
    <n v="200"/>
    <n v="680"/>
    <n v="400"/>
    <n v="280"/>
    <n v="0.41176470588235298"/>
    <n v="0"/>
    <n v="0"/>
    <n v="2"/>
    <n v="680"/>
  </r>
  <r>
    <s v="S0582"/>
    <d v="2024-05-10T00:00:00"/>
    <x v="18"/>
    <n v="5"/>
    <x v="4"/>
    <s v="P029"/>
    <x v="5"/>
    <n v="2"/>
    <n v="340"/>
    <n v="15"/>
    <x v="27"/>
    <n v="200"/>
    <n v="680"/>
    <n v="400"/>
    <n v="280"/>
    <n v="0.41176470588235298"/>
    <n v="1"/>
    <n v="1"/>
    <n v="1"/>
    <n v="340"/>
  </r>
  <r>
    <s v="S0471"/>
    <d v="2024-05-11T00:00:00"/>
    <x v="18"/>
    <n v="5"/>
    <x v="4"/>
    <s v="P013"/>
    <x v="2"/>
    <n v="3"/>
    <n v="1980"/>
    <n v="0"/>
    <x v="21"/>
    <n v="1100"/>
    <n v="5940"/>
    <n v="3300"/>
    <n v="2640"/>
    <n v="0.44444444444444398"/>
    <n v="0"/>
    <n v="0"/>
    <n v="3"/>
    <n v="5940"/>
  </r>
  <r>
    <s v="S0498"/>
    <d v="2024-05-11T00:00:00"/>
    <x v="18"/>
    <n v="5"/>
    <x v="4"/>
    <s v="P004"/>
    <x v="0"/>
    <n v="3"/>
    <n v="2640"/>
    <n v="0"/>
    <x v="5"/>
    <n v="1200"/>
    <n v="7920"/>
    <n v="3600"/>
    <n v="4320"/>
    <n v="0.54545454545454497"/>
    <n v="0"/>
    <n v="0"/>
    <n v="3"/>
    <n v="7920"/>
  </r>
  <r>
    <s v="S0493"/>
    <d v="2024-05-11T00:00:00"/>
    <x v="18"/>
    <n v="5"/>
    <x v="4"/>
    <s v="P030"/>
    <x v="5"/>
    <n v="4"/>
    <n v="700"/>
    <n v="0"/>
    <x v="29"/>
    <n v="350"/>
    <n v="2800"/>
    <n v="1400"/>
    <n v="1400"/>
    <n v="0.5"/>
    <n v="0"/>
    <n v="0"/>
    <n v="4"/>
    <n v="2800"/>
  </r>
  <r>
    <s v="S0487"/>
    <d v="2024-05-11T00:00:00"/>
    <x v="18"/>
    <n v="5"/>
    <x v="4"/>
    <s v="P007"/>
    <x v="3"/>
    <n v="3"/>
    <n v="1200"/>
    <n v="0"/>
    <x v="22"/>
    <n v="600"/>
    <n v="3600"/>
    <n v="1800"/>
    <n v="1800"/>
    <n v="0.5"/>
    <n v="2"/>
    <n v="2"/>
    <n v="1"/>
    <n v="1200"/>
  </r>
  <r>
    <s v="S0525"/>
    <d v="2024-05-11T00:00:00"/>
    <x v="18"/>
    <n v="5"/>
    <x v="4"/>
    <s v="P029"/>
    <x v="5"/>
    <n v="3"/>
    <n v="400"/>
    <n v="0"/>
    <x v="27"/>
    <n v="200"/>
    <n v="1200"/>
    <n v="600"/>
    <n v="600"/>
    <n v="0.5"/>
    <n v="0"/>
    <n v="0"/>
    <n v="3"/>
    <n v="1200"/>
  </r>
  <r>
    <s v="S0467"/>
    <d v="2024-05-12T00:00:00"/>
    <x v="18"/>
    <n v="5"/>
    <x v="4"/>
    <s v="P015"/>
    <x v="2"/>
    <n v="4"/>
    <n v="567"/>
    <n v="10"/>
    <x v="24"/>
    <n v="350"/>
    <n v="2268"/>
    <n v="1400"/>
    <n v="868"/>
    <n v="0.38271604938271597"/>
    <n v="0"/>
    <n v="0"/>
    <n v="4"/>
    <n v="2268"/>
  </r>
  <r>
    <s v="S0469"/>
    <d v="2024-05-12T00:00:00"/>
    <x v="18"/>
    <n v="5"/>
    <x v="4"/>
    <s v="P017"/>
    <x v="4"/>
    <n v="1"/>
    <n v="500"/>
    <n v="0"/>
    <x v="15"/>
    <n v="200"/>
    <n v="500"/>
    <n v="200"/>
    <n v="300"/>
    <n v="0.6"/>
    <n v="0"/>
    <n v="0"/>
    <n v="1"/>
    <n v="500"/>
  </r>
  <r>
    <s v="S0520"/>
    <d v="2024-05-12T00:00:00"/>
    <x v="18"/>
    <n v="5"/>
    <x v="4"/>
    <s v="P019"/>
    <x v="4"/>
    <n v="2"/>
    <n v="3825"/>
    <n v="15"/>
    <x v="14"/>
    <n v="1800"/>
    <n v="7650"/>
    <n v="3600"/>
    <n v="4050"/>
    <n v="0.52941176470588203"/>
    <n v="0"/>
    <n v="0"/>
    <n v="2"/>
    <n v="7650"/>
  </r>
  <r>
    <s v="S0536"/>
    <d v="2024-05-12T00:00:00"/>
    <x v="18"/>
    <n v="5"/>
    <x v="4"/>
    <s v="P010"/>
    <x v="3"/>
    <n v="4"/>
    <n v="500"/>
    <n v="0"/>
    <x v="4"/>
    <n v="250"/>
    <n v="2000"/>
    <n v="1000"/>
    <n v="1000"/>
    <n v="0.5"/>
    <n v="0"/>
    <n v="0"/>
    <n v="4"/>
    <n v="2000"/>
  </r>
  <r>
    <s v="S0457"/>
    <d v="2024-05-13T00:00:00"/>
    <x v="19"/>
    <n v="5"/>
    <x v="4"/>
    <s v="P016"/>
    <x v="2"/>
    <n v="3"/>
    <n v="1989"/>
    <n v="15"/>
    <x v="13"/>
    <n v="1300"/>
    <n v="5967"/>
    <n v="3900"/>
    <n v="2067"/>
    <n v="0.34640522875816998"/>
    <n v="0"/>
    <n v="0"/>
    <n v="3"/>
    <n v="5967"/>
  </r>
  <r>
    <s v="S0563"/>
    <d v="2024-05-13T00:00:00"/>
    <x v="19"/>
    <n v="5"/>
    <x v="4"/>
    <s v="P002"/>
    <x v="0"/>
    <n v="2"/>
    <n v="836"/>
    <n v="5"/>
    <x v="2"/>
    <n v="400"/>
    <n v="1672"/>
    <n v="800"/>
    <n v="872"/>
    <n v="0.52153110047846896"/>
    <n v="0"/>
    <n v="0"/>
    <n v="2"/>
    <n v="1672"/>
  </r>
  <r>
    <s v="S0551"/>
    <d v="2024-05-13T00:00:00"/>
    <x v="19"/>
    <n v="5"/>
    <x v="4"/>
    <s v="P027"/>
    <x v="5"/>
    <n v="2"/>
    <n v="912"/>
    <n v="5"/>
    <x v="28"/>
    <n v="480"/>
    <n v="1824"/>
    <n v="960"/>
    <n v="864"/>
    <n v="0.47368421052631599"/>
    <n v="0"/>
    <n v="0"/>
    <n v="2"/>
    <n v="1824"/>
  </r>
  <r>
    <s v="S0468"/>
    <d v="2024-05-14T00:00:00"/>
    <x v="19"/>
    <n v="5"/>
    <x v="4"/>
    <s v="P014"/>
    <x v="2"/>
    <n v="4"/>
    <n v="765"/>
    <n v="15"/>
    <x v="18"/>
    <n v="500"/>
    <n v="3060"/>
    <n v="2000"/>
    <n v="1060"/>
    <n v="0.34640522875816998"/>
    <n v="0"/>
    <n v="0"/>
    <n v="4"/>
    <n v="3060"/>
  </r>
  <r>
    <s v="S0566"/>
    <d v="2024-05-14T00:00:00"/>
    <x v="19"/>
    <n v="5"/>
    <x v="4"/>
    <s v="P015"/>
    <x v="2"/>
    <n v="5"/>
    <n v="630"/>
    <n v="0"/>
    <x v="24"/>
    <n v="350"/>
    <n v="3150"/>
    <n v="1750"/>
    <n v="1400"/>
    <n v="0.44444444444444398"/>
    <n v="0"/>
    <n v="0"/>
    <n v="5"/>
    <n v="3150"/>
  </r>
  <r>
    <s v="S0577"/>
    <d v="2024-05-14T00:00:00"/>
    <x v="19"/>
    <n v="5"/>
    <x v="4"/>
    <s v="P027"/>
    <x v="5"/>
    <n v="4"/>
    <n v="912"/>
    <n v="5"/>
    <x v="28"/>
    <n v="480"/>
    <n v="3648"/>
    <n v="1920"/>
    <n v="1728"/>
    <n v="0.47368421052631599"/>
    <n v="0"/>
    <n v="0"/>
    <n v="4"/>
    <n v="3648"/>
  </r>
  <r>
    <s v="S0518"/>
    <d v="2024-05-14T00:00:00"/>
    <x v="19"/>
    <n v="5"/>
    <x v="4"/>
    <s v="P001"/>
    <x v="0"/>
    <n v="2"/>
    <n v="654.5"/>
    <n v="15"/>
    <x v="23"/>
    <n v="350"/>
    <n v="1309"/>
    <n v="700"/>
    <n v="609"/>
    <n v="0.46524064171122997"/>
    <n v="0"/>
    <n v="0"/>
    <n v="2"/>
    <n v="1309"/>
  </r>
  <r>
    <s v="S0478"/>
    <d v="2024-05-14T00:00:00"/>
    <x v="19"/>
    <n v="5"/>
    <x v="4"/>
    <s v="P017"/>
    <x v="4"/>
    <n v="1"/>
    <n v="500"/>
    <n v="0"/>
    <x v="15"/>
    <n v="200"/>
    <n v="500"/>
    <n v="200"/>
    <n v="300"/>
    <n v="0.6"/>
    <n v="0"/>
    <n v="0"/>
    <n v="1"/>
    <n v="500"/>
  </r>
  <r>
    <s v="S0521"/>
    <d v="2024-05-15T00:00:00"/>
    <x v="19"/>
    <n v="5"/>
    <x v="4"/>
    <s v="P018"/>
    <x v="4"/>
    <n v="1"/>
    <n v="380"/>
    <n v="0"/>
    <x v="16"/>
    <n v="150"/>
    <n v="380"/>
    <n v="150"/>
    <n v="230"/>
    <n v="0.60526315789473695"/>
    <n v="0"/>
    <n v="0"/>
    <n v="1"/>
    <n v="380"/>
  </r>
  <r>
    <s v="S0547"/>
    <d v="2024-05-15T00:00:00"/>
    <x v="19"/>
    <n v="5"/>
    <x v="4"/>
    <s v="P016"/>
    <x v="2"/>
    <n v="3"/>
    <n v="2340"/>
    <n v="0"/>
    <x v="13"/>
    <n v="1300"/>
    <n v="7020"/>
    <n v="3900"/>
    <n v="3120"/>
    <n v="0.44444444444444398"/>
    <n v="0"/>
    <n v="0"/>
    <n v="3"/>
    <n v="7020"/>
  </r>
  <r>
    <s v="S0484"/>
    <d v="2024-05-15T00:00:00"/>
    <x v="19"/>
    <n v="5"/>
    <x v="4"/>
    <s v="P013"/>
    <x v="2"/>
    <n v="4"/>
    <n v="1881"/>
    <n v="5"/>
    <x v="21"/>
    <n v="1100"/>
    <n v="7524"/>
    <n v="4400"/>
    <n v="3124"/>
    <n v="0.41520467836257302"/>
    <n v="0"/>
    <n v="0"/>
    <n v="4"/>
    <n v="7524"/>
  </r>
  <r>
    <s v="S0530"/>
    <d v="2024-05-16T00:00:00"/>
    <x v="19"/>
    <n v="5"/>
    <x v="4"/>
    <s v="P013"/>
    <x v="2"/>
    <n v="2"/>
    <n v="1980"/>
    <n v="0"/>
    <x v="21"/>
    <n v="1100"/>
    <n v="3960"/>
    <n v="2200"/>
    <n v="1760"/>
    <n v="0.44444444444444398"/>
    <n v="0"/>
    <n v="0"/>
    <n v="2"/>
    <n v="3960"/>
  </r>
  <r>
    <s v="S0509"/>
    <d v="2024-05-16T00:00:00"/>
    <x v="19"/>
    <n v="5"/>
    <x v="4"/>
    <s v="P029"/>
    <x v="5"/>
    <n v="3"/>
    <n v="380"/>
    <n v="5"/>
    <x v="27"/>
    <n v="200"/>
    <n v="1140"/>
    <n v="600"/>
    <n v="540"/>
    <n v="0.47368421052631599"/>
    <n v="0"/>
    <n v="0"/>
    <n v="3"/>
    <n v="1140"/>
  </r>
  <r>
    <s v="S0516"/>
    <d v="2024-05-16T00:00:00"/>
    <x v="19"/>
    <n v="5"/>
    <x v="4"/>
    <s v="P017"/>
    <x v="4"/>
    <n v="5"/>
    <n v="450"/>
    <n v="10"/>
    <x v="15"/>
    <n v="200"/>
    <n v="2250"/>
    <n v="1000"/>
    <n v="1250"/>
    <n v="0.55555555555555602"/>
    <n v="0"/>
    <n v="0"/>
    <n v="5"/>
    <n v="2250"/>
  </r>
  <r>
    <s v="S0505"/>
    <d v="2024-05-16T00:00:00"/>
    <x v="19"/>
    <n v="5"/>
    <x v="4"/>
    <s v="P013"/>
    <x v="2"/>
    <n v="1"/>
    <n v="1782"/>
    <n v="10"/>
    <x v="21"/>
    <n v="1100"/>
    <n v="1782"/>
    <n v="1100"/>
    <n v="682"/>
    <n v="0.38271604938271597"/>
    <n v="0"/>
    <n v="0"/>
    <n v="1"/>
    <n v="1782"/>
  </r>
  <r>
    <s v="S0579"/>
    <d v="2024-05-16T00:00:00"/>
    <x v="19"/>
    <n v="5"/>
    <x v="4"/>
    <s v="P017"/>
    <x v="4"/>
    <n v="1"/>
    <n v="500"/>
    <n v="0"/>
    <x v="15"/>
    <n v="200"/>
    <n v="500"/>
    <n v="200"/>
    <n v="300"/>
    <n v="0.6"/>
    <n v="0"/>
    <n v="0"/>
    <n v="1"/>
    <n v="500"/>
  </r>
  <r>
    <s v="S0546"/>
    <d v="2024-05-16T00:00:00"/>
    <x v="19"/>
    <n v="5"/>
    <x v="4"/>
    <s v="P012"/>
    <x v="2"/>
    <n v="1"/>
    <n v="1539"/>
    <n v="5"/>
    <x v="3"/>
    <n v="900"/>
    <n v="1539"/>
    <n v="900"/>
    <n v="639"/>
    <n v="0.41520467836257302"/>
    <n v="0"/>
    <n v="0"/>
    <n v="1"/>
    <n v="1539"/>
  </r>
  <r>
    <s v="S0494"/>
    <d v="2024-05-16T00:00:00"/>
    <x v="19"/>
    <n v="5"/>
    <x v="4"/>
    <s v="P022"/>
    <x v="1"/>
    <n v="5"/>
    <n v="1470"/>
    <n v="0"/>
    <x v="11"/>
    <n v="700"/>
    <n v="7350"/>
    <n v="3500"/>
    <n v="3850"/>
    <n v="0.52380952380952395"/>
    <n v="0"/>
    <n v="0"/>
    <n v="5"/>
    <n v="7350"/>
  </r>
  <r>
    <s v="S0517"/>
    <d v="2024-05-17T00:00:00"/>
    <x v="19"/>
    <n v="5"/>
    <x v="4"/>
    <s v="P027"/>
    <x v="5"/>
    <n v="5"/>
    <n v="960"/>
    <n v="0"/>
    <x v="28"/>
    <n v="480"/>
    <n v="4800"/>
    <n v="2400"/>
    <n v="2400"/>
    <n v="0.5"/>
    <n v="0"/>
    <n v="0"/>
    <n v="5"/>
    <n v="4800"/>
  </r>
  <r>
    <s v="S0502"/>
    <d v="2024-05-17T00:00:00"/>
    <x v="19"/>
    <n v="5"/>
    <x v="4"/>
    <s v="P011"/>
    <x v="3"/>
    <n v="2"/>
    <n v="1400"/>
    <n v="0"/>
    <x v="9"/>
    <n v="700"/>
    <n v="2800"/>
    <n v="1400"/>
    <n v="1400"/>
    <n v="0.5"/>
    <n v="2"/>
    <n v="2"/>
    <n v="0"/>
    <n v="0"/>
  </r>
  <r>
    <s v="S0470"/>
    <d v="2024-05-17T00:00:00"/>
    <x v="19"/>
    <n v="5"/>
    <x v="4"/>
    <s v="P010"/>
    <x v="3"/>
    <n v="5"/>
    <n v="425"/>
    <n v="15"/>
    <x v="4"/>
    <n v="250"/>
    <n v="2125"/>
    <n v="1250"/>
    <n v="875"/>
    <n v="0.41176470588235298"/>
    <n v="0"/>
    <n v="0"/>
    <n v="5"/>
    <n v="2125"/>
  </r>
  <r>
    <s v="S0541"/>
    <d v="2024-05-18T00:00:00"/>
    <x v="19"/>
    <n v="5"/>
    <x v="4"/>
    <s v="P006"/>
    <x v="0"/>
    <n v="4"/>
    <n v="480"/>
    <n v="0"/>
    <x v="0"/>
    <n v="220"/>
    <n v="1920"/>
    <n v="880"/>
    <n v="1040"/>
    <n v="0.54166666666666696"/>
    <n v="0"/>
    <n v="0"/>
    <n v="4"/>
    <n v="1920"/>
  </r>
  <r>
    <s v="S0519"/>
    <d v="2024-05-18T00:00:00"/>
    <x v="19"/>
    <n v="5"/>
    <x v="4"/>
    <s v="P017"/>
    <x v="4"/>
    <n v="2"/>
    <n v="500"/>
    <n v="0"/>
    <x v="15"/>
    <n v="200"/>
    <n v="1000"/>
    <n v="400"/>
    <n v="600"/>
    <n v="0.6"/>
    <n v="0"/>
    <n v="0"/>
    <n v="2"/>
    <n v="1000"/>
  </r>
  <r>
    <s v="S0575"/>
    <d v="2024-05-18T00:00:00"/>
    <x v="19"/>
    <n v="5"/>
    <x v="4"/>
    <s v="P003"/>
    <x v="0"/>
    <n v="5"/>
    <n v="400"/>
    <n v="0"/>
    <x v="17"/>
    <n v="180"/>
    <n v="2000"/>
    <n v="900"/>
    <n v="1100"/>
    <n v="0.55000000000000004"/>
    <n v="0"/>
    <n v="0"/>
    <n v="5"/>
    <n v="2000"/>
  </r>
  <r>
    <s v="S0501"/>
    <d v="2024-05-18T00:00:00"/>
    <x v="19"/>
    <n v="5"/>
    <x v="4"/>
    <s v="P028"/>
    <x v="5"/>
    <n v="4"/>
    <n v="600"/>
    <n v="0"/>
    <x v="26"/>
    <n v="300"/>
    <n v="2400"/>
    <n v="1200"/>
    <n v="1200"/>
    <n v="0.5"/>
    <n v="0"/>
    <n v="0"/>
    <n v="4"/>
    <n v="2400"/>
  </r>
  <r>
    <s v="S0545"/>
    <d v="2024-05-19T00:00:00"/>
    <x v="19"/>
    <n v="5"/>
    <x v="4"/>
    <s v="P004"/>
    <x v="0"/>
    <n v="1"/>
    <n v="2640"/>
    <n v="0"/>
    <x v="5"/>
    <n v="1200"/>
    <n v="2640"/>
    <n v="1200"/>
    <n v="1440"/>
    <n v="0.54545454545454497"/>
    <n v="0"/>
    <n v="0"/>
    <n v="1"/>
    <n v="2640"/>
  </r>
  <r>
    <s v="S0491"/>
    <d v="2024-05-19T00:00:00"/>
    <x v="19"/>
    <n v="5"/>
    <x v="4"/>
    <s v="P008"/>
    <x v="3"/>
    <n v="2"/>
    <n v="900"/>
    <n v="10"/>
    <x v="10"/>
    <n v="500"/>
    <n v="1800"/>
    <n v="1000"/>
    <n v="800"/>
    <n v="0.44444444444444398"/>
    <n v="0"/>
    <n v="0"/>
    <n v="2"/>
    <n v="1800"/>
  </r>
  <r>
    <s v="S0455"/>
    <d v="2024-05-19T00:00:00"/>
    <x v="19"/>
    <n v="5"/>
    <x v="4"/>
    <s v="P017"/>
    <x v="4"/>
    <n v="3"/>
    <n v="425"/>
    <n v="15"/>
    <x v="15"/>
    <n v="200"/>
    <n v="1275"/>
    <n v="600"/>
    <n v="675"/>
    <n v="0.52941176470588203"/>
    <n v="0"/>
    <n v="0"/>
    <n v="3"/>
    <n v="1275"/>
  </r>
  <r>
    <s v="S0459"/>
    <d v="2024-05-19T00:00:00"/>
    <x v="19"/>
    <n v="5"/>
    <x v="4"/>
    <s v="P002"/>
    <x v="0"/>
    <n v="3"/>
    <n v="748"/>
    <n v="15"/>
    <x v="2"/>
    <n v="400"/>
    <n v="2244"/>
    <n v="1200"/>
    <n v="1044"/>
    <n v="0.46524064171122997"/>
    <n v="0"/>
    <n v="0"/>
    <n v="3"/>
    <n v="2244"/>
  </r>
  <r>
    <s v="S0567"/>
    <d v="2024-05-19T00:00:00"/>
    <x v="19"/>
    <n v="5"/>
    <x v="4"/>
    <s v="P027"/>
    <x v="5"/>
    <n v="3"/>
    <n v="864"/>
    <n v="10"/>
    <x v="28"/>
    <n v="480"/>
    <n v="2592"/>
    <n v="1440"/>
    <n v="1152"/>
    <n v="0.44444444444444398"/>
    <n v="0"/>
    <n v="0"/>
    <n v="3"/>
    <n v="2592"/>
  </r>
  <r>
    <s v="S0515"/>
    <d v="2024-05-19T00:00:00"/>
    <x v="19"/>
    <n v="5"/>
    <x v="4"/>
    <s v="P014"/>
    <x v="2"/>
    <n v="2"/>
    <n v="900"/>
    <n v="0"/>
    <x v="18"/>
    <n v="500"/>
    <n v="1800"/>
    <n v="1000"/>
    <n v="800"/>
    <n v="0.44444444444444398"/>
    <n v="0"/>
    <n v="0"/>
    <n v="2"/>
    <n v="1800"/>
  </r>
  <r>
    <s v="S0486"/>
    <d v="2024-05-19T00:00:00"/>
    <x v="19"/>
    <n v="5"/>
    <x v="4"/>
    <s v="P013"/>
    <x v="2"/>
    <n v="1"/>
    <n v="1980"/>
    <n v="0"/>
    <x v="21"/>
    <n v="1100"/>
    <n v="1980"/>
    <n v="1100"/>
    <n v="880"/>
    <n v="0.44444444444444398"/>
    <n v="0"/>
    <n v="0"/>
    <n v="1"/>
    <n v="1980"/>
  </r>
  <r>
    <s v="S0560"/>
    <d v="2024-05-20T00:00:00"/>
    <x v="20"/>
    <n v="5"/>
    <x v="4"/>
    <s v="P029"/>
    <x v="5"/>
    <n v="4"/>
    <n v="360"/>
    <n v="10"/>
    <x v="27"/>
    <n v="200"/>
    <n v="1440"/>
    <n v="800"/>
    <n v="640"/>
    <n v="0.44444444444444398"/>
    <n v="0"/>
    <n v="0"/>
    <n v="4"/>
    <n v="1440"/>
  </r>
  <r>
    <s v="S0464"/>
    <d v="2024-05-20T00:00:00"/>
    <x v="20"/>
    <n v="5"/>
    <x v="4"/>
    <s v="P020"/>
    <x v="4"/>
    <n v="4"/>
    <n v="1500"/>
    <n v="0"/>
    <x v="8"/>
    <n v="600"/>
    <n v="6000"/>
    <n v="2400"/>
    <n v="3600"/>
    <n v="0.6"/>
    <n v="0"/>
    <n v="0"/>
    <n v="4"/>
    <n v="6000"/>
  </r>
  <r>
    <s v="S0533"/>
    <d v="2024-05-20T00:00:00"/>
    <x v="20"/>
    <n v="5"/>
    <x v="4"/>
    <s v="P006"/>
    <x v="0"/>
    <n v="5"/>
    <n v="480"/>
    <n v="0"/>
    <x v="0"/>
    <n v="220"/>
    <n v="2400"/>
    <n v="1100"/>
    <n v="1300"/>
    <n v="0.54166666666666696"/>
    <n v="0"/>
    <n v="0"/>
    <n v="5"/>
    <n v="2400"/>
  </r>
  <r>
    <s v="S0508"/>
    <d v="2024-05-21T00:00:00"/>
    <x v="20"/>
    <n v="5"/>
    <x v="4"/>
    <s v="P028"/>
    <x v="5"/>
    <n v="1"/>
    <n v="510"/>
    <n v="15"/>
    <x v="26"/>
    <n v="300"/>
    <n v="510"/>
    <n v="300"/>
    <n v="210"/>
    <n v="0.41176470588235298"/>
    <n v="0"/>
    <n v="0"/>
    <n v="1"/>
    <n v="510"/>
  </r>
  <r>
    <s v="S0571"/>
    <d v="2024-05-21T00:00:00"/>
    <x v="20"/>
    <n v="5"/>
    <x v="4"/>
    <s v="P029"/>
    <x v="5"/>
    <n v="2"/>
    <n v="400"/>
    <n v="0"/>
    <x v="27"/>
    <n v="200"/>
    <n v="800"/>
    <n v="400"/>
    <n v="400"/>
    <n v="0.5"/>
    <n v="0"/>
    <n v="0"/>
    <n v="2"/>
    <n v="800"/>
  </r>
  <r>
    <s v="S0553"/>
    <d v="2024-05-21T00:00:00"/>
    <x v="20"/>
    <n v="5"/>
    <x v="4"/>
    <s v="P003"/>
    <x v="0"/>
    <n v="3"/>
    <n v="340"/>
    <n v="15"/>
    <x v="17"/>
    <n v="180"/>
    <n v="1020"/>
    <n v="540"/>
    <n v="480"/>
    <n v="0.47058823529411797"/>
    <n v="0"/>
    <n v="0"/>
    <n v="3"/>
    <n v="1020"/>
  </r>
  <r>
    <s v="S0476"/>
    <d v="2024-05-21T00:00:00"/>
    <x v="20"/>
    <n v="5"/>
    <x v="4"/>
    <s v="P003"/>
    <x v="0"/>
    <n v="3"/>
    <n v="380"/>
    <n v="5"/>
    <x v="17"/>
    <n v="180"/>
    <n v="1140"/>
    <n v="540"/>
    <n v="600"/>
    <n v="0.52631578947368396"/>
    <n v="0"/>
    <n v="0"/>
    <n v="3"/>
    <n v="1140"/>
  </r>
  <r>
    <s v="S0543"/>
    <d v="2024-05-21T00:00:00"/>
    <x v="20"/>
    <n v="5"/>
    <x v="4"/>
    <s v="P019"/>
    <x v="4"/>
    <n v="2"/>
    <n v="4275"/>
    <n v="5"/>
    <x v="14"/>
    <n v="1800"/>
    <n v="8550"/>
    <n v="3600"/>
    <n v="4950"/>
    <n v="0.57894736842105299"/>
    <n v="0"/>
    <n v="0"/>
    <n v="2"/>
    <n v="8550"/>
  </r>
  <r>
    <s v="S0492"/>
    <d v="2024-05-22T00:00:00"/>
    <x v="20"/>
    <n v="5"/>
    <x v="4"/>
    <s v="P028"/>
    <x v="5"/>
    <n v="3"/>
    <n v="570"/>
    <n v="5"/>
    <x v="26"/>
    <n v="300"/>
    <n v="1710"/>
    <n v="900"/>
    <n v="810"/>
    <n v="0.47368421052631599"/>
    <n v="2"/>
    <n v="2"/>
    <n v="1"/>
    <n v="570"/>
  </r>
  <r>
    <s v="S0578"/>
    <d v="2024-05-23T00:00:00"/>
    <x v="20"/>
    <n v="5"/>
    <x v="4"/>
    <s v="P019"/>
    <x v="4"/>
    <n v="1"/>
    <n v="4050"/>
    <n v="10"/>
    <x v="14"/>
    <n v="1800"/>
    <n v="4050"/>
    <n v="1800"/>
    <n v="2250"/>
    <n v="0.55555555555555602"/>
    <n v="0"/>
    <n v="0"/>
    <n v="1"/>
    <n v="4050"/>
  </r>
  <r>
    <s v="S0477"/>
    <d v="2024-05-23T00:00:00"/>
    <x v="20"/>
    <n v="5"/>
    <x v="4"/>
    <s v="P015"/>
    <x v="2"/>
    <n v="2"/>
    <n v="630"/>
    <n v="0"/>
    <x v="24"/>
    <n v="350"/>
    <n v="1260"/>
    <n v="700"/>
    <n v="560"/>
    <n v="0.44444444444444398"/>
    <n v="0"/>
    <n v="0"/>
    <n v="2"/>
    <n v="1260"/>
  </r>
  <r>
    <s v="S0462"/>
    <d v="2024-05-23T00:00:00"/>
    <x v="20"/>
    <n v="5"/>
    <x v="4"/>
    <s v="P029"/>
    <x v="5"/>
    <n v="1"/>
    <n v="400"/>
    <n v="0"/>
    <x v="27"/>
    <n v="200"/>
    <n v="400"/>
    <n v="200"/>
    <n v="200"/>
    <n v="0.5"/>
    <n v="0"/>
    <n v="0"/>
    <n v="1"/>
    <n v="400"/>
  </r>
  <r>
    <s v="S0500"/>
    <d v="2024-05-23T00:00:00"/>
    <x v="20"/>
    <n v="5"/>
    <x v="4"/>
    <s v="P027"/>
    <x v="5"/>
    <n v="1"/>
    <n v="960"/>
    <n v="0"/>
    <x v="28"/>
    <n v="480"/>
    <n v="960"/>
    <n v="480"/>
    <n v="480"/>
    <n v="0.5"/>
    <n v="0"/>
    <n v="0"/>
    <n v="1"/>
    <n v="960"/>
  </r>
  <r>
    <s v="S0542"/>
    <d v="2024-05-23T00:00:00"/>
    <x v="20"/>
    <n v="5"/>
    <x v="4"/>
    <s v="P002"/>
    <x v="0"/>
    <n v="3"/>
    <n v="880"/>
    <n v="0"/>
    <x v="2"/>
    <n v="400"/>
    <n v="2640"/>
    <n v="1200"/>
    <n v="1440"/>
    <n v="0.54545454545454497"/>
    <n v="0"/>
    <n v="0"/>
    <n v="3"/>
    <n v="2640"/>
  </r>
  <r>
    <s v="S0513"/>
    <d v="2024-05-23T00:00:00"/>
    <x v="20"/>
    <n v="5"/>
    <x v="4"/>
    <s v="P020"/>
    <x v="4"/>
    <n v="1"/>
    <n v="1500"/>
    <n v="0"/>
    <x v="8"/>
    <n v="600"/>
    <n v="1500"/>
    <n v="600"/>
    <n v="900"/>
    <n v="0.6"/>
    <n v="0"/>
    <n v="0"/>
    <n v="1"/>
    <n v="1500"/>
  </r>
  <r>
    <s v="S0538"/>
    <d v="2024-05-23T00:00:00"/>
    <x v="20"/>
    <n v="5"/>
    <x v="4"/>
    <s v="P030"/>
    <x v="5"/>
    <n v="5"/>
    <n v="630"/>
    <n v="10"/>
    <x v="29"/>
    <n v="350"/>
    <n v="3150"/>
    <n v="1750"/>
    <n v="1400"/>
    <n v="0.44444444444444398"/>
    <n v="0"/>
    <n v="0"/>
    <n v="5"/>
    <n v="3150"/>
  </r>
  <r>
    <s v="S0507"/>
    <d v="2024-05-23T00:00:00"/>
    <x v="20"/>
    <n v="5"/>
    <x v="4"/>
    <s v="P007"/>
    <x v="3"/>
    <n v="2"/>
    <n v="1140"/>
    <n v="5"/>
    <x v="22"/>
    <n v="600"/>
    <n v="2280"/>
    <n v="1200"/>
    <n v="1080"/>
    <n v="0.47368421052631599"/>
    <n v="0"/>
    <n v="0"/>
    <n v="2"/>
    <n v="2280"/>
  </r>
  <r>
    <s v="S0524"/>
    <d v="2024-05-24T00:00:00"/>
    <x v="20"/>
    <n v="5"/>
    <x v="4"/>
    <s v="P005"/>
    <x v="0"/>
    <n v="3"/>
    <n v="4400"/>
    <n v="0"/>
    <x v="25"/>
    <n v="2000"/>
    <n v="13200"/>
    <n v="6000"/>
    <n v="7200"/>
    <n v="0.54545454545454497"/>
    <n v="0"/>
    <n v="0"/>
    <n v="3"/>
    <n v="13200"/>
  </r>
  <r>
    <s v="S0504"/>
    <d v="2024-05-24T00:00:00"/>
    <x v="20"/>
    <n v="5"/>
    <x v="4"/>
    <s v="P028"/>
    <x v="5"/>
    <n v="5"/>
    <n v="570"/>
    <n v="5"/>
    <x v="26"/>
    <n v="300"/>
    <n v="2850"/>
    <n v="1500"/>
    <n v="1350"/>
    <n v="0.47368421052631599"/>
    <n v="0"/>
    <n v="0"/>
    <n v="5"/>
    <n v="2850"/>
  </r>
  <r>
    <s v="S0526"/>
    <d v="2024-05-24T00:00:00"/>
    <x v="20"/>
    <n v="5"/>
    <x v="4"/>
    <s v="P019"/>
    <x v="4"/>
    <n v="4"/>
    <n v="4050"/>
    <n v="10"/>
    <x v="14"/>
    <n v="1800"/>
    <n v="16200"/>
    <n v="7200"/>
    <n v="9000"/>
    <n v="0.55555555555555602"/>
    <n v="1"/>
    <n v="1"/>
    <n v="3"/>
    <n v="12150"/>
  </r>
  <r>
    <s v="S0479"/>
    <d v="2024-05-24T00:00:00"/>
    <x v="20"/>
    <n v="5"/>
    <x v="4"/>
    <s v="P013"/>
    <x v="2"/>
    <n v="3"/>
    <n v="1782"/>
    <n v="10"/>
    <x v="21"/>
    <n v="1100"/>
    <n v="5346"/>
    <n v="3300"/>
    <n v="2046"/>
    <n v="0.38271604938271597"/>
    <n v="0"/>
    <n v="0"/>
    <n v="3"/>
    <n v="5346"/>
  </r>
  <r>
    <s v="S0531"/>
    <d v="2024-05-24T00:00:00"/>
    <x v="20"/>
    <n v="5"/>
    <x v="4"/>
    <s v="P014"/>
    <x v="2"/>
    <n v="2"/>
    <n v="810"/>
    <n v="10"/>
    <x v="18"/>
    <n v="500"/>
    <n v="1620"/>
    <n v="1000"/>
    <n v="620"/>
    <n v="0.38271604938271597"/>
    <n v="0"/>
    <n v="0"/>
    <n v="2"/>
    <n v="1620"/>
  </r>
  <r>
    <s v="S0506"/>
    <d v="2024-05-25T00:00:00"/>
    <x v="20"/>
    <n v="5"/>
    <x v="4"/>
    <s v="P014"/>
    <x v="2"/>
    <n v="4"/>
    <n v="900"/>
    <n v="0"/>
    <x v="18"/>
    <n v="500"/>
    <n v="3600"/>
    <n v="2000"/>
    <n v="1600"/>
    <n v="0.44444444444444398"/>
    <n v="0"/>
    <n v="0"/>
    <n v="4"/>
    <n v="3600"/>
  </r>
  <r>
    <s v="S0483"/>
    <d v="2024-05-25T00:00:00"/>
    <x v="20"/>
    <n v="5"/>
    <x v="4"/>
    <s v="P029"/>
    <x v="5"/>
    <n v="2"/>
    <n v="380"/>
    <n v="5"/>
    <x v="27"/>
    <n v="200"/>
    <n v="760"/>
    <n v="400"/>
    <n v="360"/>
    <n v="0.47368421052631599"/>
    <n v="0"/>
    <n v="0"/>
    <n v="2"/>
    <n v="760"/>
  </r>
  <r>
    <s v="S0559"/>
    <d v="2024-05-25T00:00:00"/>
    <x v="20"/>
    <n v="5"/>
    <x v="4"/>
    <s v="P027"/>
    <x v="5"/>
    <n v="1"/>
    <n v="912"/>
    <n v="5"/>
    <x v="28"/>
    <n v="480"/>
    <n v="912"/>
    <n v="480"/>
    <n v="432"/>
    <n v="0.47368421052631599"/>
    <n v="0"/>
    <n v="0"/>
    <n v="1"/>
    <n v="912"/>
  </r>
  <r>
    <s v="S0532"/>
    <d v="2024-05-25T00:00:00"/>
    <x v="20"/>
    <n v="5"/>
    <x v="4"/>
    <s v="P006"/>
    <x v="0"/>
    <n v="3"/>
    <n v="432"/>
    <n v="10"/>
    <x v="0"/>
    <n v="220"/>
    <n v="1296"/>
    <n v="660"/>
    <n v="636"/>
    <n v="0.49074074074074098"/>
    <n v="1"/>
    <n v="1"/>
    <n v="2"/>
    <n v="864"/>
  </r>
  <r>
    <s v="S0510"/>
    <d v="2024-05-26T00:00:00"/>
    <x v="20"/>
    <n v="5"/>
    <x v="4"/>
    <s v="P029"/>
    <x v="5"/>
    <n v="1"/>
    <n v="400"/>
    <n v="0"/>
    <x v="27"/>
    <n v="200"/>
    <n v="400"/>
    <n v="200"/>
    <n v="200"/>
    <n v="0.5"/>
    <n v="0"/>
    <n v="0"/>
    <n v="1"/>
    <n v="400"/>
  </r>
  <r>
    <s v="S0497"/>
    <d v="2024-05-26T00:00:00"/>
    <x v="20"/>
    <n v="5"/>
    <x v="4"/>
    <s v="P007"/>
    <x v="3"/>
    <n v="3"/>
    <n v="1200"/>
    <n v="0"/>
    <x v="22"/>
    <n v="600"/>
    <n v="3600"/>
    <n v="1800"/>
    <n v="1800"/>
    <n v="0.5"/>
    <n v="0"/>
    <n v="0"/>
    <n v="3"/>
    <n v="3600"/>
  </r>
  <r>
    <s v="S0466"/>
    <d v="2024-05-26T00:00:00"/>
    <x v="20"/>
    <n v="5"/>
    <x v="4"/>
    <s v="P006"/>
    <x v="0"/>
    <n v="4"/>
    <n v="480"/>
    <n v="0"/>
    <x v="0"/>
    <n v="220"/>
    <n v="1920"/>
    <n v="880"/>
    <n v="1040"/>
    <n v="0.54166666666666696"/>
    <n v="0"/>
    <n v="0"/>
    <n v="4"/>
    <n v="1920"/>
  </r>
  <r>
    <s v="S0465"/>
    <d v="2024-05-26T00:00:00"/>
    <x v="20"/>
    <n v="5"/>
    <x v="4"/>
    <s v="P007"/>
    <x v="3"/>
    <n v="1"/>
    <n v="1080"/>
    <n v="10"/>
    <x v="22"/>
    <n v="600"/>
    <n v="1080"/>
    <n v="600"/>
    <n v="480"/>
    <n v="0.44444444444444398"/>
    <n v="0"/>
    <n v="0"/>
    <n v="1"/>
    <n v="1080"/>
  </r>
  <r>
    <s v="S0561"/>
    <d v="2024-05-26T00:00:00"/>
    <x v="20"/>
    <n v="5"/>
    <x v="4"/>
    <s v="P007"/>
    <x v="3"/>
    <n v="2"/>
    <n v="1080"/>
    <n v="10"/>
    <x v="22"/>
    <n v="600"/>
    <n v="2160"/>
    <n v="1200"/>
    <n v="960"/>
    <n v="0.44444444444444398"/>
    <n v="0"/>
    <n v="0"/>
    <n v="2"/>
    <n v="2160"/>
  </r>
  <r>
    <s v="S0482"/>
    <d v="2024-05-26T00:00:00"/>
    <x v="20"/>
    <n v="5"/>
    <x v="4"/>
    <s v="P012"/>
    <x v="2"/>
    <n v="2"/>
    <n v="1458"/>
    <n v="10"/>
    <x v="3"/>
    <n v="900"/>
    <n v="2916"/>
    <n v="1800"/>
    <n v="1116"/>
    <n v="0.38271604938271597"/>
    <n v="0"/>
    <n v="0"/>
    <n v="2"/>
    <n v="2916"/>
  </r>
  <r>
    <s v="S0460"/>
    <d v="2024-05-27T00:00:00"/>
    <x v="21"/>
    <n v="5"/>
    <x v="4"/>
    <s v="P005"/>
    <x v="0"/>
    <n v="1"/>
    <n v="3740"/>
    <n v="15"/>
    <x v="25"/>
    <n v="2000"/>
    <n v="3740"/>
    <n v="2000"/>
    <n v="1740"/>
    <n v="0.46524064171122997"/>
    <n v="0"/>
    <n v="0"/>
    <n v="1"/>
    <n v="3740"/>
  </r>
  <r>
    <s v="S0488"/>
    <d v="2024-05-27T00:00:00"/>
    <x v="21"/>
    <n v="5"/>
    <x v="4"/>
    <s v="P016"/>
    <x v="2"/>
    <n v="1"/>
    <n v="2340"/>
    <n v="0"/>
    <x v="13"/>
    <n v="1300"/>
    <n v="2340"/>
    <n v="1300"/>
    <n v="1040"/>
    <n v="0.44444444444444398"/>
    <n v="0"/>
    <n v="0"/>
    <n v="1"/>
    <n v="2340"/>
  </r>
  <r>
    <s v="S0485"/>
    <d v="2024-05-27T00:00:00"/>
    <x v="21"/>
    <n v="5"/>
    <x v="4"/>
    <s v="P028"/>
    <x v="5"/>
    <n v="5"/>
    <n v="510"/>
    <n v="15"/>
    <x v="26"/>
    <n v="300"/>
    <n v="2550"/>
    <n v="1500"/>
    <n v="1050"/>
    <n v="0.41176470588235298"/>
    <n v="0"/>
    <n v="0"/>
    <n v="5"/>
    <n v="2550"/>
  </r>
  <r>
    <s v="S0473"/>
    <d v="2024-05-27T00:00:00"/>
    <x v="21"/>
    <n v="5"/>
    <x v="4"/>
    <s v="P012"/>
    <x v="2"/>
    <n v="5"/>
    <n v="1539"/>
    <n v="5"/>
    <x v="3"/>
    <n v="900"/>
    <n v="7695"/>
    <n v="4500"/>
    <n v="3195"/>
    <n v="0.41520467836257302"/>
    <n v="0"/>
    <n v="0"/>
    <n v="5"/>
    <n v="7695"/>
  </r>
  <r>
    <s v="S0463"/>
    <d v="2024-05-28T00:00:00"/>
    <x v="21"/>
    <n v="5"/>
    <x v="4"/>
    <s v="P028"/>
    <x v="5"/>
    <n v="3"/>
    <n v="510"/>
    <n v="15"/>
    <x v="26"/>
    <n v="300"/>
    <n v="1530"/>
    <n v="900"/>
    <n v="630"/>
    <n v="0.41176470588235298"/>
    <n v="0"/>
    <n v="0"/>
    <n v="3"/>
    <n v="1530"/>
  </r>
  <r>
    <s v="S0583"/>
    <d v="2024-05-28T00:00:00"/>
    <x v="21"/>
    <n v="5"/>
    <x v="4"/>
    <s v="P001"/>
    <x v="0"/>
    <n v="2"/>
    <n v="731.5"/>
    <n v="5"/>
    <x v="23"/>
    <n v="350"/>
    <n v="1463"/>
    <n v="700"/>
    <n v="763"/>
    <n v="0.52153110047846896"/>
    <n v="0"/>
    <n v="0"/>
    <n v="2"/>
    <n v="1463"/>
  </r>
  <r>
    <s v="S0472"/>
    <d v="2024-05-28T00:00:00"/>
    <x v="21"/>
    <n v="5"/>
    <x v="4"/>
    <s v="P007"/>
    <x v="3"/>
    <n v="3"/>
    <n v="1140"/>
    <n v="5"/>
    <x v="22"/>
    <n v="600"/>
    <n v="3420"/>
    <n v="1800"/>
    <n v="1620"/>
    <n v="0.47368421052631599"/>
    <n v="0"/>
    <n v="0"/>
    <n v="3"/>
    <n v="3420"/>
  </r>
  <r>
    <s v="S0499"/>
    <d v="2024-05-29T00:00:00"/>
    <x v="21"/>
    <n v="5"/>
    <x v="4"/>
    <s v="P019"/>
    <x v="4"/>
    <n v="4"/>
    <n v="4050"/>
    <n v="10"/>
    <x v="14"/>
    <n v="1800"/>
    <n v="16200"/>
    <n v="7200"/>
    <n v="9000"/>
    <n v="0.55555555555555602"/>
    <n v="0"/>
    <n v="0"/>
    <n v="4"/>
    <n v="16200"/>
  </r>
  <r>
    <s v="S0456"/>
    <d v="2024-05-30T00:00:00"/>
    <x v="21"/>
    <n v="5"/>
    <x v="4"/>
    <s v="P030"/>
    <x v="5"/>
    <n v="2"/>
    <n v="665"/>
    <n v="5"/>
    <x v="29"/>
    <n v="350"/>
    <n v="1330"/>
    <n v="700"/>
    <n v="630"/>
    <n v="0.47368421052631599"/>
    <n v="0"/>
    <n v="0"/>
    <n v="2"/>
    <n v="1330"/>
  </r>
  <r>
    <s v="S0564"/>
    <d v="2024-05-30T00:00:00"/>
    <x v="21"/>
    <n v="5"/>
    <x v="4"/>
    <s v="P019"/>
    <x v="4"/>
    <n v="1"/>
    <n v="4275"/>
    <n v="5"/>
    <x v="14"/>
    <n v="1800"/>
    <n v="4275"/>
    <n v="1800"/>
    <n v="2475"/>
    <n v="0.57894736842105299"/>
    <n v="0"/>
    <n v="0"/>
    <n v="1"/>
    <n v="4275"/>
  </r>
  <r>
    <s v="S0569"/>
    <d v="2024-05-31T00:00:00"/>
    <x v="21"/>
    <n v="5"/>
    <x v="4"/>
    <s v="P014"/>
    <x v="2"/>
    <n v="5"/>
    <n v="765"/>
    <n v="15"/>
    <x v="18"/>
    <n v="500"/>
    <n v="3825"/>
    <n v="2500"/>
    <n v="1325"/>
    <n v="0.34640522875816998"/>
    <n v="0"/>
    <n v="0"/>
    <n v="5"/>
    <n v="3825"/>
  </r>
  <r>
    <s v="S0452"/>
    <d v="2024-05-31T00:00:00"/>
    <x v="21"/>
    <n v="5"/>
    <x v="4"/>
    <s v="P011"/>
    <x v="3"/>
    <n v="4"/>
    <n v="1400"/>
    <n v="0"/>
    <x v="9"/>
    <n v="700"/>
    <n v="5600"/>
    <n v="2800"/>
    <n v="2800"/>
    <n v="0.5"/>
    <n v="0"/>
    <n v="0"/>
    <n v="4"/>
    <n v="5600"/>
  </r>
  <r>
    <s v="S0480"/>
    <d v="2024-05-31T00:00:00"/>
    <x v="21"/>
    <n v="5"/>
    <x v="4"/>
    <s v="P005"/>
    <x v="0"/>
    <n v="1"/>
    <n v="3740"/>
    <n v="15"/>
    <x v="25"/>
    <n v="2000"/>
    <n v="3740"/>
    <n v="2000"/>
    <n v="1740"/>
    <n v="0.46524064171122997"/>
    <n v="0"/>
    <n v="0"/>
    <n v="1"/>
    <n v="3740"/>
  </r>
  <r>
    <s v="S0527"/>
    <d v="2024-05-31T00:00:00"/>
    <x v="21"/>
    <n v="5"/>
    <x v="4"/>
    <s v="P020"/>
    <x v="4"/>
    <n v="5"/>
    <n v="1275"/>
    <n v="15"/>
    <x v="8"/>
    <n v="600"/>
    <n v="6375"/>
    <n v="3000"/>
    <n v="3375"/>
    <n v="0.52941176470588203"/>
    <n v="0"/>
    <n v="0"/>
    <n v="5"/>
    <n v="6375"/>
  </r>
  <r>
    <s v="S0556"/>
    <d v="2024-05-31T00:00:00"/>
    <x v="21"/>
    <n v="5"/>
    <x v="4"/>
    <s v="P006"/>
    <x v="0"/>
    <n v="3"/>
    <n v="480"/>
    <n v="0"/>
    <x v="0"/>
    <n v="220"/>
    <n v="1440"/>
    <n v="660"/>
    <n v="780"/>
    <n v="0.54166666666666696"/>
    <n v="0"/>
    <n v="0"/>
    <n v="3"/>
    <n v="1440"/>
  </r>
  <r>
    <s v="S0475"/>
    <d v="2024-05-31T00:00:00"/>
    <x v="21"/>
    <n v="5"/>
    <x v="4"/>
    <s v="P015"/>
    <x v="2"/>
    <n v="3"/>
    <n v="630"/>
    <n v="0"/>
    <x v="24"/>
    <n v="350"/>
    <n v="1890"/>
    <n v="1050"/>
    <n v="840"/>
    <n v="0.44444444444444398"/>
    <n v="0"/>
    <n v="0"/>
    <n v="3"/>
    <n v="1890"/>
  </r>
  <r>
    <s v="S0650"/>
    <d v="2024-06-01T00:00:00"/>
    <x v="21"/>
    <n v="6"/>
    <x v="5"/>
    <s v="P028"/>
    <x v="5"/>
    <n v="5"/>
    <n v="510"/>
    <n v="15"/>
    <x v="26"/>
    <n v="300"/>
    <n v="2550"/>
    <n v="1500"/>
    <n v="1050"/>
    <n v="0.41176470588235298"/>
    <n v="0"/>
    <n v="0"/>
    <n v="5"/>
    <n v="2550"/>
  </r>
  <r>
    <s v="S0654"/>
    <d v="2024-06-01T00:00:00"/>
    <x v="21"/>
    <n v="6"/>
    <x v="5"/>
    <s v="P004"/>
    <x v="0"/>
    <n v="2"/>
    <n v="2376"/>
    <n v="10"/>
    <x v="5"/>
    <n v="1200"/>
    <n v="4752"/>
    <n v="2400"/>
    <n v="2352"/>
    <n v="0.49494949494949497"/>
    <n v="0"/>
    <n v="0"/>
    <n v="2"/>
    <n v="4752"/>
  </r>
  <r>
    <s v="S0609"/>
    <d v="2024-06-01T00:00:00"/>
    <x v="21"/>
    <n v="6"/>
    <x v="5"/>
    <s v="P007"/>
    <x v="3"/>
    <n v="1"/>
    <n v="1200"/>
    <n v="0"/>
    <x v="22"/>
    <n v="600"/>
    <n v="1200"/>
    <n v="600"/>
    <n v="600"/>
    <n v="0.5"/>
    <n v="0"/>
    <n v="0"/>
    <n v="1"/>
    <n v="1200"/>
  </r>
  <r>
    <s v="S0699"/>
    <d v="2024-06-01T00:00:00"/>
    <x v="21"/>
    <n v="6"/>
    <x v="5"/>
    <s v="P001"/>
    <x v="0"/>
    <n v="1"/>
    <n v="654.5"/>
    <n v="15"/>
    <x v="23"/>
    <n v="350"/>
    <n v="654.5"/>
    <n v="350"/>
    <n v="304.5"/>
    <n v="0.46524064171122997"/>
    <n v="0"/>
    <n v="0"/>
    <n v="1"/>
    <n v="654.5"/>
  </r>
  <r>
    <s v="S0687"/>
    <d v="2024-06-02T00:00:00"/>
    <x v="21"/>
    <n v="6"/>
    <x v="5"/>
    <s v="P029"/>
    <x v="5"/>
    <n v="2"/>
    <n v="400"/>
    <n v="0"/>
    <x v="27"/>
    <n v="200"/>
    <n v="800"/>
    <n v="400"/>
    <n v="400"/>
    <n v="0.5"/>
    <n v="0"/>
    <n v="0"/>
    <n v="2"/>
    <n v="800"/>
  </r>
  <r>
    <s v="S0632"/>
    <d v="2024-06-02T00:00:00"/>
    <x v="21"/>
    <n v="6"/>
    <x v="5"/>
    <s v="P029"/>
    <x v="5"/>
    <n v="5"/>
    <n v="380"/>
    <n v="5"/>
    <x v="27"/>
    <n v="200"/>
    <n v="1900"/>
    <n v="1000"/>
    <n v="900"/>
    <n v="0.47368421052631599"/>
    <n v="0"/>
    <n v="0"/>
    <n v="5"/>
    <n v="1900"/>
  </r>
  <r>
    <s v="S0606"/>
    <d v="2024-06-02T00:00:00"/>
    <x v="21"/>
    <n v="6"/>
    <x v="5"/>
    <s v="P028"/>
    <x v="5"/>
    <n v="5"/>
    <n v="570"/>
    <n v="5"/>
    <x v="26"/>
    <n v="300"/>
    <n v="2850"/>
    <n v="1500"/>
    <n v="1350"/>
    <n v="0.47368421052631599"/>
    <n v="0"/>
    <n v="0"/>
    <n v="5"/>
    <n v="2850"/>
  </r>
  <r>
    <s v="S0693"/>
    <d v="2024-06-02T00:00:00"/>
    <x v="21"/>
    <n v="6"/>
    <x v="5"/>
    <s v="P003"/>
    <x v="0"/>
    <n v="3"/>
    <n v="400"/>
    <n v="0"/>
    <x v="17"/>
    <n v="180"/>
    <n v="1200"/>
    <n v="540"/>
    <n v="660"/>
    <n v="0.55000000000000004"/>
    <n v="0"/>
    <n v="0"/>
    <n v="3"/>
    <n v="1200"/>
  </r>
  <r>
    <s v="S0640"/>
    <d v="2024-06-02T00:00:00"/>
    <x v="21"/>
    <n v="6"/>
    <x v="5"/>
    <s v="P028"/>
    <x v="5"/>
    <n v="3"/>
    <n v="600"/>
    <n v="0"/>
    <x v="26"/>
    <n v="300"/>
    <n v="1800"/>
    <n v="900"/>
    <n v="900"/>
    <n v="0.5"/>
    <n v="0"/>
    <n v="0"/>
    <n v="3"/>
    <n v="1800"/>
  </r>
  <r>
    <s v="S0594"/>
    <d v="2024-06-03T00:00:00"/>
    <x v="22"/>
    <n v="6"/>
    <x v="5"/>
    <s v="P004"/>
    <x v="0"/>
    <n v="2"/>
    <n v="2640"/>
    <n v="0"/>
    <x v="5"/>
    <n v="1200"/>
    <n v="5280"/>
    <n v="2400"/>
    <n v="2880"/>
    <n v="0.54545454545454497"/>
    <n v="0"/>
    <n v="0"/>
    <n v="2"/>
    <n v="5280"/>
  </r>
  <r>
    <s v="S0633"/>
    <d v="2024-06-03T00:00:00"/>
    <x v="22"/>
    <n v="6"/>
    <x v="5"/>
    <s v="P028"/>
    <x v="5"/>
    <n v="5"/>
    <n v="600"/>
    <n v="0"/>
    <x v="26"/>
    <n v="300"/>
    <n v="3000"/>
    <n v="1500"/>
    <n v="1500"/>
    <n v="0.5"/>
    <n v="0"/>
    <n v="0"/>
    <n v="5"/>
    <n v="3000"/>
  </r>
  <r>
    <s v="S0584"/>
    <d v="2024-06-03T00:00:00"/>
    <x v="22"/>
    <n v="6"/>
    <x v="5"/>
    <s v="P030"/>
    <x v="5"/>
    <n v="3"/>
    <n v="595"/>
    <n v="15"/>
    <x v="29"/>
    <n v="350"/>
    <n v="1785"/>
    <n v="1050"/>
    <n v="735"/>
    <n v="0.41176470588235298"/>
    <n v="0"/>
    <n v="0"/>
    <n v="3"/>
    <n v="1785"/>
  </r>
  <r>
    <s v="S0623"/>
    <d v="2024-06-03T00:00:00"/>
    <x v="22"/>
    <n v="6"/>
    <x v="5"/>
    <s v="P002"/>
    <x v="0"/>
    <n v="2"/>
    <n v="836"/>
    <n v="5"/>
    <x v="2"/>
    <n v="400"/>
    <n v="1672"/>
    <n v="800"/>
    <n v="872"/>
    <n v="0.52153110047846896"/>
    <n v="0"/>
    <n v="0"/>
    <n v="2"/>
    <n v="1672"/>
  </r>
  <r>
    <s v="S0605"/>
    <d v="2024-06-03T00:00:00"/>
    <x v="22"/>
    <n v="6"/>
    <x v="5"/>
    <s v="P002"/>
    <x v="0"/>
    <n v="4"/>
    <n v="792"/>
    <n v="10"/>
    <x v="2"/>
    <n v="400"/>
    <n v="3168"/>
    <n v="1600"/>
    <n v="1568"/>
    <n v="0.49494949494949497"/>
    <n v="0"/>
    <n v="0"/>
    <n v="4"/>
    <n v="3168"/>
  </r>
  <r>
    <s v="S0697"/>
    <d v="2024-06-04T00:00:00"/>
    <x v="22"/>
    <n v="6"/>
    <x v="5"/>
    <s v="P029"/>
    <x v="5"/>
    <n v="2"/>
    <n v="360"/>
    <n v="10"/>
    <x v="27"/>
    <n v="200"/>
    <n v="720"/>
    <n v="400"/>
    <n v="320"/>
    <n v="0.44444444444444398"/>
    <n v="0"/>
    <n v="0"/>
    <n v="2"/>
    <n v="720"/>
  </r>
  <r>
    <s v="S0635"/>
    <d v="2024-06-04T00:00:00"/>
    <x v="22"/>
    <n v="6"/>
    <x v="5"/>
    <s v="P029"/>
    <x v="5"/>
    <n v="3"/>
    <n v="380"/>
    <n v="5"/>
    <x v="27"/>
    <n v="200"/>
    <n v="1140"/>
    <n v="600"/>
    <n v="540"/>
    <n v="0.47368421052631599"/>
    <n v="0"/>
    <n v="0"/>
    <n v="3"/>
    <n v="1140"/>
  </r>
  <r>
    <s v="S0692"/>
    <d v="2024-06-05T00:00:00"/>
    <x v="22"/>
    <n v="6"/>
    <x v="5"/>
    <s v="P006"/>
    <x v="0"/>
    <n v="1"/>
    <n v="456"/>
    <n v="5"/>
    <x v="0"/>
    <n v="220"/>
    <n v="456"/>
    <n v="220"/>
    <n v="236"/>
    <n v="0.51754385964912297"/>
    <n v="0"/>
    <n v="0"/>
    <n v="1"/>
    <n v="456"/>
  </r>
  <r>
    <s v="S0665"/>
    <d v="2024-06-05T00:00:00"/>
    <x v="22"/>
    <n v="6"/>
    <x v="5"/>
    <s v="P003"/>
    <x v="0"/>
    <n v="2"/>
    <n v="380"/>
    <n v="5"/>
    <x v="17"/>
    <n v="180"/>
    <n v="760"/>
    <n v="360"/>
    <n v="400"/>
    <n v="0.52631578947368396"/>
    <n v="0"/>
    <n v="0"/>
    <n v="2"/>
    <n v="760"/>
  </r>
  <r>
    <s v="S0702"/>
    <d v="2024-06-05T00:00:00"/>
    <x v="22"/>
    <n v="6"/>
    <x v="5"/>
    <s v="P005"/>
    <x v="0"/>
    <n v="5"/>
    <n v="4400"/>
    <n v="0"/>
    <x v="25"/>
    <n v="2000"/>
    <n v="22000"/>
    <n v="10000"/>
    <n v="12000"/>
    <n v="0.54545454545454497"/>
    <n v="4"/>
    <n v="4"/>
    <n v="1"/>
    <n v="4400"/>
  </r>
  <r>
    <s v="S0700"/>
    <d v="2024-06-05T00:00:00"/>
    <x v="22"/>
    <n v="6"/>
    <x v="5"/>
    <s v="P019"/>
    <x v="4"/>
    <n v="4"/>
    <n v="4275"/>
    <n v="5"/>
    <x v="14"/>
    <n v="1800"/>
    <n v="17100"/>
    <n v="7200"/>
    <n v="9900"/>
    <n v="0.57894736842105299"/>
    <n v="0"/>
    <n v="0"/>
    <n v="4"/>
    <n v="17100"/>
  </r>
  <r>
    <s v="S0595"/>
    <d v="2024-06-06T00:00:00"/>
    <x v="22"/>
    <n v="6"/>
    <x v="5"/>
    <s v="P009"/>
    <x v="3"/>
    <n v="5"/>
    <n v="600"/>
    <n v="0"/>
    <x v="7"/>
    <n v="300"/>
    <n v="3000"/>
    <n v="1500"/>
    <n v="1500"/>
    <n v="0.5"/>
    <n v="0"/>
    <n v="0"/>
    <n v="5"/>
    <n v="3000"/>
  </r>
  <r>
    <s v="S0620"/>
    <d v="2024-06-06T00:00:00"/>
    <x v="22"/>
    <n v="6"/>
    <x v="5"/>
    <s v="P003"/>
    <x v="0"/>
    <n v="1"/>
    <n v="360"/>
    <n v="10"/>
    <x v="17"/>
    <n v="180"/>
    <n v="360"/>
    <n v="180"/>
    <n v="180"/>
    <n v="0.5"/>
    <n v="0"/>
    <n v="0"/>
    <n v="1"/>
    <n v="360"/>
  </r>
  <r>
    <s v="S0666"/>
    <d v="2024-06-07T00:00:00"/>
    <x v="22"/>
    <n v="6"/>
    <x v="5"/>
    <s v="P015"/>
    <x v="2"/>
    <n v="2"/>
    <n v="567"/>
    <n v="10"/>
    <x v="24"/>
    <n v="350"/>
    <n v="1134"/>
    <n v="700"/>
    <n v="434"/>
    <n v="0.38271604938271597"/>
    <n v="0"/>
    <n v="0"/>
    <n v="2"/>
    <n v="1134"/>
  </r>
  <r>
    <s v="S0645"/>
    <d v="2024-06-07T00:00:00"/>
    <x v="22"/>
    <n v="6"/>
    <x v="5"/>
    <s v="P005"/>
    <x v="0"/>
    <n v="3"/>
    <n v="4400"/>
    <n v="0"/>
    <x v="25"/>
    <n v="2000"/>
    <n v="13200"/>
    <n v="6000"/>
    <n v="7200"/>
    <n v="0.54545454545454497"/>
    <n v="0"/>
    <n v="0"/>
    <n v="3"/>
    <n v="13200"/>
  </r>
  <r>
    <s v="S0686"/>
    <d v="2024-06-08T00:00:00"/>
    <x v="22"/>
    <n v="6"/>
    <x v="5"/>
    <s v="P010"/>
    <x v="3"/>
    <n v="2"/>
    <n v="475"/>
    <n v="5"/>
    <x v="4"/>
    <n v="250"/>
    <n v="950"/>
    <n v="500"/>
    <n v="450"/>
    <n v="0.47368421052631599"/>
    <n v="1"/>
    <n v="1"/>
    <n v="1"/>
    <n v="475"/>
  </r>
  <r>
    <s v="S0610"/>
    <d v="2024-06-08T00:00:00"/>
    <x v="22"/>
    <n v="6"/>
    <x v="5"/>
    <s v="P030"/>
    <x v="5"/>
    <n v="5"/>
    <n v="595"/>
    <n v="15"/>
    <x v="29"/>
    <n v="350"/>
    <n v="2975"/>
    <n v="1750"/>
    <n v="1225"/>
    <n v="0.41176470588235298"/>
    <n v="0"/>
    <n v="0"/>
    <n v="5"/>
    <n v="2975"/>
  </r>
  <r>
    <s v="S0585"/>
    <d v="2024-06-08T00:00:00"/>
    <x v="22"/>
    <n v="6"/>
    <x v="5"/>
    <s v="P029"/>
    <x v="5"/>
    <n v="5"/>
    <n v="400"/>
    <n v="0"/>
    <x v="27"/>
    <n v="200"/>
    <n v="2000"/>
    <n v="1000"/>
    <n v="1000"/>
    <n v="0.5"/>
    <n v="0"/>
    <n v="0"/>
    <n v="5"/>
    <n v="2000"/>
  </r>
  <r>
    <s v="S0656"/>
    <d v="2024-06-08T00:00:00"/>
    <x v="22"/>
    <n v="6"/>
    <x v="5"/>
    <s v="P027"/>
    <x v="5"/>
    <n v="3"/>
    <n v="960"/>
    <n v="0"/>
    <x v="28"/>
    <n v="480"/>
    <n v="2880"/>
    <n v="1440"/>
    <n v="1440"/>
    <n v="0.5"/>
    <n v="3"/>
    <n v="3"/>
    <n v="0"/>
    <n v="0"/>
  </r>
  <r>
    <s v="S0634"/>
    <d v="2024-06-09T00:00:00"/>
    <x v="22"/>
    <n v="6"/>
    <x v="5"/>
    <s v="P015"/>
    <x v="2"/>
    <n v="5"/>
    <n v="630"/>
    <n v="0"/>
    <x v="24"/>
    <n v="350"/>
    <n v="3150"/>
    <n v="1750"/>
    <n v="1400"/>
    <n v="0.44444444444444398"/>
    <n v="0"/>
    <n v="0"/>
    <n v="5"/>
    <n v="3150"/>
  </r>
  <r>
    <s v="S0672"/>
    <d v="2024-06-09T00:00:00"/>
    <x v="22"/>
    <n v="6"/>
    <x v="5"/>
    <s v="P001"/>
    <x v="0"/>
    <n v="3"/>
    <n v="770"/>
    <n v="0"/>
    <x v="23"/>
    <n v="350"/>
    <n v="2310"/>
    <n v="1050"/>
    <n v="1260"/>
    <n v="0.54545454545454497"/>
    <n v="0"/>
    <n v="0"/>
    <n v="3"/>
    <n v="2310"/>
  </r>
  <r>
    <s v="S0670"/>
    <d v="2024-06-09T00:00:00"/>
    <x v="22"/>
    <n v="6"/>
    <x v="5"/>
    <s v="P004"/>
    <x v="0"/>
    <n v="5"/>
    <n v="2508"/>
    <n v="5"/>
    <x v="5"/>
    <n v="1200"/>
    <n v="12540"/>
    <n v="6000"/>
    <n v="6540"/>
    <n v="0.52153110047846896"/>
    <n v="0"/>
    <n v="0"/>
    <n v="5"/>
    <n v="12540"/>
  </r>
  <r>
    <s v="S0630"/>
    <d v="2024-06-10T00:00:00"/>
    <x v="23"/>
    <n v="6"/>
    <x v="5"/>
    <s v="P017"/>
    <x v="4"/>
    <n v="5"/>
    <n v="425"/>
    <n v="15"/>
    <x v="15"/>
    <n v="200"/>
    <n v="2125"/>
    <n v="1000"/>
    <n v="1125"/>
    <n v="0.52941176470588203"/>
    <n v="0"/>
    <n v="0"/>
    <n v="5"/>
    <n v="2125"/>
  </r>
  <r>
    <s v="S0653"/>
    <d v="2024-06-10T00:00:00"/>
    <x v="23"/>
    <n v="6"/>
    <x v="5"/>
    <s v="P030"/>
    <x v="5"/>
    <n v="1"/>
    <n v="630"/>
    <n v="10"/>
    <x v="29"/>
    <n v="350"/>
    <n v="630"/>
    <n v="350"/>
    <n v="280"/>
    <n v="0.44444444444444398"/>
    <n v="0"/>
    <n v="0"/>
    <n v="1"/>
    <n v="630"/>
  </r>
  <r>
    <s v="S0660"/>
    <d v="2024-06-10T00:00:00"/>
    <x v="23"/>
    <n v="6"/>
    <x v="5"/>
    <s v="P006"/>
    <x v="0"/>
    <n v="5"/>
    <n v="432"/>
    <n v="10"/>
    <x v="0"/>
    <n v="220"/>
    <n v="2160"/>
    <n v="1100"/>
    <n v="1060"/>
    <n v="0.49074074074074098"/>
    <n v="0"/>
    <n v="0"/>
    <n v="5"/>
    <n v="2160"/>
  </r>
  <r>
    <s v="S0674"/>
    <d v="2024-06-10T00:00:00"/>
    <x v="23"/>
    <n v="6"/>
    <x v="5"/>
    <s v="P005"/>
    <x v="0"/>
    <n v="2"/>
    <n v="3960"/>
    <n v="10"/>
    <x v="25"/>
    <n v="2000"/>
    <n v="7920"/>
    <n v="4000"/>
    <n v="3920"/>
    <n v="0.49494949494949497"/>
    <n v="0"/>
    <n v="0"/>
    <n v="2"/>
    <n v="7920"/>
  </r>
  <r>
    <s v="S0601"/>
    <d v="2024-06-10T00:00:00"/>
    <x v="23"/>
    <n v="6"/>
    <x v="5"/>
    <s v="P028"/>
    <x v="5"/>
    <n v="3"/>
    <n v="510"/>
    <n v="15"/>
    <x v="26"/>
    <n v="300"/>
    <n v="1530"/>
    <n v="900"/>
    <n v="630"/>
    <n v="0.41176470588235298"/>
    <n v="0"/>
    <n v="0"/>
    <n v="3"/>
    <n v="1530"/>
  </r>
  <r>
    <s v="S0673"/>
    <d v="2024-06-10T00:00:00"/>
    <x v="23"/>
    <n v="6"/>
    <x v="5"/>
    <s v="P008"/>
    <x v="3"/>
    <n v="2"/>
    <n v="850"/>
    <n v="15"/>
    <x v="10"/>
    <n v="500"/>
    <n v="1700"/>
    <n v="1000"/>
    <n v="700"/>
    <n v="0.41176470588235298"/>
    <n v="0"/>
    <n v="0"/>
    <n v="2"/>
    <n v="1700"/>
  </r>
  <r>
    <s v="S0695"/>
    <d v="2024-06-11T00:00:00"/>
    <x v="23"/>
    <n v="6"/>
    <x v="5"/>
    <s v="P001"/>
    <x v="0"/>
    <n v="5"/>
    <n v="770"/>
    <n v="0"/>
    <x v="23"/>
    <n v="350"/>
    <n v="3850"/>
    <n v="1750"/>
    <n v="2100"/>
    <n v="0.54545454545454497"/>
    <n v="0"/>
    <n v="0"/>
    <n v="5"/>
    <n v="3850"/>
  </r>
  <r>
    <s v="S0704"/>
    <d v="2024-06-11T00:00:00"/>
    <x v="23"/>
    <n v="6"/>
    <x v="5"/>
    <s v="P030"/>
    <x v="5"/>
    <n v="1"/>
    <n v="630"/>
    <n v="10"/>
    <x v="29"/>
    <n v="350"/>
    <n v="630"/>
    <n v="350"/>
    <n v="280"/>
    <n v="0.44444444444444398"/>
    <n v="1"/>
    <n v="1"/>
    <n v="0"/>
    <n v="0"/>
  </r>
  <r>
    <s v="S0625"/>
    <d v="2024-06-11T00:00:00"/>
    <x v="23"/>
    <n v="6"/>
    <x v="5"/>
    <s v="P010"/>
    <x v="3"/>
    <n v="1"/>
    <n v="500"/>
    <n v="0"/>
    <x v="4"/>
    <n v="250"/>
    <n v="500"/>
    <n v="250"/>
    <n v="250"/>
    <n v="0.5"/>
    <n v="0"/>
    <n v="0"/>
    <n v="1"/>
    <n v="500"/>
  </r>
  <r>
    <s v="S0679"/>
    <d v="2024-06-11T00:00:00"/>
    <x v="23"/>
    <n v="6"/>
    <x v="5"/>
    <s v="P028"/>
    <x v="5"/>
    <n v="4"/>
    <n v="540"/>
    <n v="10"/>
    <x v="26"/>
    <n v="300"/>
    <n v="2160"/>
    <n v="1200"/>
    <n v="960"/>
    <n v="0.44444444444444398"/>
    <n v="0"/>
    <n v="0"/>
    <n v="4"/>
    <n v="2160"/>
  </r>
  <r>
    <s v="S0628"/>
    <d v="2024-06-11T00:00:00"/>
    <x v="23"/>
    <n v="6"/>
    <x v="5"/>
    <s v="P012"/>
    <x v="2"/>
    <n v="3"/>
    <n v="1539"/>
    <n v="5"/>
    <x v="3"/>
    <n v="900"/>
    <n v="4617"/>
    <n v="2700"/>
    <n v="1917"/>
    <n v="0.41520467836257302"/>
    <n v="0"/>
    <n v="0"/>
    <n v="3"/>
    <n v="4617"/>
  </r>
  <r>
    <s v="S0671"/>
    <d v="2024-06-11T00:00:00"/>
    <x v="23"/>
    <n v="6"/>
    <x v="5"/>
    <s v="P012"/>
    <x v="2"/>
    <n v="5"/>
    <n v="1458"/>
    <n v="10"/>
    <x v="3"/>
    <n v="900"/>
    <n v="7290"/>
    <n v="4500"/>
    <n v="2790"/>
    <n v="0.38271604938271597"/>
    <n v="0"/>
    <n v="0"/>
    <n v="5"/>
    <n v="7290"/>
  </r>
  <r>
    <s v="S0624"/>
    <d v="2024-06-12T00:00:00"/>
    <x v="23"/>
    <n v="6"/>
    <x v="5"/>
    <s v="P029"/>
    <x v="5"/>
    <n v="1"/>
    <n v="380"/>
    <n v="5"/>
    <x v="27"/>
    <n v="200"/>
    <n v="380"/>
    <n v="200"/>
    <n v="180"/>
    <n v="0.47368421052631599"/>
    <n v="0"/>
    <n v="0"/>
    <n v="1"/>
    <n v="380"/>
  </r>
  <r>
    <s v="S0681"/>
    <d v="2024-06-13T00:00:00"/>
    <x v="23"/>
    <n v="6"/>
    <x v="5"/>
    <s v="P029"/>
    <x v="5"/>
    <n v="4"/>
    <n v="380"/>
    <n v="5"/>
    <x v="27"/>
    <n v="200"/>
    <n v="1520"/>
    <n v="800"/>
    <n v="720"/>
    <n v="0.47368421052631599"/>
    <n v="0"/>
    <n v="0"/>
    <n v="4"/>
    <n v="1520"/>
  </r>
  <r>
    <s v="S0690"/>
    <d v="2024-06-13T00:00:00"/>
    <x v="23"/>
    <n v="6"/>
    <x v="5"/>
    <s v="P018"/>
    <x v="4"/>
    <n v="4"/>
    <n v="323"/>
    <n v="15"/>
    <x v="16"/>
    <n v="150"/>
    <n v="1292"/>
    <n v="600"/>
    <n v="692"/>
    <n v="0.53560371517027905"/>
    <n v="0"/>
    <n v="0"/>
    <n v="4"/>
    <n v="1292"/>
  </r>
  <r>
    <s v="S0602"/>
    <d v="2024-06-13T00:00:00"/>
    <x v="23"/>
    <n v="6"/>
    <x v="5"/>
    <s v="P018"/>
    <x v="4"/>
    <n v="3"/>
    <n v="380"/>
    <n v="0"/>
    <x v="16"/>
    <n v="150"/>
    <n v="1140"/>
    <n v="450"/>
    <n v="690"/>
    <n v="0.60526315789473695"/>
    <n v="0"/>
    <n v="0"/>
    <n v="3"/>
    <n v="1140"/>
  </r>
  <r>
    <s v="S0631"/>
    <d v="2024-06-13T00:00:00"/>
    <x v="23"/>
    <n v="6"/>
    <x v="5"/>
    <s v="P007"/>
    <x v="3"/>
    <n v="5"/>
    <n v="1080"/>
    <n v="10"/>
    <x v="22"/>
    <n v="600"/>
    <n v="5400"/>
    <n v="3000"/>
    <n v="2400"/>
    <n v="0.44444444444444398"/>
    <n v="0"/>
    <n v="0"/>
    <n v="5"/>
    <n v="5400"/>
  </r>
  <r>
    <s v="S0621"/>
    <d v="2024-06-14T00:00:00"/>
    <x v="23"/>
    <n v="6"/>
    <x v="5"/>
    <s v="P012"/>
    <x v="2"/>
    <n v="3"/>
    <n v="1377"/>
    <n v="15"/>
    <x v="3"/>
    <n v="900"/>
    <n v="4131"/>
    <n v="2700"/>
    <n v="1431"/>
    <n v="0.34640522875816998"/>
    <n v="0"/>
    <n v="0"/>
    <n v="3"/>
    <n v="4131"/>
  </r>
  <r>
    <s v="S0655"/>
    <d v="2024-06-14T00:00:00"/>
    <x v="23"/>
    <n v="6"/>
    <x v="5"/>
    <s v="P020"/>
    <x v="4"/>
    <n v="5"/>
    <n v="1500"/>
    <n v="0"/>
    <x v="8"/>
    <n v="600"/>
    <n v="7500"/>
    <n v="3000"/>
    <n v="4500"/>
    <n v="0.6"/>
    <n v="0"/>
    <n v="0"/>
    <n v="5"/>
    <n v="7500"/>
  </r>
  <r>
    <s v="S0589"/>
    <d v="2024-06-14T00:00:00"/>
    <x v="23"/>
    <n v="6"/>
    <x v="5"/>
    <s v="P013"/>
    <x v="2"/>
    <n v="5"/>
    <n v="1980"/>
    <n v="0"/>
    <x v="21"/>
    <n v="1100"/>
    <n v="9900"/>
    <n v="5500"/>
    <n v="4400"/>
    <n v="0.44444444444444398"/>
    <n v="0"/>
    <n v="0"/>
    <n v="5"/>
    <n v="9900"/>
  </r>
  <r>
    <s v="S0662"/>
    <d v="2024-06-14T00:00:00"/>
    <x v="23"/>
    <n v="6"/>
    <x v="5"/>
    <s v="P006"/>
    <x v="0"/>
    <n v="4"/>
    <n v="456"/>
    <n v="5"/>
    <x v="0"/>
    <n v="220"/>
    <n v="1824"/>
    <n v="880"/>
    <n v="944"/>
    <n v="0.51754385964912297"/>
    <n v="0"/>
    <n v="0"/>
    <n v="4"/>
    <n v="1824"/>
  </r>
  <r>
    <s v="S0648"/>
    <d v="2024-06-15T00:00:00"/>
    <x v="23"/>
    <n v="6"/>
    <x v="5"/>
    <s v="P004"/>
    <x v="0"/>
    <n v="3"/>
    <n v="2244"/>
    <n v="15"/>
    <x v="5"/>
    <n v="1200"/>
    <n v="6732"/>
    <n v="3600"/>
    <n v="3132"/>
    <n v="0.46524064171122997"/>
    <n v="0"/>
    <n v="0"/>
    <n v="3"/>
    <n v="6732"/>
  </r>
  <r>
    <s v="S0664"/>
    <d v="2024-06-15T00:00:00"/>
    <x v="23"/>
    <n v="6"/>
    <x v="5"/>
    <s v="P006"/>
    <x v="0"/>
    <n v="4"/>
    <n v="432"/>
    <n v="10"/>
    <x v="0"/>
    <n v="220"/>
    <n v="1728"/>
    <n v="880"/>
    <n v="848"/>
    <n v="0.49074074074074098"/>
    <n v="4"/>
    <n v="4"/>
    <n v="0"/>
    <n v="0"/>
  </r>
  <r>
    <s v="S0657"/>
    <d v="2024-06-15T00:00:00"/>
    <x v="23"/>
    <n v="6"/>
    <x v="5"/>
    <s v="P027"/>
    <x v="5"/>
    <n v="2"/>
    <n v="960"/>
    <n v="0"/>
    <x v="28"/>
    <n v="480"/>
    <n v="1920"/>
    <n v="960"/>
    <n v="960"/>
    <n v="0.5"/>
    <n v="0"/>
    <n v="0"/>
    <n v="2"/>
    <n v="1920"/>
  </r>
  <r>
    <s v="S0677"/>
    <d v="2024-06-15T00:00:00"/>
    <x v="23"/>
    <n v="6"/>
    <x v="5"/>
    <s v="P005"/>
    <x v="0"/>
    <n v="5"/>
    <n v="3960"/>
    <n v="10"/>
    <x v="25"/>
    <n v="2000"/>
    <n v="19800"/>
    <n v="10000"/>
    <n v="9800"/>
    <n v="0.49494949494949497"/>
    <n v="0"/>
    <n v="0"/>
    <n v="5"/>
    <n v="19800"/>
  </r>
  <r>
    <s v="S0599"/>
    <d v="2024-06-15T00:00:00"/>
    <x v="23"/>
    <n v="6"/>
    <x v="5"/>
    <s v="P021"/>
    <x v="4"/>
    <n v="4"/>
    <n v="1000"/>
    <n v="0"/>
    <x v="6"/>
    <n v="400"/>
    <n v="4000"/>
    <n v="1600"/>
    <n v="2400"/>
    <n v="0.6"/>
    <n v="0"/>
    <n v="0"/>
    <n v="4"/>
    <n v="4000"/>
  </r>
  <r>
    <s v="S0639"/>
    <d v="2024-06-15T00:00:00"/>
    <x v="23"/>
    <n v="6"/>
    <x v="5"/>
    <s v="P029"/>
    <x v="5"/>
    <n v="4"/>
    <n v="380"/>
    <n v="5"/>
    <x v="27"/>
    <n v="200"/>
    <n v="1520"/>
    <n v="800"/>
    <n v="720"/>
    <n v="0.47368421052631599"/>
    <n v="0"/>
    <n v="0"/>
    <n v="4"/>
    <n v="1520"/>
  </r>
  <r>
    <s v="S0600"/>
    <d v="2024-06-15T00:00:00"/>
    <x v="23"/>
    <n v="6"/>
    <x v="5"/>
    <s v="P030"/>
    <x v="5"/>
    <n v="5"/>
    <n v="595"/>
    <n v="15"/>
    <x v="29"/>
    <n v="350"/>
    <n v="2975"/>
    <n v="1750"/>
    <n v="1225"/>
    <n v="0.41176470588235298"/>
    <n v="0"/>
    <n v="0"/>
    <n v="5"/>
    <n v="2975"/>
  </r>
  <r>
    <s v="S0617"/>
    <d v="2024-06-16T00:00:00"/>
    <x v="23"/>
    <n v="6"/>
    <x v="5"/>
    <s v="P007"/>
    <x v="3"/>
    <n v="5"/>
    <n v="1080"/>
    <n v="10"/>
    <x v="22"/>
    <n v="600"/>
    <n v="5400"/>
    <n v="3000"/>
    <n v="2400"/>
    <n v="0.44444444444444398"/>
    <n v="0"/>
    <n v="0"/>
    <n v="5"/>
    <n v="5400"/>
  </r>
  <r>
    <s v="S0703"/>
    <d v="2024-06-16T00:00:00"/>
    <x v="23"/>
    <n v="6"/>
    <x v="5"/>
    <s v="P009"/>
    <x v="3"/>
    <n v="3"/>
    <n v="600"/>
    <n v="0"/>
    <x v="7"/>
    <n v="300"/>
    <n v="1800"/>
    <n v="900"/>
    <n v="900"/>
    <n v="0.5"/>
    <n v="0"/>
    <n v="0"/>
    <n v="3"/>
    <n v="1800"/>
  </r>
  <r>
    <s v="S0663"/>
    <d v="2024-06-16T00:00:00"/>
    <x v="23"/>
    <n v="6"/>
    <x v="5"/>
    <s v="P003"/>
    <x v="0"/>
    <n v="3"/>
    <n v="400"/>
    <n v="0"/>
    <x v="17"/>
    <n v="180"/>
    <n v="1200"/>
    <n v="540"/>
    <n v="660"/>
    <n v="0.55000000000000004"/>
    <n v="0"/>
    <n v="0"/>
    <n v="3"/>
    <n v="1200"/>
  </r>
  <r>
    <s v="S0676"/>
    <d v="2024-06-16T00:00:00"/>
    <x v="23"/>
    <n v="6"/>
    <x v="5"/>
    <s v="P004"/>
    <x v="0"/>
    <n v="1"/>
    <n v="2640"/>
    <n v="0"/>
    <x v="5"/>
    <n v="1200"/>
    <n v="2640"/>
    <n v="1200"/>
    <n v="1440"/>
    <n v="0.54545454545454497"/>
    <n v="0"/>
    <n v="0"/>
    <n v="1"/>
    <n v="2640"/>
  </r>
  <r>
    <s v="S0604"/>
    <d v="2024-06-16T00:00:00"/>
    <x v="23"/>
    <n v="6"/>
    <x v="5"/>
    <s v="P006"/>
    <x v="0"/>
    <n v="4"/>
    <n v="456"/>
    <n v="5"/>
    <x v="0"/>
    <n v="220"/>
    <n v="1824"/>
    <n v="880"/>
    <n v="944"/>
    <n v="0.51754385964912297"/>
    <n v="0"/>
    <n v="0"/>
    <n v="4"/>
    <n v="1824"/>
  </r>
  <r>
    <s v="S0649"/>
    <d v="2024-06-16T00:00:00"/>
    <x v="23"/>
    <n v="6"/>
    <x v="5"/>
    <s v="P007"/>
    <x v="3"/>
    <n v="2"/>
    <n v="1200"/>
    <n v="0"/>
    <x v="22"/>
    <n v="600"/>
    <n v="2400"/>
    <n v="1200"/>
    <n v="1200"/>
    <n v="0.5"/>
    <n v="0"/>
    <n v="0"/>
    <n v="2"/>
    <n v="2400"/>
  </r>
  <r>
    <s v="S0659"/>
    <d v="2024-06-16T00:00:00"/>
    <x v="23"/>
    <n v="6"/>
    <x v="5"/>
    <s v="P011"/>
    <x v="3"/>
    <n v="4"/>
    <n v="1190"/>
    <n v="15"/>
    <x v="9"/>
    <n v="700"/>
    <n v="4760"/>
    <n v="2800"/>
    <n v="1960"/>
    <n v="0.41176470588235298"/>
    <n v="0"/>
    <n v="0"/>
    <n v="4"/>
    <n v="4760"/>
  </r>
  <r>
    <s v="S0678"/>
    <d v="2024-06-16T00:00:00"/>
    <x v="23"/>
    <n v="6"/>
    <x v="5"/>
    <s v="P022"/>
    <x v="1"/>
    <n v="4"/>
    <n v="1470"/>
    <n v="0"/>
    <x v="11"/>
    <n v="700"/>
    <n v="5880"/>
    <n v="2800"/>
    <n v="3080"/>
    <n v="0.52380952380952395"/>
    <n v="0"/>
    <n v="0"/>
    <n v="4"/>
    <n v="5880"/>
  </r>
  <r>
    <s v="S0667"/>
    <d v="2024-06-17T00:00:00"/>
    <x v="24"/>
    <n v="6"/>
    <x v="5"/>
    <s v="P003"/>
    <x v="0"/>
    <n v="2"/>
    <n v="340"/>
    <n v="15"/>
    <x v="17"/>
    <n v="180"/>
    <n v="680"/>
    <n v="360"/>
    <n v="320"/>
    <n v="0.47058823529411797"/>
    <n v="0"/>
    <n v="0"/>
    <n v="2"/>
    <n v="680"/>
  </r>
  <r>
    <s v="S0641"/>
    <d v="2024-06-17T00:00:00"/>
    <x v="24"/>
    <n v="6"/>
    <x v="5"/>
    <s v="P005"/>
    <x v="0"/>
    <n v="5"/>
    <n v="4400"/>
    <n v="0"/>
    <x v="25"/>
    <n v="2000"/>
    <n v="22000"/>
    <n v="10000"/>
    <n v="12000"/>
    <n v="0.54545454545454497"/>
    <n v="0"/>
    <n v="0"/>
    <n v="5"/>
    <n v="22000"/>
  </r>
  <r>
    <s v="S0694"/>
    <d v="2024-06-17T00:00:00"/>
    <x v="24"/>
    <n v="6"/>
    <x v="5"/>
    <s v="P028"/>
    <x v="5"/>
    <n v="4"/>
    <n v="540"/>
    <n v="10"/>
    <x v="26"/>
    <n v="300"/>
    <n v="2160"/>
    <n v="1200"/>
    <n v="960"/>
    <n v="0.44444444444444398"/>
    <n v="0"/>
    <n v="0"/>
    <n v="4"/>
    <n v="2160"/>
  </r>
  <r>
    <s v="S0603"/>
    <d v="2024-06-17T00:00:00"/>
    <x v="24"/>
    <n v="6"/>
    <x v="5"/>
    <s v="P029"/>
    <x v="5"/>
    <n v="2"/>
    <n v="360"/>
    <n v="10"/>
    <x v="27"/>
    <n v="200"/>
    <n v="720"/>
    <n v="400"/>
    <n v="320"/>
    <n v="0.44444444444444398"/>
    <n v="0"/>
    <n v="0"/>
    <n v="2"/>
    <n v="720"/>
  </r>
  <r>
    <s v="S0646"/>
    <d v="2024-06-18T00:00:00"/>
    <x v="24"/>
    <n v="6"/>
    <x v="5"/>
    <s v="P030"/>
    <x v="5"/>
    <n v="1"/>
    <n v="700"/>
    <n v="0"/>
    <x v="29"/>
    <n v="350"/>
    <n v="700"/>
    <n v="350"/>
    <n v="350"/>
    <n v="0.5"/>
    <n v="1"/>
    <n v="1"/>
    <n v="0"/>
    <n v="0"/>
  </r>
  <r>
    <s v="S0590"/>
    <d v="2024-06-18T00:00:00"/>
    <x v="24"/>
    <n v="6"/>
    <x v="5"/>
    <s v="P015"/>
    <x v="2"/>
    <n v="4"/>
    <n v="630"/>
    <n v="0"/>
    <x v="24"/>
    <n v="350"/>
    <n v="2520"/>
    <n v="1400"/>
    <n v="1120"/>
    <n v="0.44444444444444398"/>
    <n v="0"/>
    <n v="0"/>
    <n v="4"/>
    <n v="2520"/>
  </r>
  <r>
    <s v="S0675"/>
    <d v="2024-06-19T00:00:00"/>
    <x v="24"/>
    <n v="6"/>
    <x v="5"/>
    <s v="P030"/>
    <x v="5"/>
    <n v="1"/>
    <n v="595"/>
    <n v="15"/>
    <x v="29"/>
    <n v="350"/>
    <n v="595"/>
    <n v="350"/>
    <n v="245"/>
    <n v="0.41176470588235298"/>
    <n v="0"/>
    <n v="0"/>
    <n v="1"/>
    <n v="595"/>
  </r>
  <r>
    <s v="S0612"/>
    <d v="2024-06-19T00:00:00"/>
    <x v="24"/>
    <n v="6"/>
    <x v="5"/>
    <s v="P016"/>
    <x v="2"/>
    <n v="4"/>
    <n v="2340"/>
    <n v="0"/>
    <x v="13"/>
    <n v="1300"/>
    <n v="9360"/>
    <n v="5200"/>
    <n v="4160"/>
    <n v="0.44444444444444398"/>
    <n v="0"/>
    <n v="0"/>
    <n v="4"/>
    <n v="9360"/>
  </r>
  <r>
    <s v="S0615"/>
    <d v="2024-06-19T00:00:00"/>
    <x v="24"/>
    <n v="6"/>
    <x v="5"/>
    <s v="P027"/>
    <x v="5"/>
    <n v="1"/>
    <n v="960"/>
    <n v="0"/>
    <x v="28"/>
    <n v="480"/>
    <n v="960"/>
    <n v="480"/>
    <n v="480"/>
    <n v="0.5"/>
    <n v="0"/>
    <n v="0"/>
    <n v="1"/>
    <n v="960"/>
  </r>
  <r>
    <s v="S0685"/>
    <d v="2024-06-19T00:00:00"/>
    <x v="24"/>
    <n v="6"/>
    <x v="5"/>
    <s v="P009"/>
    <x v="3"/>
    <n v="3"/>
    <n v="570"/>
    <n v="5"/>
    <x v="7"/>
    <n v="300"/>
    <n v="1710"/>
    <n v="900"/>
    <n v="810"/>
    <n v="0.47368421052631599"/>
    <n v="0"/>
    <n v="0"/>
    <n v="3"/>
    <n v="1710"/>
  </r>
  <r>
    <s v="S0587"/>
    <d v="2024-06-19T00:00:00"/>
    <x v="24"/>
    <n v="6"/>
    <x v="5"/>
    <s v="P003"/>
    <x v="0"/>
    <n v="4"/>
    <n v="340"/>
    <n v="15"/>
    <x v="17"/>
    <n v="180"/>
    <n v="1360"/>
    <n v="720"/>
    <n v="640"/>
    <n v="0.47058823529411797"/>
    <n v="0"/>
    <n v="0"/>
    <n v="4"/>
    <n v="1360"/>
  </r>
  <r>
    <s v="S0642"/>
    <d v="2024-06-20T00:00:00"/>
    <x v="24"/>
    <n v="6"/>
    <x v="5"/>
    <s v="P028"/>
    <x v="5"/>
    <n v="1"/>
    <n v="570"/>
    <n v="5"/>
    <x v="26"/>
    <n v="300"/>
    <n v="570"/>
    <n v="300"/>
    <n v="270"/>
    <n v="0.47368421052631599"/>
    <n v="0"/>
    <n v="0"/>
    <n v="1"/>
    <n v="570"/>
  </r>
  <r>
    <s v="S0596"/>
    <d v="2024-06-20T00:00:00"/>
    <x v="24"/>
    <n v="6"/>
    <x v="5"/>
    <s v="P002"/>
    <x v="0"/>
    <n v="1"/>
    <n v="748"/>
    <n v="15"/>
    <x v="2"/>
    <n v="400"/>
    <n v="748"/>
    <n v="400"/>
    <n v="348"/>
    <n v="0.46524064171122997"/>
    <n v="0"/>
    <n v="0"/>
    <n v="1"/>
    <n v="748"/>
  </r>
  <r>
    <s v="S0651"/>
    <d v="2024-06-20T00:00:00"/>
    <x v="24"/>
    <n v="6"/>
    <x v="5"/>
    <s v="P016"/>
    <x v="2"/>
    <n v="2"/>
    <n v="2340"/>
    <n v="0"/>
    <x v="13"/>
    <n v="1300"/>
    <n v="4680"/>
    <n v="2600"/>
    <n v="2080"/>
    <n v="0.44444444444444398"/>
    <n v="0"/>
    <n v="0"/>
    <n v="2"/>
    <n v="4680"/>
  </r>
  <r>
    <s v="S0608"/>
    <d v="2024-06-20T00:00:00"/>
    <x v="24"/>
    <n v="6"/>
    <x v="5"/>
    <s v="P002"/>
    <x v="0"/>
    <n v="1"/>
    <n v="880"/>
    <n v="0"/>
    <x v="2"/>
    <n v="400"/>
    <n v="880"/>
    <n v="400"/>
    <n v="480"/>
    <n v="0.54545454545454497"/>
    <n v="0"/>
    <n v="0"/>
    <n v="1"/>
    <n v="880"/>
  </r>
  <r>
    <s v="S0618"/>
    <d v="2024-06-21T00:00:00"/>
    <x v="24"/>
    <n v="6"/>
    <x v="5"/>
    <s v="P017"/>
    <x v="4"/>
    <n v="1"/>
    <n v="475"/>
    <n v="5"/>
    <x v="15"/>
    <n v="200"/>
    <n v="475"/>
    <n v="200"/>
    <n v="275"/>
    <n v="0.57894736842105299"/>
    <n v="0"/>
    <n v="0"/>
    <n v="1"/>
    <n v="475"/>
  </r>
  <r>
    <s v="S0591"/>
    <d v="2024-06-21T00:00:00"/>
    <x v="24"/>
    <n v="6"/>
    <x v="5"/>
    <s v="P030"/>
    <x v="5"/>
    <n v="2"/>
    <n v="700"/>
    <n v="0"/>
    <x v="29"/>
    <n v="350"/>
    <n v="1400"/>
    <n v="700"/>
    <n v="700"/>
    <n v="0.5"/>
    <n v="0"/>
    <n v="0"/>
    <n v="2"/>
    <n v="1400"/>
  </r>
  <r>
    <s v="S0643"/>
    <d v="2024-06-21T00:00:00"/>
    <x v="24"/>
    <n v="6"/>
    <x v="5"/>
    <s v="P030"/>
    <x v="5"/>
    <n v="4"/>
    <n v="665"/>
    <n v="5"/>
    <x v="29"/>
    <n v="350"/>
    <n v="2660"/>
    <n v="1400"/>
    <n v="1260"/>
    <n v="0.47368421052631599"/>
    <n v="0"/>
    <n v="0"/>
    <n v="4"/>
    <n v="2660"/>
  </r>
  <r>
    <s v="S0658"/>
    <d v="2024-06-21T00:00:00"/>
    <x v="24"/>
    <n v="6"/>
    <x v="5"/>
    <s v="P014"/>
    <x v="2"/>
    <n v="2"/>
    <n v="900"/>
    <n v="0"/>
    <x v="18"/>
    <n v="500"/>
    <n v="1800"/>
    <n v="1000"/>
    <n v="800"/>
    <n v="0.44444444444444398"/>
    <n v="0"/>
    <n v="0"/>
    <n v="2"/>
    <n v="1800"/>
  </r>
  <r>
    <s v="S0626"/>
    <d v="2024-06-22T00:00:00"/>
    <x v="24"/>
    <n v="6"/>
    <x v="5"/>
    <s v="P017"/>
    <x v="4"/>
    <n v="3"/>
    <n v="500"/>
    <n v="0"/>
    <x v="15"/>
    <n v="200"/>
    <n v="1500"/>
    <n v="600"/>
    <n v="900"/>
    <n v="0.6"/>
    <n v="0"/>
    <n v="0"/>
    <n v="3"/>
    <n v="1500"/>
  </r>
  <r>
    <s v="S0638"/>
    <d v="2024-06-22T00:00:00"/>
    <x v="24"/>
    <n v="6"/>
    <x v="5"/>
    <s v="P009"/>
    <x v="3"/>
    <n v="3"/>
    <n v="540"/>
    <n v="10"/>
    <x v="7"/>
    <n v="300"/>
    <n v="1620"/>
    <n v="900"/>
    <n v="720"/>
    <n v="0.44444444444444398"/>
    <n v="0"/>
    <n v="0"/>
    <n v="3"/>
    <n v="1620"/>
  </r>
  <r>
    <s v="S0661"/>
    <d v="2024-06-23T00:00:00"/>
    <x v="24"/>
    <n v="6"/>
    <x v="5"/>
    <s v="P004"/>
    <x v="0"/>
    <n v="4"/>
    <n v="2640"/>
    <n v="0"/>
    <x v="5"/>
    <n v="1200"/>
    <n v="10560"/>
    <n v="4800"/>
    <n v="5760"/>
    <n v="0.54545454545454497"/>
    <n v="0"/>
    <n v="0"/>
    <n v="4"/>
    <n v="10560"/>
  </r>
  <r>
    <s v="S0684"/>
    <d v="2024-06-23T00:00:00"/>
    <x v="24"/>
    <n v="6"/>
    <x v="5"/>
    <s v="P020"/>
    <x v="4"/>
    <n v="3"/>
    <n v="1500"/>
    <n v="0"/>
    <x v="8"/>
    <n v="600"/>
    <n v="4500"/>
    <n v="1800"/>
    <n v="2700"/>
    <n v="0.6"/>
    <n v="0"/>
    <n v="0"/>
    <n v="3"/>
    <n v="4500"/>
  </r>
  <r>
    <s v="S0689"/>
    <d v="2024-06-23T00:00:00"/>
    <x v="24"/>
    <n v="6"/>
    <x v="5"/>
    <s v="P020"/>
    <x v="4"/>
    <n v="4"/>
    <n v="1425"/>
    <n v="5"/>
    <x v="8"/>
    <n v="600"/>
    <n v="5700"/>
    <n v="2400"/>
    <n v="3300"/>
    <n v="0.57894736842105299"/>
    <n v="0"/>
    <n v="0"/>
    <n v="4"/>
    <n v="5700"/>
  </r>
  <r>
    <s v="S0629"/>
    <d v="2024-06-23T00:00:00"/>
    <x v="24"/>
    <n v="6"/>
    <x v="5"/>
    <s v="P027"/>
    <x v="5"/>
    <n v="2"/>
    <n v="912"/>
    <n v="5"/>
    <x v="28"/>
    <n v="480"/>
    <n v="1824"/>
    <n v="960"/>
    <n v="864"/>
    <n v="0.47368421052631599"/>
    <n v="0"/>
    <n v="0"/>
    <n v="2"/>
    <n v="1824"/>
  </r>
  <r>
    <s v="S0652"/>
    <d v="2024-06-23T00:00:00"/>
    <x v="24"/>
    <n v="6"/>
    <x v="5"/>
    <s v="P009"/>
    <x v="3"/>
    <n v="3"/>
    <n v="600"/>
    <n v="0"/>
    <x v="7"/>
    <n v="300"/>
    <n v="1800"/>
    <n v="900"/>
    <n v="900"/>
    <n v="0.5"/>
    <n v="0"/>
    <n v="0"/>
    <n v="3"/>
    <n v="1800"/>
  </r>
  <r>
    <s v="S0607"/>
    <d v="2024-06-24T00:00:00"/>
    <x v="25"/>
    <n v="6"/>
    <x v="5"/>
    <s v="P028"/>
    <x v="5"/>
    <n v="2"/>
    <n v="600"/>
    <n v="0"/>
    <x v="26"/>
    <n v="300"/>
    <n v="1200"/>
    <n v="600"/>
    <n v="600"/>
    <n v="0.5"/>
    <n v="0"/>
    <n v="0"/>
    <n v="2"/>
    <n v="1200"/>
  </r>
  <r>
    <s v="S0688"/>
    <d v="2024-06-24T00:00:00"/>
    <x v="25"/>
    <n v="6"/>
    <x v="5"/>
    <s v="P007"/>
    <x v="3"/>
    <n v="1"/>
    <n v="1140"/>
    <n v="5"/>
    <x v="22"/>
    <n v="600"/>
    <n v="1140"/>
    <n v="600"/>
    <n v="540"/>
    <n v="0.47368421052631599"/>
    <n v="0"/>
    <n v="0"/>
    <n v="1"/>
    <n v="1140"/>
  </r>
  <r>
    <s v="S0644"/>
    <d v="2024-06-25T00:00:00"/>
    <x v="25"/>
    <n v="6"/>
    <x v="5"/>
    <s v="P019"/>
    <x v="4"/>
    <n v="4"/>
    <n v="4500"/>
    <n v="0"/>
    <x v="14"/>
    <n v="1800"/>
    <n v="18000"/>
    <n v="7200"/>
    <n v="10800"/>
    <n v="0.6"/>
    <n v="0"/>
    <n v="0"/>
    <n v="4"/>
    <n v="18000"/>
  </r>
  <r>
    <s v="S0616"/>
    <d v="2024-06-25T00:00:00"/>
    <x v="25"/>
    <n v="6"/>
    <x v="5"/>
    <s v="P005"/>
    <x v="0"/>
    <n v="3"/>
    <n v="4400"/>
    <n v="0"/>
    <x v="25"/>
    <n v="2000"/>
    <n v="13200"/>
    <n v="6000"/>
    <n v="7200"/>
    <n v="0.54545454545454497"/>
    <n v="1"/>
    <n v="1"/>
    <n v="2"/>
    <n v="8800"/>
  </r>
  <r>
    <s v="S0680"/>
    <d v="2024-06-25T00:00:00"/>
    <x v="25"/>
    <n v="6"/>
    <x v="5"/>
    <s v="P020"/>
    <x v="4"/>
    <n v="3"/>
    <n v="1350"/>
    <n v="10"/>
    <x v="8"/>
    <n v="600"/>
    <n v="4050"/>
    <n v="1800"/>
    <n v="2250"/>
    <n v="0.55555555555555602"/>
    <n v="0"/>
    <n v="0"/>
    <n v="3"/>
    <n v="4050"/>
  </r>
  <r>
    <s v="S0613"/>
    <d v="2024-06-25T00:00:00"/>
    <x v="25"/>
    <n v="6"/>
    <x v="5"/>
    <s v="P030"/>
    <x v="5"/>
    <n v="5"/>
    <n v="595"/>
    <n v="15"/>
    <x v="29"/>
    <n v="350"/>
    <n v="2975"/>
    <n v="1750"/>
    <n v="1225"/>
    <n v="0.41176470588235298"/>
    <n v="0"/>
    <n v="0"/>
    <n v="5"/>
    <n v="2975"/>
  </r>
  <r>
    <s v="S0586"/>
    <d v="2024-06-26T00:00:00"/>
    <x v="25"/>
    <n v="6"/>
    <x v="5"/>
    <s v="P012"/>
    <x v="2"/>
    <n v="3"/>
    <n v="1377"/>
    <n v="15"/>
    <x v="3"/>
    <n v="900"/>
    <n v="4131"/>
    <n v="2700"/>
    <n v="1431"/>
    <n v="0.34640522875816998"/>
    <n v="0"/>
    <n v="0"/>
    <n v="3"/>
    <n v="4131"/>
  </r>
  <r>
    <s v="S0691"/>
    <d v="2024-06-26T00:00:00"/>
    <x v="25"/>
    <n v="6"/>
    <x v="5"/>
    <s v="P015"/>
    <x v="2"/>
    <n v="4"/>
    <n v="535.5"/>
    <n v="15"/>
    <x v="24"/>
    <n v="350"/>
    <n v="2142"/>
    <n v="1400"/>
    <n v="742"/>
    <n v="0.34640522875816998"/>
    <n v="0"/>
    <n v="0"/>
    <n v="4"/>
    <n v="2142"/>
  </r>
  <r>
    <s v="S0588"/>
    <d v="2024-06-26T00:00:00"/>
    <x v="25"/>
    <n v="6"/>
    <x v="5"/>
    <s v="P002"/>
    <x v="0"/>
    <n v="1"/>
    <n v="880"/>
    <n v="0"/>
    <x v="2"/>
    <n v="400"/>
    <n v="880"/>
    <n v="400"/>
    <n v="480"/>
    <n v="0.54545454545454497"/>
    <n v="0"/>
    <n v="0"/>
    <n v="1"/>
    <n v="880"/>
  </r>
  <r>
    <s v="S0593"/>
    <d v="2024-06-27T00:00:00"/>
    <x v="25"/>
    <n v="6"/>
    <x v="5"/>
    <s v="P027"/>
    <x v="5"/>
    <n v="1"/>
    <n v="960"/>
    <n v="0"/>
    <x v="28"/>
    <n v="480"/>
    <n v="960"/>
    <n v="480"/>
    <n v="480"/>
    <n v="0.5"/>
    <n v="0"/>
    <n v="0"/>
    <n v="1"/>
    <n v="960"/>
  </r>
  <r>
    <s v="S0597"/>
    <d v="2024-06-27T00:00:00"/>
    <x v="25"/>
    <n v="6"/>
    <x v="5"/>
    <s v="P029"/>
    <x v="5"/>
    <n v="1"/>
    <n v="360"/>
    <n v="10"/>
    <x v="27"/>
    <n v="200"/>
    <n v="360"/>
    <n v="200"/>
    <n v="160"/>
    <n v="0.44444444444444398"/>
    <n v="0"/>
    <n v="0"/>
    <n v="1"/>
    <n v="360"/>
  </r>
  <r>
    <s v="S0611"/>
    <d v="2024-06-27T00:00:00"/>
    <x v="25"/>
    <n v="6"/>
    <x v="5"/>
    <s v="P002"/>
    <x v="0"/>
    <n v="1"/>
    <n v="792"/>
    <n v="10"/>
    <x v="2"/>
    <n v="400"/>
    <n v="792"/>
    <n v="400"/>
    <n v="392"/>
    <n v="0.49494949494949497"/>
    <n v="0"/>
    <n v="0"/>
    <n v="1"/>
    <n v="792"/>
  </r>
  <r>
    <s v="S0622"/>
    <d v="2024-06-27T00:00:00"/>
    <x v="25"/>
    <n v="6"/>
    <x v="5"/>
    <s v="P004"/>
    <x v="0"/>
    <n v="1"/>
    <n v="2508"/>
    <n v="5"/>
    <x v="5"/>
    <n v="1200"/>
    <n v="2508"/>
    <n v="1200"/>
    <n v="1308"/>
    <n v="0.52153110047846896"/>
    <n v="0"/>
    <n v="0"/>
    <n v="1"/>
    <n v="2508"/>
  </r>
  <r>
    <s v="S0614"/>
    <d v="2024-06-27T00:00:00"/>
    <x v="25"/>
    <n v="6"/>
    <x v="5"/>
    <s v="P008"/>
    <x v="3"/>
    <n v="3"/>
    <n v="1000"/>
    <n v="0"/>
    <x v="10"/>
    <n v="500"/>
    <n v="3000"/>
    <n v="1500"/>
    <n v="1500"/>
    <n v="0.5"/>
    <n v="0"/>
    <n v="0"/>
    <n v="3"/>
    <n v="3000"/>
  </r>
  <r>
    <s v="S0637"/>
    <d v="2024-06-27T00:00:00"/>
    <x v="25"/>
    <n v="6"/>
    <x v="5"/>
    <s v="P017"/>
    <x v="4"/>
    <n v="5"/>
    <n v="500"/>
    <n v="0"/>
    <x v="15"/>
    <n v="200"/>
    <n v="2500"/>
    <n v="1000"/>
    <n v="1500"/>
    <n v="0.6"/>
    <n v="0"/>
    <n v="0"/>
    <n v="5"/>
    <n v="2500"/>
  </r>
  <r>
    <s v="S0696"/>
    <d v="2024-06-28T00:00:00"/>
    <x v="25"/>
    <n v="6"/>
    <x v="5"/>
    <s v="P004"/>
    <x v="0"/>
    <n v="5"/>
    <n v="2508"/>
    <n v="5"/>
    <x v="5"/>
    <n v="1200"/>
    <n v="12540"/>
    <n v="6000"/>
    <n v="6540"/>
    <n v="0.52153110047846896"/>
    <n v="0"/>
    <n v="0"/>
    <n v="5"/>
    <n v="12540"/>
  </r>
  <r>
    <s v="S0701"/>
    <d v="2024-06-28T00:00:00"/>
    <x v="25"/>
    <n v="6"/>
    <x v="5"/>
    <s v="P014"/>
    <x v="2"/>
    <n v="1"/>
    <n v="765"/>
    <n v="15"/>
    <x v="18"/>
    <n v="500"/>
    <n v="765"/>
    <n v="500"/>
    <n v="265"/>
    <n v="0.34640522875816998"/>
    <n v="0"/>
    <n v="0"/>
    <n v="1"/>
    <n v="765"/>
  </r>
  <r>
    <s v="S0627"/>
    <d v="2024-06-28T00:00:00"/>
    <x v="25"/>
    <n v="6"/>
    <x v="5"/>
    <s v="P009"/>
    <x v="3"/>
    <n v="4"/>
    <n v="600"/>
    <n v="0"/>
    <x v="7"/>
    <n v="300"/>
    <n v="2400"/>
    <n v="1200"/>
    <n v="1200"/>
    <n v="0.5"/>
    <n v="0"/>
    <n v="0"/>
    <n v="4"/>
    <n v="2400"/>
  </r>
  <r>
    <s v="S0669"/>
    <d v="2024-06-28T00:00:00"/>
    <x v="25"/>
    <n v="6"/>
    <x v="5"/>
    <s v="P014"/>
    <x v="2"/>
    <n v="3"/>
    <n v="900"/>
    <n v="0"/>
    <x v="18"/>
    <n v="500"/>
    <n v="2700"/>
    <n v="1500"/>
    <n v="1200"/>
    <n v="0.44444444444444398"/>
    <n v="0"/>
    <n v="0"/>
    <n v="3"/>
    <n v="2700"/>
  </r>
  <r>
    <s v="S0683"/>
    <d v="2024-06-28T00:00:00"/>
    <x v="25"/>
    <n v="6"/>
    <x v="5"/>
    <s v="P030"/>
    <x v="5"/>
    <n v="5"/>
    <n v="700"/>
    <n v="0"/>
    <x v="29"/>
    <n v="350"/>
    <n v="3500"/>
    <n v="1750"/>
    <n v="1750"/>
    <n v="0.5"/>
    <n v="0"/>
    <n v="0"/>
    <n v="5"/>
    <n v="3500"/>
  </r>
  <r>
    <s v="S0636"/>
    <d v="2024-06-28T00:00:00"/>
    <x v="25"/>
    <n v="6"/>
    <x v="5"/>
    <s v="P011"/>
    <x v="3"/>
    <n v="2"/>
    <n v="1260"/>
    <n v="10"/>
    <x v="9"/>
    <n v="700"/>
    <n v="2520"/>
    <n v="1400"/>
    <n v="1120"/>
    <n v="0.44444444444444398"/>
    <n v="0"/>
    <n v="0"/>
    <n v="2"/>
    <n v="2520"/>
  </r>
  <r>
    <s v="S0668"/>
    <d v="2024-06-29T00:00:00"/>
    <x v="25"/>
    <n v="6"/>
    <x v="5"/>
    <s v="P029"/>
    <x v="5"/>
    <n v="5"/>
    <n v="400"/>
    <n v="0"/>
    <x v="27"/>
    <n v="200"/>
    <n v="2000"/>
    <n v="1000"/>
    <n v="1000"/>
    <n v="0.5"/>
    <n v="0"/>
    <n v="0"/>
    <n v="5"/>
    <n v="2000"/>
  </r>
  <r>
    <s v="S0592"/>
    <d v="2024-06-30T00:00:00"/>
    <x v="25"/>
    <n v="6"/>
    <x v="5"/>
    <s v="P003"/>
    <x v="0"/>
    <n v="4"/>
    <n v="400"/>
    <n v="0"/>
    <x v="17"/>
    <n v="180"/>
    <n v="1600"/>
    <n v="720"/>
    <n v="880"/>
    <n v="0.55000000000000004"/>
    <n v="0"/>
    <n v="0"/>
    <n v="4"/>
    <n v="1600"/>
  </r>
  <r>
    <s v="S0698"/>
    <d v="2024-06-30T00:00:00"/>
    <x v="25"/>
    <n v="6"/>
    <x v="5"/>
    <s v="P019"/>
    <x v="4"/>
    <n v="1"/>
    <n v="4275"/>
    <n v="5"/>
    <x v="14"/>
    <n v="1800"/>
    <n v="4275"/>
    <n v="1800"/>
    <n v="2475"/>
    <n v="0.57894736842105299"/>
    <n v="0"/>
    <n v="0"/>
    <n v="1"/>
    <n v="4275"/>
  </r>
  <r>
    <s v="S0682"/>
    <d v="2024-06-30T00:00:00"/>
    <x v="25"/>
    <n v="6"/>
    <x v="5"/>
    <s v="P001"/>
    <x v="0"/>
    <n v="5"/>
    <n v="770"/>
    <n v="0"/>
    <x v="23"/>
    <n v="350"/>
    <n v="3850"/>
    <n v="1750"/>
    <n v="2100"/>
    <n v="0.54545454545454497"/>
    <n v="0"/>
    <n v="0"/>
    <n v="5"/>
    <n v="3850"/>
  </r>
  <r>
    <s v="S0619"/>
    <d v="2024-06-30T00:00:00"/>
    <x v="25"/>
    <n v="6"/>
    <x v="5"/>
    <s v="P029"/>
    <x v="5"/>
    <n v="5"/>
    <n v="400"/>
    <n v="0"/>
    <x v="27"/>
    <n v="200"/>
    <n v="2000"/>
    <n v="1000"/>
    <n v="1000"/>
    <n v="0.5"/>
    <n v="0"/>
    <n v="0"/>
    <n v="5"/>
    <n v="2000"/>
  </r>
  <r>
    <s v="S0647"/>
    <d v="2024-06-30T00:00:00"/>
    <x v="25"/>
    <n v="6"/>
    <x v="5"/>
    <s v="P001"/>
    <x v="0"/>
    <n v="2"/>
    <n v="770"/>
    <n v="0"/>
    <x v="23"/>
    <n v="350"/>
    <n v="1540"/>
    <n v="700"/>
    <n v="840"/>
    <n v="0.54545454545454497"/>
    <n v="0"/>
    <n v="0"/>
    <n v="2"/>
    <n v="1540"/>
  </r>
  <r>
    <s v="S0598"/>
    <d v="2024-06-30T00:00:00"/>
    <x v="25"/>
    <n v="6"/>
    <x v="5"/>
    <s v="P004"/>
    <x v="0"/>
    <n v="1"/>
    <n v="2640"/>
    <n v="0"/>
    <x v="5"/>
    <n v="1200"/>
    <n v="2640"/>
    <n v="1200"/>
    <n v="1440"/>
    <n v="0.54545454545454497"/>
    <n v="0"/>
    <n v="0"/>
    <n v="1"/>
    <n v="2640"/>
  </r>
  <r>
    <s v="S0743"/>
    <d v="2024-07-01T00:00:00"/>
    <x v="26"/>
    <n v="7"/>
    <x v="6"/>
    <s v="P030"/>
    <x v="5"/>
    <n v="1"/>
    <n v="665"/>
    <n v="5"/>
    <x v="29"/>
    <n v="350"/>
    <n v="665"/>
    <n v="350"/>
    <n v="315"/>
    <n v="0.47368421052631599"/>
    <n v="0"/>
    <n v="0"/>
    <n v="1"/>
    <n v="665"/>
  </r>
  <r>
    <s v="S0761"/>
    <d v="2024-07-01T00:00:00"/>
    <x v="26"/>
    <n v="7"/>
    <x v="6"/>
    <s v="P017"/>
    <x v="4"/>
    <n v="1"/>
    <n v="450"/>
    <n v="10"/>
    <x v="15"/>
    <n v="200"/>
    <n v="450"/>
    <n v="200"/>
    <n v="250"/>
    <n v="0.55555555555555602"/>
    <n v="0"/>
    <n v="0"/>
    <n v="1"/>
    <n v="450"/>
  </r>
  <r>
    <s v="S0779"/>
    <d v="2024-07-02T00:00:00"/>
    <x v="26"/>
    <n v="7"/>
    <x v="6"/>
    <s v="P029"/>
    <x v="5"/>
    <n v="1"/>
    <n v="360"/>
    <n v="10"/>
    <x v="27"/>
    <n v="200"/>
    <n v="360"/>
    <n v="200"/>
    <n v="160"/>
    <n v="0.44444444444444398"/>
    <n v="1"/>
    <n v="1"/>
    <n v="0"/>
    <n v="0"/>
  </r>
  <r>
    <s v="S0725"/>
    <d v="2024-07-02T00:00:00"/>
    <x v="26"/>
    <n v="7"/>
    <x v="6"/>
    <s v="P019"/>
    <x v="4"/>
    <n v="1"/>
    <n v="4500"/>
    <n v="0"/>
    <x v="14"/>
    <n v="1800"/>
    <n v="4500"/>
    <n v="1800"/>
    <n v="2700"/>
    <n v="0.6"/>
    <n v="0"/>
    <n v="0"/>
    <n v="1"/>
    <n v="4500"/>
  </r>
  <r>
    <s v="S0714"/>
    <d v="2024-07-02T00:00:00"/>
    <x v="26"/>
    <n v="7"/>
    <x v="6"/>
    <s v="P020"/>
    <x v="4"/>
    <n v="2"/>
    <n v="1350"/>
    <n v="10"/>
    <x v="8"/>
    <n v="600"/>
    <n v="2700"/>
    <n v="1200"/>
    <n v="1500"/>
    <n v="0.55555555555555602"/>
    <n v="0"/>
    <n v="0"/>
    <n v="2"/>
    <n v="2700"/>
  </r>
  <r>
    <s v="S0764"/>
    <d v="2024-07-02T00:00:00"/>
    <x v="26"/>
    <n v="7"/>
    <x v="6"/>
    <s v="P007"/>
    <x v="3"/>
    <n v="2"/>
    <n v="1080"/>
    <n v="10"/>
    <x v="22"/>
    <n v="600"/>
    <n v="2160"/>
    <n v="1200"/>
    <n v="960"/>
    <n v="0.44444444444444398"/>
    <n v="0"/>
    <n v="0"/>
    <n v="2"/>
    <n v="2160"/>
  </r>
  <r>
    <s v="S0715"/>
    <d v="2024-07-03T00:00:00"/>
    <x v="26"/>
    <n v="7"/>
    <x v="6"/>
    <s v="P009"/>
    <x v="3"/>
    <n v="2"/>
    <n v="600"/>
    <n v="0"/>
    <x v="7"/>
    <n v="300"/>
    <n v="1200"/>
    <n v="600"/>
    <n v="600"/>
    <n v="0.5"/>
    <n v="0"/>
    <n v="0"/>
    <n v="2"/>
    <n v="1200"/>
  </r>
  <r>
    <s v="S0719"/>
    <d v="2024-07-03T00:00:00"/>
    <x v="26"/>
    <n v="7"/>
    <x v="6"/>
    <s v="P011"/>
    <x v="3"/>
    <n v="2"/>
    <n v="1330"/>
    <n v="5"/>
    <x v="9"/>
    <n v="700"/>
    <n v="2660"/>
    <n v="1400"/>
    <n v="1260"/>
    <n v="0.47368421052631599"/>
    <n v="0"/>
    <n v="0"/>
    <n v="2"/>
    <n v="2660"/>
  </r>
  <r>
    <s v="S0734"/>
    <d v="2024-07-03T00:00:00"/>
    <x v="26"/>
    <n v="7"/>
    <x v="6"/>
    <s v="P005"/>
    <x v="0"/>
    <n v="3"/>
    <n v="3960"/>
    <n v="10"/>
    <x v="25"/>
    <n v="2000"/>
    <n v="11880"/>
    <n v="6000"/>
    <n v="5880"/>
    <n v="0.49494949494949497"/>
    <n v="1"/>
    <n v="1"/>
    <n v="2"/>
    <n v="7920"/>
  </r>
  <r>
    <s v="S0720"/>
    <d v="2024-07-04T00:00:00"/>
    <x v="26"/>
    <n v="7"/>
    <x v="6"/>
    <s v="P030"/>
    <x v="5"/>
    <n v="2"/>
    <n v="595"/>
    <n v="15"/>
    <x v="29"/>
    <n v="350"/>
    <n v="1190"/>
    <n v="700"/>
    <n v="490"/>
    <n v="0.41176470588235298"/>
    <n v="0"/>
    <n v="0"/>
    <n v="2"/>
    <n v="1190"/>
  </r>
  <r>
    <s v="S0754"/>
    <d v="2024-07-04T00:00:00"/>
    <x v="26"/>
    <n v="7"/>
    <x v="6"/>
    <s v="P012"/>
    <x v="2"/>
    <n v="5"/>
    <n v="1620"/>
    <n v="0"/>
    <x v="3"/>
    <n v="900"/>
    <n v="8100"/>
    <n v="4500"/>
    <n v="3600"/>
    <n v="0.44444444444444398"/>
    <n v="0"/>
    <n v="0"/>
    <n v="5"/>
    <n v="8100"/>
  </r>
  <r>
    <s v="S0729"/>
    <d v="2024-07-05T00:00:00"/>
    <x v="26"/>
    <n v="7"/>
    <x v="6"/>
    <s v="P009"/>
    <x v="3"/>
    <n v="3"/>
    <n v="600"/>
    <n v="0"/>
    <x v="7"/>
    <n v="300"/>
    <n v="1800"/>
    <n v="900"/>
    <n v="900"/>
    <n v="0.5"/>
    <n v="2"/>
    <n v="2"/>
    <n v="1"/>
    <n v="600"/>
  </r>
  <r>
    <s v="S0739"/>
    <d v="2024-07-05T00:00:00"/>
    <x v="26"/>
    <n v="7"/>
    <x v="6"/>
    <s v="P019"/>
    <x v="4"/>
    <n v="5"/>
    <n v="4500"/>
    <n v="0"/>
    <x v="14"/>
    <n v="1800"/>
    <n v="22500"/>
    <n v="9000"/>
    <n v="13500"/>
    <n v="0.6"/>
    <n v="0"/>
    <n v="0"/>
    <n v="5"/>
    <n v="22500"/>
  </r>
  <r>
    <s v="S0781"/>
    <d v="2024-07-05T00:00:00"/>
    <x v="26"/>
    <n v="7"/>
    <x v="6"/>
    <s v="P010"/>
    <x v="3"/>
    <n v="3"/>
    <n v="500"/>
    <n v="0"/>
    <x v="4"/>
    <n v="250"/>
    <n v="1500"/>
    <n v="750"/>
    <n v="750"/>
    <n v="0.5"/>
    <n v="0"/>
    <n v="0"/>
    <n v="3"/>
    <n v="1500"/>
  </r>
  <r>
    <s v="S0746"/>
    <d v="2024-07-06T00:00:00"/>
    <x v="26"/>
    <n v="7"/>
    <x v="6"/>
    <s v="P006"/>
    <x v="0"/>
    <n v="1"/>
    <n v="480"/>
    <n v="0"/>
    <x v="0"/>
    <n v="220"/>
    <n v="480"/>
    <n v="220"/>
    <n v="260"/>
    <n v="0.54166666666666696"/>
    <n v="0"/>
    <n v="0"/>
    <n v="1"/>
    <n v="480"/>
  </r>
  <r>
    <s v="S0733"/>
    <d v="2024-07-06T00:00:00"/>
    <x v="26"/>
    <n v="7"/>
    <x v="6"/>
    <s v="P013"/>
    <x v="2"/>
    <n v="1"/>
    <n v="1980"/>
    <n v="0"/>
    <x v="21"/>
    <n v="1100"/>
    <n v="1980"/>
    <n v="1100"/>
    <n v="880"/>
    <n v="0.44444444444444398"/>
    <n v="0"/>
    <n v="0"/>
    <n v="1"/>
    <n v="1980"/>
  </r>
  <r>
    <s v="S0752"/>
    <d v="2024-07-07T00:00:00"/>
    <x v="26"/>
    <n v="7"/>
    <x v="6"/>
    <s v="P013"/>
    <x v="2"/>
    <n v="2"/>
    <n v="1881"/>
    <n v="5"/>
    <x v="21"/>
    <n v="1100"/>
    <n v="3762"/>
    <n v="2200"/>
    <n v="1562"/>
    <n v="0.41520467836257302"/>
    <n v="0"/>
    <n v="0"/>
    <n v="2"/>
    <n v="3762"/>
  </r>
  <r>
    <s v="S0770"/>
    <d v="2024-07-07T00:00:00"/>
    <x v="26"/>
    <n v="7"/>
    <x v="6"/>
    <s v="P010"/>
    <x v="3"/>
    <n v="1"/>
    <n v="450"/>
    <n v="10"/>
    <x v="4"/>
    <n v="250"/>
    <n v="450"/>
    <n v="250"/>
    <n v="200"/>
    <n v="0.44444444444444398"/>
    <n v="0"/>
    <n v="0"/>
    <n v="1"/>
    <n v="450"/>
  </r>
  <r>
    <s v="S0785"/>
    <d v="2024-07-07T00:00:00"/>
    <x v="26"/>
    <n v="7"/>
    <x v="6"/>
    <s v="P012"/>
    <x v="2"/>
    <n v="4"/>
    <n v="1620"/>
    <n v="0"/>
    <x v="3"/>
    <n v="900"/>
    <n v="6480"/>
    <n v="3600"/>
    <n v="2880"/>
    <n v="0.44444444444444398"/>
    <n v="0"/>
    <n v="0"/>
    <n v="4"/>
    <n v="6480"/>
  </r>
  <r>
    <s v="S0718"/>
    <d v="2024-07-08T00:00:00"/>
    <x v="27"/>
    <n v="7"/>
    <x v="6"/>
    <s v="P022"/>
    <x v="1"/>
    <n v="2"/>
    <n v="1249.5"/>
    <n v="15"/>
    <x v="11"/>
    <n v="700"/>
    <n v="2499"/>
    <n v="1400"/>
    <n v="1099"/>
    <n v="0.43977591036414598"/>
    <n v="0"/>
    <n v="0"/>
    <n v="2"/>
    <n v="2499"/>
  </r>
  <r>
    <s v="S0737"/>
    <d v="2024-07-08T00:00:00"/>
    <x v="27"/>
    <n v="7"/>
    <x v="6"/>
    <s v="P013"/>
    <x v="2"/>
    <n v="3"/>
    <n v="1881"/>
    <n v="5"/>
    <x v="21"/>
    <n v="1100"/>
    <n v="5643"/>
    <n v="3300"/>
    <n v="2343"/>
    <n v="0.41520467836257302"/>
    <n v="0"/>
    <n v="0"/>
    <n v="3"/>
    <n v="5643"/>
  </r>
  <r>
    <s v="S0769"/>
    <d v="2024-07-08T00:00:00"/>
    <x v="27"/>
    <n v="7"/>
    <x v="6"/>
    <s v="P017"/>
    <x v="4"/>
    <n v="1"/>
    <n v="425"/>
    <n v="15"/>
    <x v="15"/>
    <n v="200"/>
    <n v="425"/>
    <n v="200"/>
    <n v="225"/>
    <n v="0.52941176470588203"/>
    <n v="0"/>
    <n v="0"/>
    <n v="1"/>
    <n v="425"/>
  </r>
  <r>
    <s v="S0791"/>
    <d v="2024-07-09T00:00:00"/>
    <x v="27"/>
    <n v="7"/>
    <x v="6"/>
    <s v="P012"/>
    <x v="2"/>
    <n v="5"/>
    <n v="1539"/>
    <n v="5"/>
    <x v="3"/>
    <n v="900"/>
    <n v="7695"/>
    <n v="4500"/>
    <n v="3195"/>
    <n v="0.41520467836257302"/>
    <n v="0"/>
    <n v="0"/>
    <n v="5"/>
    <n v="7695"/>
  </r>
  <r>
    <s v="S0741"/>
    <d v="2024-07-09T00:00:00"/>
    <x v="27"/>
    <n v="7"/>
    <x v="6"/>
    <s v="P005"/>
    <x v="0"/>
    <n v="2"/>
    <n v="4180"/>
    <n v="5"/>
    <x v="25"/>
    <n v="2000"/>
    <n v="8360"/>
    <n v="4000"/>
    <n v="4360"/>
    <n v="0.52153110047846896"/>
    <n v="0"/>
    <n v="0"/>
    <n v="2"/>
    <n v="8360"/>
  </r>
  <r>
    <s v="S0742"/>
    <d v="2024-07-09T00:00:00"/>
    <x v="27"/>
    <n v="7"/>
    <x v="6"/>
    <s v="P017"/>
    <x v="4"/>
    <n v="5"/>
    <n v="425"/>
    <n v="15"/>
    <x v="15"/>
    <n v="200"/>
    <n v="2125"/>
    <n v="1000"/>
    <n v="1125"/>
    <n v="0.52941176470588203"/>
    <n v="0"/>
    <n v="0"/>
    <n v="5"/>
    <n v="2125"/>
  </r>
  <r>
    <s v="S0771"/>
    <d v="2024-07-09T00:00:00"/>
    <x v="27"/>
    <n v="7"/>
    <x v="6"/>
    <s v="P011"/>
    <x v="3"/>
    <n v="3"/>
    <n v="1190"/>
    <n v="15"/>
    <x v="9"/>
    <n v="700"/>
    <n v="3570"/>
    <n v="2100"/>
    <n v="1470"/>
    <n v="0.41176470588235298"/>
    <n v="0"/>
    <n v="0"/>
    <n v="3"/>
    <n v="3570"/>
  </r>
  <r>
    <s v="S0757"/>
    <d v="2024-07-10T00:00:00"/>
    <x v="27"/>
    <n v="7"/>
    <x v="6"/>
    <s v="P021"/>
    <x v="4"/>
    <n v="2"/>
    <n v="850"/>
    <n v="15"/>
    <x v="6"/>
    <n v="400"/>
    <n v="1700"/>
    <n v="800"/>
    <n v="900"/>
    <n v="0.52941176470588203"/>
    <n v="0"/>
    <n v="0"/>
    <n v="2"/>
    <n v="1700"/>
  </r>
  <r>
    <s v="S0727"/>
    <d v="2024-07-10T00:00:00"/>
    <x v="27"/>
    <n v="7"/>
    <x v="6"/>
    <s v="P019"/>
    <x v="4"/>
    <n v="2"/>
    <n v="4500"/>
    <n v="0"/>
    <x v="14"/>
    <n v="1800"/>
    <n v="9000"/>
    <n v="3600"/>
    <n v="5400"/>
    <n v="0.6"/>
    <n v="0"/>
    <n v="0"/>
    <n v="2"/>
    <n v="9000"/>
  </r>
  <r>
    <s v="S0758"/>
    <d v="2024-07-10T00:00:00"/>
    <x v="27"/>
    <n v="7"/>
    <x v="6"/>
    <s v="P030"/>
    <x v="5"/>
    <n v="2"/>
    <n v="700"/>
    <n v="0"/>
    <x v="29"/>
    <n v="350"/>
    <n v="1400"/>
    <n v="700"/>
    <n v="700"/>
    <n v="0.5"/>
    <n v="0"/>
    <n v="0"/>
    <n v="2"/>
    <n v="1400"/>
  </r>
  <r>
    <s v="S0778"/>
    <d v="2024-07-10T00:00:00"/>
    <x v="27"/>
    <n v="7"/>
    <x v="6"/>
    <s v="P012"/>
    <x v="2"/>
    <n v="3"/>
    <n v="1539"/>
    <n v="5"/>
    <x v="3"/>
    <n v="900"/>
    <n v="4617"/>
    <n v="2700"/>
    <n v="1917"/>
    <n v="0.41520467836257302"/>
    <n v="0"/>
    <n v="0"/>
    <n v="3"/>
    <n v="4617"/>
  </r>
  <r>
    <s v="S0783"/>
    <d v="2024-07-11T00:00:00"/>
    <x v="27"/>
    <n v="7"/>
    <x v="6"/>
    <s v="P014"/>
    <x v="2"/>
    <n v="1"/>
    <n v="765"/>
    <n v="15"/>
    <x v="18"/>
    <n v="500"/>
    <n v="765"/>
    <n v="500"/>
    <n v="265"/>
    <n v="0.34640522875816998"/>
    <n v="0"/>
    <n v="0"/>
    <n v="1"/>
    <n v="765"/>
  </r>
  <r>
    <s v="S0780"/>
    <d v="2024-07-12T00:00:00"/>
    <x v="27"/>
    <n v="7"/>
    <x v="6"/>
    <s v="P005"/>
    <x v="0"/>
    <n v="4"/>
    <n v="3740"/>
    <n v="15"/>
    <x v="25"/>
    <n v="2000"/>
    <n v="14960"/>
    <n v="8000"/>
    <n v="6960"/>
    <n v="0.46524064171122997"/>
    <n v="0"/>
    <n v="0"/>
    <n v="4"/>
    <n v="14960"/>
  </r>
  <r>
    <s v="S0756"/>
    <d v="2024-07-12T00:00:00"/>
    <x v="27"/>
    <n v="7"/>
    <x v="6"/>
    <s v="P027"/>
    <x v="5"/>
    <n v="2"/>
    <n v="864"/>
    <n v="10"/>
    <x v="28"/>
    <n v="480"/>
    <n v="1728"/>
    <n v="960"/>
    <n v="768"/>
    <n v="0.44444444444444398"/>
    <n v="1"/>
    <n v="1"/>
    <n v="1"/>
    <n v="864"/>
  </r>
  <r>
    <s v="S0728"/>
    <d v="2024-07-12T00:00:00"/>
    <x v="27"/>
    <n v="7"/>
    <x v="6"/>
    <s v="P016"/>
    <x v="2"/>
    <n v="4"/>
    <n v="2223"/>
    <n v="5"/>
    <x v="13"/>
    <n v="1300"/>
    <n v="8892"/>
    <n v="5200"/>
    <n v="3692"/>
    <n v="0.41520467836257302"/>
    <n v="0"/>
    <n v="0"/>
    <n v="4"/>
    <n v="8892"/>
  </r>
  <r>
    <s v="S0755"/>
    <d v="2024-07-13T00:00:00"/>
    <x v="27"/>
    <n v="7"/>
    <x v="6"/>
    <s v="P011"/>
    <x v="3"/>
    <n v="4"/>
    <n v="1260"/>
    <n v="10"/>
    <x v="9"/>
    <n v="700"/>
    <n v="5040"/>
    <n v="2800"/>
    <n v="2240"/>
    <n v="0.44444444444444398"/>
    <n v="0"/>
    <n v="0"/>
    <n v="4"/>
    <n v="5040"/>
  </r>
  <r>
    <s v="S0760"/>
    <d v="2024-07-13T00:00:00"/>
    <x v="27"/>
    <n v="7"/>
    <x v="6"/>
    <s v="P010"/>
    <x v="3"/>
    <n v="2"/>
    <n v="500"/>
    <n v="0"/>
    <x v="4"/>
    <n v="250"/>
    <n v="1000"/>
    <n v="500"/>
    <n v="500"/>
    <n v="0.5"/>
    <n v="0"/>
    <n v="0"/>
    <n v="2"/>
    <n v="1000"/>
  </r>
  <r>
    <s v="S0710"/>
    <d v="2024-07-13T00:00:00"/>
    <x v="27"/>
    <n v="7"/>
    <x v="6"/>
    <s v="P002"/>
    <x v="0"/>
    <n v="3"/>
    <n v="880"/>
    <n v="0"/>
    <x v="2"/>
    <n v="400"/>
    <n v="2640"/>
    <n v="1200"/>
    <n v="1440"/>
    <n v="0.54545454545454497"/>
    <n v="0"/>
    <n v="0"/>
    <n v="3"/>
    <n v="2640"/>
  </r>
  <r>
    <s v="S0784"/>
    <d v="2024-07-14T00:00:00"/>
    <x v="27"/>
    <n v="7"/>
    <x v="6"/>
    <s v="P027"/>
    <x v="5"/>
    <n v="4"/>
    <n v="960"/>
    <n v="0"/>
    <x v="28"/>
    <n v="480"/>
    <n v="3840"/>
    <n v="1920"/>
    <n v="1920"/>
    <n v="0.5"/>
    <n v="4"/>
    <n v="4"/>
    <n v="0"/>
    <n v="0"/>
  </r>
  <r>
    <s v="S0747"/>
    <d v="2024-07-15T00:00:00"/>
    <x v="28"/>
    <n v="7"/>
    <x v="6"/>
    <s v="P026"/>
    <x v="1"/>
    <n v="1"/>
    <n v="520"/>
    <n v="0"/>
    <x v="1"/>
    <n v="250"/>
    <n v="520"/>
    <n v="250"/>
    <n v="270"/>
    <n v="0.51923076923076905"/>
    <n v="0"/>
    <n v="0"/>
    <n v="1"/>
    <n v="520"/>
  </r>
  <r>
    <s v="S0722"/>
    <d v="2024-07-15T00:00:00"/>
    <x v="28"/>
    <n v="7"/>
    <x v="6"/>
    <s v="P021"/>
    <x v="4"/>
    <n v="2"/>
    <n v="1000"/>
    <n v="0"/>
    <x v="6"/>
    <n v="400"/>
    <n v="2000"/>
    <n v="800"/>
    <n v="1200"/>
    <n v="0.6"/>
    <n v="0"/>
    <n v="0"/>
    <n v="2"/>
    <n v="2000"/>
  </r>
  <r>
    <s v="S0740"/>
    <d v="2024-07-15T00:00:00"/>
    <x v="28"/>
    <n v="7"/>
    <x v="6"/>
    <s v="P021"/>
    <x v="4"/>
    <n v="3"/>
    <n v="850"/>
    <n v="15"/>
    <x v="6"/>
    <n v="400"/>
    <n v="2550"/>
    <n v="1200"/>
    <n v="1350"/>
    <n v="0.52941176470588203"/>
    <n v="0"/>
    <n v="0"/>
    <n v="3"/>
    <n v="2550"/>
  </r>
  <r>
    <s v="S0751"/>
    <d v="2024-07-15T00:00:00"/>
    <x v="28"/>
    <n v="7"/>
    <x v="6"/>
    <s v="P010"/>
    <x v="3"/>
    <n v="4"/>
    <n v="500"/>
    <n v="0"/>
    <x v="4"/>
    <n v="250"/>
    <n v="2000"/>
    <n v="1000"/>
    <n v="1000"/>
    <n v="0.5"/>
    <n v="0"/>
    <n v="0"/>
    <n v="4"/>
    <n v="2000"/>
  </r>
  <r>
    <s v="S0788"/>
    <d v="2024-07-17T00:00:00"/>
    <x v="28"/>
    <n v="7"/>
    <x v="6"/>
    <s v="P004"/>
    <x v="0"/>
    <n v="5"/>
    <n v="2376"/>
    <n v="10"/>
    <x v="5"/>
    <n v="1200"/>
    <n v="11880"/>
    <n v="6000"/>
    <n v="5880"/>
    <n v="0.49494949494949497"/>
    <n v="0"/>
    <n v="0"/>
    <n v="5"/>
    <n v="11880"/>
  </r>
  <r>
    <s v="S0730"/>
    <d v="2024-07-17T00:00:00"/>
    <x v="28"/>
    <n v="7"/>
    <x v="6"/>
    <s v="P013"/>
    <x v="2"/>
    <n v="3"/>
    <n v="1881"/>
    <n v="5"/>
    <x v="21"/>
    <n v="1100"/>
    <n v="5643"/>
    <n v="3300"/>
    <n v="2343"/>
    <n v="0.41520467836257302"/>
    <n v="0"/>
    <n v="0"/>
    <n v="3"/>
    <n v="5643"/>
  </r>
  <r>
    <s v="S0731"/>
    <d v="2024-07-19T00:00:00"/>
    <x v="28"/>
    <n v="7"/>
    <x v="6"/>
    <s v="P028"/>
    <x v="5"/>
    <n v="4"/>
    <n v="510"/>
    <n v="15"/>
    <x v="26"/>
    <n v="300"/>
    <n v="2040"/>
    <n v="1200"/>
    <n v="840"/>
    <n v="0.41176470588235298"/>
    <n v="0"/>
    <n v="0"/>
    <n v="4"/>
    <n v="2040"/>
  </r>
  <r>
    <s v="S0748"/>
    <d v="2024-07-19T00:00:00"/>
    <x v="28"/>
    <n v="7"/>
    <x v="6"/>
    <s v="P027"/>
    <x v="5"/>
    <n v="2"/>
    <n v="960"/>
    <n v="0"/>
    <x v="28"/>
    <n v="480"/>
    <n v="1920"/>
    <n v="960"/>
    <n v="960"/>
    <n v="0.5"/>
    <n v="0"/>
    <n v="0"/>
    <n v="2"/>
    <n v="1920"/>
  </r>
  <r>
    <s v="S0736"/>
    <d v="2024-07-20T00:00:00"/>
    <x v="28"/>
    <n v="7"/>
    <x v="6"/>
    <s v="P007"/>
    <x v="3"/>
    <n v="5"/>
    <n v="1020"/>
    <n v="15"/>
    <x v="22"/>
    <n v="600"/>
    <n v="5100"/>
    <n v="3000"/>
    <n v="2100"/>
    <n v="0.41176470588235298"/>
    <n v="0"/>
    <n v="0"/>
    <n v="5"/>
    <n v="5100"/>
  </r>
  <r>
    <s v="S0768"/>
    <d v="2024-07-20T00:00:00"/>
    <x v="28"/>
    <n v="7"/>
    <x v="6"/>
    <s v="P011"/>
    <x v="3"/>
    <n v="1"/>
    <n v="1400"/>
    <n v="0"/>
    <x v="9"/>
    <n v="700"/>
    <n v="1400"/>
    <n v="700"/>
    <n v="700"/>
    <n v="0.5"/>
    <n v="0"/>
    <n v="0"/>
    <n v="1"/>
    <n v="1400"/>
  </r>
  <r>
    <s v="S0749"/>
    <d v="2024-07-21T00:00:00"/>
    <x v="28"/>
    <n v="7"/>
    <x v="6"/>
    <s v="P019"/>
    <x v="4"/>
    <n v="4"/>
    <n v="4275"/>
    <n v="5"/>
    <x v="14"/>
    <n v="1800"/>
    <n v="17100"/>
    <n v="7200"/>
    <n v="9900"/>
    <n v="0.57894736842105299"/>
    <n v="0"/>
    <n v="0"/>
    <n v="4"/>
    <n v="17100"/>
  </r>
  <r>
    <s v="S0716"/>
    <d v="2024-07-21T00:00:00"/>
    <x v="28"/>
    <n v="7"/>
    <x v="6"/>
    <s v="P014"/>
    <x v="2"/>
    <n v="1"/>
    <n v="765"/>
    <n v="15"/>
    <x v="18"/>
    <n v="500"/>
    <n v="765"/>
    <n v="500"/>
    <n v="265"/>
    <n v="0.34640522875816998"/>
    <n v="0"/>
    <n v="0"/>
    <n v="1"/>
    <n v="765"/>
  </r>
  <r>
    <s v="S0775"/>
    <d v="2024-07-21T00:00:00"/>
    <x v="28"/>
    <n v="7"/>
    <x v="6"/>
    <s v="P028"/>
    <x v="5"/>
    <n v="2"/>
    <n v="600"/>
    <n v="0"/>
    <x v="26"/>
    <n v="300"/>
    <n v="1200"/>
    <n v="600"/>
    <n v="600"/>
    <n v="0.5"/>
    <n v="2"/>
    <n v="2"/>
    <n v="0"/>
    <n v="0"/>
  </r>
  <r>
    <s v="S0706"/>
    <d v="2024-07-21T00:00:00"/>
    <x v="28"/>
    <n v="7"/>
    <x v="6"/>
    <s v="P018"/>
    <x v="4"/>
    <n v="2"/>
    <n v="380"/>
    <n v="0"/>
    <x v="16"/>
    <n v="150"/>
    <n v="760"/>
    <n v="300"/>
    <n v="460"/>
    <n v="0.60526315789473695"/>
    <n v="0"/>
    <n v="0"/>
    <n v="2"/>
    <n v="760"/>
  </r>
  <r>
    <s v="S0777"/>
    <d v="2024-07-21T00:00:00"/>
    <x v="28"/>
    <n v="7"/>
    <x v="6"/>
    <s v="P023"/>
    <x v="1"/>
    <n v="1"/>
    <n v="3150"/>
    <n v="0"/>
    <x v="12"/>
    <n v="1500"/>
    <n v="3150"/>
    <n v="1500"/>
    <n v="1650"/>
    <n v="0.52380952380952395"/>
    <n v="0"/>
    <n v="0"/>
    <n v="1"/>
    <n v="3150"/>
  </r>
  <r>
    <s v="S0711"/>
    <d v="2024-07-21T00:00:00"/>
    <x v="28"/>
    <n v="7"/>
    <x v="6"/>
    <s v="P003"/>
    <x v="0"/>
    <n v="1"/>
    <n v="340"/>
    <n v="15"/>
    <x v="17"/>
    <n v="180"/>
    <n v="340"/>
    <n v="180"/>
    <n v="160"/>
    <n v="0.47058823529411797"/>
    <n v="0"/>
    <n v="0"/>
    <n v="1"/>
    <n v="340"/>
  </r>
  <r>
    <s v="S0745"/>
    <d v="2024-07-22T00:00:00"/>
    <x v="29"/>
    <n v="7"/>
    <x v="6"/>
    <s v="P006"/>
    <x v="0"/>
    <n v="3"/>
    <n v="432"/>
    <n v="10"/>
    <x v="0"/>
    <n v="220"/>
    <n v="1296"/>
    <n v="660"/>
    <n v="636"/>
    <n v="0.49074074074074098"/>
    <n v="0"/>
    <n v="0"/>
    <n v="3"/>
    <n v="1296"/>
  </r>
  <r>
    <s v="S0774"/>
    <d v="2024-07-22T00:00:00"/>
    <x v="29"/>
    <n v="7"/>
    <x v="6"/>
    <s v="P030"/>
    <x v="5"/>
    <n v="3"/>
    <n v="700"/>
    <n v="0"/>
    <x v="29"/>
    <n v="350"/>
    <n v="2100"/>
    <n v="1050"/>
    <n v="1050"/>
    <n v="0.5"/>
    <n v="0"/>
    <n v="0"/>
    <n v="3"/>
    <n v="2100"/>
  </r>
  <r>
    <s v="S0750"/>
    <d v="2024-07-23T00:00:00"/>
    <x v="29"/>
    <n v="7"/>
    <x v="6"/>
    <s v="P017"/>
    <x v="4"/>
    <n v="4"/>
    <n v="500"/>
    <n v="0"/>
    <x v="15"/>
    <n v="200"/>
    <n v="2000"/>
    <n v="800"/>
    <n v="1200"/>
    <n v="0.6"/>
    <n v="0"/>
    <n v="0"/>
    <n v="4"/>
    <n v="2000"/>
  </r>
  <r>
    <s v="S0705"/>
    <d v="2024-07-23T00:00:00"/>
    <x v="29"/>
    <n v="7"/>
    <x v="6"/>
    <s v="P001"/>
    <x v="0"/>
    <n v="2"/>
    <n v="731.5"/>
    <n v="5"/>
    <x v="23"/>
    <n v="350"/>
    <n v="1463"/>
    <n v="700"/>
    <n v="763"/>
    <n v="0.52153110047846896"/>
    <n v="0"/>
    <n v="0"/>
    <n v="2"/>
    <n v="1463"/>
  </r>
  <r>
    <s v="S0721"/>
    <d v="2024-07-23T00:00:00"/>
    <x v="29"/>
    <n v="7"/>
    <x v="6"/>
    <s v="P018"/>
    <x v="4"/>
    <n v="2"/>
    <n v="380"/>
    <n v="0"/>
    <x v="16"/>
    <n v="150"/>
    <n v="760"/>
    <n v="300"/>
    <n v="460"/>
    <n v="0.60526315789473695"/>
    <n v="0"/>
    <n v="0"/>
    <n v="2"/>
    <n v="760"/>
  </r>
  <r>
    <s v="S0723"/>
    <d v="2024-07-23T00:00:00"/>
    <x v="29"/>
    <n v="7"/>
    <x v="6"/>
    <s v="P005"/>
    <x v="0"/>
    <n v="1"/>
    <n v="4400"/>
    <n v="0"/>
    <x v="25"/>
    <n v="2000"/>
    <n v="4400"/>
    <n v="2000"/>
    <n v="2400"/>
    <n v="0.54545454545454497"/>
    <n v="0"/>
    <n v="0"/>
    <n v="1"/>
    <n v="4400"/>
  </r>
  <r>
    <s v="S0765"/>
    <d v="2024-07-24T00:00:00"/>
    <x v="29"/>
    <n v="7"/>
    <x v="6"/>
    <s v="P005"/>
    <x v="0"/>
    <n v="5"/>
    <n v="4180"/>
    <n v="5"/>
    <x v="25"/>
    <n v="2000"/>
    <n v="20900"/>
    <n v="10000"/>
    <n v="10900"/>
    <n v="0.52153110047846896"/>
    <n v="0"/>
    <n v="0"/>
    <n v="5"/>
    <n v="20900"/>
  </r>
  <r>
    <s v="S0767"/>
    <d v="2024-07-25T00:00:00"/>
    <x v="29"/>
    <n v="7"/>
    <x v="6"/>
    <s v="P007"/>
    <x v="3"/>
    <n v="4"/>
    <n v="1200"/>
    <n v="0"/>
    <x v="22"/>
    <n v="600"/>
    <n v="4800"/>
    <n v="2400"/>
    <n v="2400"/>
    <n v="0.5"/>
    <n v="0"/>
    <n v="0"/>
    <n v="4"/>
    <n v="4800"/>
  </r>
  <r>
    <s v="S0763"/>
    <d v="2024-07-25T00:00:00"/>
    <x v="29"/>
    <n v="7"/>
    <x v="6"/>
    <s v="P028"/>
    <x v="5"/>
    <n v="2"/>
    <n v="510"/>
    <n v="15"/>
    <x v="26"/>
    <n v="300"/>
    <n v="1020"/>
    <n v="600"/>
    <n v="420"/>
    <n v="0.41176470588235298"/>
    <n v="0"/>
    <n v="0"/>
    <n v="2"/>
    <n v="1020"/>
  </r>
  <r>
    <s v="S0772"/>
    <d v="2024-07-25T00:00:00"/>
    <x v="29"/>
    <n v="7"/>
    <x v="6"/>
    <s v="P017"/>
    <x v="4"/>
    <n v="1"/>
    <n v="425"/>
    <n v="15"/>
    <x v="15"/>
    <n v="200"/>
    <n v="425"/>
    <n v="200"/>
    <n v="225"/>
    <n v="0.52941176470588203"/>
    <n v="0"/>
    <n v="0"/>
    <n v="1"/>
    <n v="425"/>
  </r>
  <r>
    <s v="S0773"/>
    <d v="2024-07-25T00:00:00"/>
    <x v="29"/>
    <n v="7"/>
    <x v="6"/>
    <s v="P020"/>
    <x v="4"/>
    <n v="4"/>
    <n v="1275"/>
    <n v="15"/>
    <x v="8"/>
    <n v="600"/>
    <n v="5100"/>
    <n v="2400"/>
    <n v="2700"/>
    <n v="0.52941176470588203"/>
    <n v="0"/>
    <n v="0"/>
    <n v="4"/>
    <n v="5100"/>
  </r>
  <r>
    <s v="S0732"/>
    <d v="2024-07-26T00:00:00"/>
    <x v="29"/>
    <n v="7"/>
    <x v="6"/>
    <s v="P016"/>
    <x v="2"/>
    <n v="2"/>
    <n v="2340"/>
    <n v="0"/>
    <x v="13"/>
    <n v="1300"/>
    <n v="4680"/>
    <n v="2600"/>
    <n v="2080"/>
    <n v="0.44444444444444398"/>
    <n v="0"/>
    <n v="0"/>
    <n v="2"/>
    <n v="4680"/>
  </r>
  <r>
    <s v="S0786"/>
    <d v="2024-07-26T00:00:00"/>
    <x v="29"/>
    <n v="7"/>
    <x v="6"/>
    <s v="P014"/>
    <x v="2"/>
    <n v="4"/>
    <n v="810"/>
    <n v="10"/>
    <x v="18"/>
    <n v="500"/>
    <n v="3240"/>
    <n v="2000"/>
    <n v="1240"/>
    <n v="0.38271604938271597"/>
    <n v="0"/>
    <n v="0"/>
    <n v="4"/>
    <n v="3240"/>
  </r>
  <r>
    <s v="S0726"/>
    <d v="2024-07-26T00:00:00"/>
    <x v="29"/>
    <n v="7"/>
    <x v="6"/>
    <s v="P029"/>
    <x v="5"/>
    <n v="1"/>
    <n v="400"/>
    <n v="0"/>
    <x v="27"/>
    <n v="200"/>
    <n v="400"/>
    <n v="200"/>
    <n v="200"/>
    <n v="0.5"/>
    <n v="0"/>
    <n v="0"/>
    <n v="1"/>
    <n v="400"/>
  </r>
  <r>
    <s v="S0766"/>
    <d v="2024-07-27T00:00:00"/>
    <x v="29"/>
    <n v="7"/>
    <x v="6"/>
    <s v="P002"/>
    <x v="0"/>
    <n v="1"/>
    <n v="880"/>
    <n v="0"/>
    <x v="2"/>
    <n v="400"/>
    <n v="880"/>
    <n v="400"/>
    <n v="480"/>
    <n v="0.54545454545454497"/>
    <n v="0"/>
    <n v="0"/>
    <n v="1"/>
    <n v="880"/>
  </r>
  <r>
    <s v="S0759"/>
    <d v="2024-07-27T00:00:00"/>
    <x v="29"/>
    <n v="7"/>
    <x v="6"/>
    <s v="P028"/>
    <x v="5"/>
    <n v="4"/>
    <n v="510"/>
    <n v="15"/>
    <x v="26"/>
    <n v="300"/>
    <n v="2040"/>
    <n v="1200"/>
    <n v="840"/>
    <n v="0.41176470588235298"/>
    <n v="0"/>
    <n v="0"/>
    <n v="4"/>
    <n v="2040"/>
  </r>
  <r>
    <s v="S0790"/>
    <d v="2024-07-27T00:00:00"/>
    <x v="29"/>
    <n v="7"/>
    <x v="6"/>
    <s v="P017"/>
    <x v="4"/>
    <n v="3"/>
    <n v="500"/>
    <n v="0"/>
    <x v="15"/>
    <n v="200"/>
    <n v="1500"/>
    <n v="600"/>
    <n v="900"/>
    <n v="0.6"/>
    <n v="0"/>
    <n v="0"/>
    <n v="3"/>
    <n v="1500"/>
  </r>
  <r>
    <s v="S0708"/>
    <d v="2024-07-28T00:00:00"/>
    <x v="29"/>
    <n v="7"/>
    <x v="6"/>
    <s v="P018"/>
    <x v="4"/>
    <n v="1"/>
    <n v="323"/>
    <n v="15"/>
    <x v="16"/>
    <n v="150"/>
    <n v="323"/>
    <n v="150"/>
    <n v="173"/>
    <n v="0.53560371517027905"/>
    <n v="0"/>
    <n v="0"/>
    <n v="1"/>
    <n v="323"/>
  </r>
  <r>
    <s v="S0709"/>
    <d v="2024-07-28T00:00:00"/>
    <x v="29"/>
    <n v="7"/>
    <x v="6"/>
    <s v="P029"/>
    <x v="5"/>
    <n v="1"/>
    <n v="360"/>
    <n v="10"/>
    <x v="27"/>
    <n v="200"/>
    <n v="360"/>
    <n v="200"/>
    <n v="160"/>
    <n v="0.44444444444444398"/>
    <n v="0"/>
    <n v="0"/>
    <n v="1"/>
    <n v="360"/>
  </r>
  <r>
    <s v="S0713"/>
    <d v="2024-07-28T00:00:00"/>
    <x v="29"/>
    <n v="7"/>
    <x v="6"/>
    <s v="P018"/>
    <x v="4"/>
    <n v="2"/>
    <n v="342"/>
    <n v="10"/>
    <x v="16"/>
    <n v="150"/>
    <n v="684"/>
    <n v="300"/>
    <n v="384"/>
    <n v="0.56140350877193002"/>
    <n v="0"/>
    <n v="0"/>
    <n v="2"/>
    <n v="684"/>
  </r>
  <r>
    <s v="S0762"/>
    <d v="2024-07-28T00:00:00"/>
    <x v="29"/>
    <n v="7"/>
    <x v="6"/>
    <s v="P004"/>
    <x v="0"/>
    <n v="4"/>
    <n v="2244"/>
    <n v="15"/>
    <x v="5"/>
    <n v="1200"/>
    <n v="8976"/>
    <n v="4800"/>
    <n v="4176"/>
    <n v="0.46524064171122997"/>
    <n v="0"/>
    <n v="0"/>
    <n v="4"/>
    <n v="8976"/>
  </r>
  <r>
    <s v="S0735"/>
    <d v="2024-07-28T00:00:00"/>
    <x v="29"/>
    <n v="7"/>
    <x v="6"/>
    <s v="P019"/>
    <x v="4"/>
    <n v="4"/>
    <n v="4275"/>
    <n v="5"/>
    <x v="14"/>
    <n v="1800"/>
    <n v="17100"/>
    <n v="7200"/>
    <n v="9900"/>
    <n v="0.57894736842105299"/>
    <n v="0"/>
    <n v="0"/>
    <n v="4"/>
    <n v="17100"/>
  </r>
  <r>
    <s v="S0753"/>
    <d v="2024-07-28T00:00:00"/>
    <x v="29"/>
    <n v="7"/>
    <x v="6"/>
    <s v="P027"/>
    <x v="5"/>
    <n v="1"/>
    <n v="912"/>
    <n v="5"/>
    <x v="28"/>
    <n v="480"/>
    <n v="912"/>
    <n v="480"/>
    <n v="432"/>
    <n v="0.47368421052631599"/>
    <n v="0"/>
    <n v="0"/>
    <n v="1"/>
    <n v="912"/>
  </r>
  <r>
    <s v="S0707"/>
    <d v="2024-07-28T00:00:00"/>
    <x v="29"/>
    <n v="7"/>
    <x v="6"/>
    <s v="P013"/>
    <x v="2"/>
    <n v="3"/>
    <n v="1980"/>
    <n v="0"/>
    <x v="21"/>
    <n v="1100"/>
    <n v="5940"/>
    <n v="3300"/>
    <n v="2640"/>
    <n v="0.44444444444444398"/>
    <n v="0"/>
    <n v="0"/>
    <n v="3"/>
    <n v="5940"/>
  </r>
  <r>
    <s v="S0776"/>
    <d v="2024-07-29T00:00:00"/>
    <x v="30"/>
    <n v="7"/>
    <x v="6"/>
    <s v="P012"/>
    <x v="2"/>
    <n v="4"/>
    <n v="1377"/>
    <n v="15"/>
    <x v="3"/>
    <n v="900"/>
    <n v="5508"/>
    <n v="3600"/>
    <n v="1908"/>
    <n v="0.34640522875816998"/>
    <n v="0"/>
    <n v="0"/>
    <n v="4"/>
    <n v="5508"/>
  </r>
  <r>
    <s v="S0787"/>
    <d v="2024-07-29T00:00:00"/>
    <x v="30"/>
    <n v="7"/>
    <x v="6"/>
    <s v="P007"/>
    <x v="3"/>
    <n v="2"/>
    <n v="1200"/>
    <n v="0"/>
    <x v="22"/>
    <n v="600"/>
    <n v="2400"/>
    <n v="1200"/>
    <n v="1200"/>
    <n v="0.5"/>
    <n v="0"/>
    <n v="0"/>
    <n v="2"/>
    <n v="2400"/>
  </r>
  <r>
    <s v="S0712"/>
    <d v="2024-07-29T00:00:00"/>
    <x v="30"/>
    <n v="7"/>
    <x v="6"/>
    <s v="P003"/>
    <x v="0"/>
    <n v="4"/>
    <n v="380"/>
    <n v="5"/>
    <x v="17"/>
    <n v="180"/>
    <n v="1520"/>
    <n v="720"/>
    <n v="800"/>
    <n v="0.52631578947368396"/>
    <n v="0"/>
    <n v="0"/>
    <n v="4"/>
    <n v="1520"/>
  </r>
  <r>
    <s v="S0744"/>
    <d v="2024-07-29T00:00:00"/>
    <x v="30"/>
    <n v="7"/>
    <x v="6"/>
    <s v="P013"/>
    <x v="2"/>
    <n v="4"/>
    <n v="1980"/>
    <n v="0"/>
    <x v="21"/>
    <n v="1100"/>
    <n v="7920"/>
    <n v="4400"/>
    <n v="3520"/>
    <n v="0.44444444444444398"/>
    <n v="0"/>
    <n v="0"/>
    <n v="4"/>
    <n v="7920"/>
  </r>
  <r>
    <s v="S0724"/>
    <d v="2024-07-29T00:00:00"/>
    <x v="30"/>
    <n v="7"/>
    <x v="6"/>
    <s v="P029"/>
    <x v="5"/>
    <n v="5"/>
    <n v="400"/>
    <n v="0"/>
    <x v="27"/>
    <n v="200"/>
    <n v="2000"/>
    <n v="1000"/>
    <n v="1000"/>
    <n v="0.5"/>
    <n v="0"/>
    <n v="0"/>
    <n v="5"/>
    <n v="2000"/>
  </r>
  <r>
    <s v="S0789"/>
    <d v="2024-07-30T00:00:00"/>
    <x v="30"/>
    <n v="7"/>
    <x v="6"/>
    <s v="P029"/>
    <x v="5"/>
    <n v="5"/>
    <n v="400"/>
    <n v="0"/>
    <x v="27"/>
    <n v="200"/>
    <n v="2000"/>
    <n v="1000"/>
    <n v="1000"/>
    <n v="0.5"/>
    <n v="0"/>
    <n v="0"/>
    <n v="5"/>
    <n v="2000"/>
  </r>
  <r>
    <s v="S0717"/>
    <d v="2024-07-30T00:00:00"/>
    <x v="30"/>
    <n v="7"/>
    <x v="6"/>
    <s v="P009"/>
    <x v="3"/>
    <n v="1"/>
    <n v="600"/>
    <n v="0"/>
    <x v="7"/>
    <n v="300"/>
    <n v="600"/>
    <n v="300"/>
    <n v="300"/>
    <n v="0.5"/>
    <n v="0"/>
    <n v="0"/>
    <n v="1"/>
    <n v="600"/>
  </r>
  <r>
    <s v="S0738"/>
    <d v="2024-07-30T00:00:00"/>
    <x v="30"/>
    <n v="7"/>
    <x v="6"/>
    <s v="P006"/>
    <x v="0"/>
    <n v="4"/>
    <n v="432"/>
    <n v="10"/>
    <x v="0"/>
    <n v="220"/>
    <n v="1728"/>
    <n v="880"/>
    <n v="848"/>
    <n v="0.49074074074074098"/>
    <n v="0"/>
    <n v="0"/>
    <n v="4"/>
    <n v="1728"/>
  </r>
  <r>
    <s v="S0782"/>
    <d v="2024-07-30T00:00:00"/>
    <x v="30"/>
    <n v="7"/>
    <x v="6"/>
    <s v="P019"/>
    <x v="4"/>
    <n v="5"/>
    <n v="4500"/>
    <n v="0"/>
    <x v="14"/>
    <n v="1800"/>
    <n v="22500"/>
    <n v="9000"/>
    <n v="13500"/>
    <n v="0.6"/>
    <n v="0"/>
    <n v="0"/>
    <n v="5"/>
    <n v="22500"/>
  </r>
  <r>
    <s v="S0792"/>
    <d v="2024-07-31T00:00:00"/>
    <x v="30"/>
    <n v="7"/>
    <x v="6"/>
    <s v="P003"/>
    <x v="0"/>
    <n v="1"/>
    <n v="400"/>
    <n v="0"/>
    <x v="17"/>
    <n v="180"/>
    <n v="400"/>
    <n v="180"/>
    <n v="220"/>
    <n v="0.55000000000000004"/>
    <n v="0"/>
    <n v="0"/>
    <n v="1"/>
    <n v="400"/>
  </r>
  <r>
    <s v="S0802"/>
    <d v="2024-08-01T00:00:00"/>
    <x v="30"/>
    <n v="8"/>
    <x v="7"/>
    <s v="P006"/>
    <x v="0"/>
    <n v="2"/>
    <n v="480"/>
    <n v="0"/>
    <x v="0"/>
    <n v="220"/>
    <n v="960"/>
    <n v="440"/>
    <n v="520"/>
    <n v="0.54166666666666696"/>
    <n v="2"/>
    <n v="2"/>
    <n v="0"/>
    <n v="0"/>
  </r>
  <r>
    <s v="S0852"/>
    <d v="2024-08-01T00:00:00"/>
    <x v="30"/>
    <n v="8"/>
    <x v="7"/>
    <s v="P014"/>
    <x v="2"/>
    <n v="2"/>
    <n v="900"/>
    <n v="0"/>
    <x v="18"/>
    <n v="500"/>
    <n v="1800"/>
    <n v="1000"/>
    <n v="800"/>
    <n v="0.44444444444444398"/>
    <n v="0"/>
    <n v="0"/>
    <n v="2"/>
    <n v="1800"/>
  </r>
  <r>
    <s v="S0812"/>
    <d v="2024-08-01T00:00:00"/>
    <x v="30"/>
    <n v="8"/>
    <x v="7"/>
    <s v="P016"/>
    <x v="2"/>
    <n v="5"/>
    <n v="2106"/>
    <n v="10"/>
    <x v="13"/>
    <n v="1300"/>
    <n v="10530"/>
    <n v="6500"/>
    <n v="4030"/>
    <n v="0.38271604938271597"/>
    <n v="0"/>
    <n v="0"/>
    <n v="5"/>
    <n v="10530"/>
  </r>
  <r>
    <s v="S0862"/>
    <d v="2024-08-01T00:00:00"/>
    <x v="30"/>
    <n v="8"/>
    <x v="7"/>
    <s v="P010"/>
    <x v="3"/>
    <n v="5"/>
    <n v="500"/>
    <n v="0"/>
    <x v="4"/>
    <n v="250"/>
    <n v="2500"/>
    <n v="1250"/>
    <n v="1250"/>
    <n v="0.5"/>
    <n v="0"/>
    <n v="0"/>
    <n v="5"/>
    <n v="2500"/>
  </r>
  <r>
    <s v="S0871"/>
    <d v="2024-08-01T00:00:00"/>
    <x v="30"/>
    <n v="8"/>
    <x v="7"/>
    <s v="P027"/>
    <x v="5"/>
    <n v="2"/>
    <n v="960"/>
    <n v="0"/>
    <x v="28"/>
    <n v="480"/>
    <n v="1920"/>
    <n v="960"/>
    <n v="960"/>
    <n v="0.5"/>
    <n v="0"/>
    <n v="0"/>
    <n v="2"/>
    <n v="1920"/>
  </r>
  <r>
    <s v="S0837"/>
    <d v="2024-08-02T00:00:00"/>
    <x v="30"/>
    <n v="8"/>
    <x v="7"/>
    <s v="P010"/>
    <x v="3"/>
    <n v="2"/>
    <n v="425"/>
    <n v="15"/>
    <x v="4"/>
    <n v="250"/>
    <n v="850"/>
    <n v="500"/>
    <n v="350"/>
    <n v="0.41176470588235298"/>
    <n v="0"/>
    <n v="0"/>
    <n v="2"/>
    <n v="850"/>
  </r>
  <r>
    <s v="S0882"/>
    <d v="2024-08-02T00:00:00"/>
    <x v="30"/>
    <n v="8"/>
    <x v="7"/>
    <s v="P016"/>
    <x v="2"/>
    <n v="1"/>
    <n v="1989"/>
    <n v="15"/>
    <x v="13"/>
    <n v="1300"/>
    <n v="1989"/>
    <n v="1300"/>
    <n v="689"/>
    <n v="0.34640522875816998"/>
    <n v="1"/>
    <n v="1"/>
    <n v="0"/>
    <n v="0"/>
  </r>
  <r>
    <s v="S0876"/>
    <d v="2024-08-03T00:00:00"/>
    <x v="30"/>
    <n v="8"/>
    <x v="7"/>
    <s v="P027"/>
    <x v="5"/>
    <n v="1"/>
    <n v="912"/>
    <n v="5"/>
    <x v="28"/>
    <n v="480"/>
    <n v="912"/>
    <n v="480"/>
    <n v="432"/>
    <n v="0.47368421052631599"/>
    <n v="0"/>
    <n v="0"/>
    <n v="1"/>
    <n v="912"/>
  </r>
  <r>
    <s v="S0849"/>
    <d v="2024-08-03T00:00:00"/>
    <x v="30"/>
    <n v="8"/>
    <x v="7"/>
    <s v="P016"/>
    <x v="2"/>
    <n v="5"/>
    <n v="1989"/>
    <n v="15"/>
    <x v="13"/>
    <n v="1300"/>
    <n v="9945"/>
    <n v="6500"/>
    <n v="3445"/>
    <n v="0.34640522875816998"/>
    <n v="0"/>
    <n v="0"/>
    <n v="5"/>
    <n v="9945"/>
  </r>
  <r>
    <s v="S0816"/>
    <d v="2024-08-03T00:00:00"/>
    <x v="30"/>
    <n v="8"/>
    <x v="7"/>
    <s v="P027"/>
    <x v="5"/>
    <n v="1"/>
    <n v="816"/>
    <n v="15"/>
    <x v="28"/>
    <n v="480"/>
    <n v="816"/>
    <n v="480"/>
    <n v="336"/>
    <n v="0.41176470588235298"/>
    <n v="0"/>
    <n v="0"/>
    <n v="1"/>
    <n v="816"/>
  </r>
  <r>
    <s v="S0875"/>
    <d v="2024-08-04T00:00:00"/>
    <x v="30"/>
    <n v="8"/>
    <x v="7"/>
    <s v="P005"/>
    <x v="0"/>
    <n v="3"/>
    <n v="3740"/>
    <n v="15"/>
    <x v="25"/>
    <n v="2000"/>
    <n v="11220"/>
    <n v="6000"/>
    <n v="5220"/>
    <n v="0.46524064171122997"/>
    <n v="0"/>
    <n v="0"/>
    <n v="3"/>
    <n v="11220"/>
  </r>
  <r>
    <s v="S0866"/>
    <d v="2024-08-04T00:00:00"/>
    <x v="30"/>
    <n v="8"/>
    <x v="7"/>
    <s v="P021"/>
    <x v="4"/>
    <n v="2"/>
    <n v="850"/>
    <n v="15"/>
    <x v="6"/>
    <n v="400"/>
    <n v="1700"/>
    <n v="800"/>
    <n v="900"/>
    <n v="0.52941176470588203"/>
    <n v="0"/>
    <n v="0"/>
    <n v="2"/>
    <n v="1700"/>
  </r>
  <r>
    <s v="S0824"/>
    <d v="2024-08-04T00:00:00"/>
    <x v="30"/>
    <n v="8"/>
    <x v="7"/>
    <s v="P021"/>
    <x v="4"/>
    <n v="1"/>
    <n v="1000"/>
    <n v="0"/>
    <x v="6"/>
    <n v="400"/>
    <n v="1000"/>
    <n v="400"/>
    <n v="600"/>
    <n v="0.6"/>
    <n v="0"/>
    <n v="0"/>
    <n v="1"/>
    <n v="1000"/>
  </r>
  <r>
    <s v="S0842"/>
    <d v="2024-08-04T00:00:00"/>
    <x v="30"/>
    <n v="8"/>
    <x v="7"/>
    <s v="P001"/>
    <x v="0"/>
    <n v="3"/>
    <n v="654.5"/>
    <n v="15"/>
    <x v="23"/>
    <n v="350"/>
    <n v="1963.5"/>
    <n v="1050"/>
    <n v="913.5"/>
    <n v="0.46524064171122997"/>
    <n v="0"/>
    <n v="0"/>
    <n v="3"/>
    <n v="1963.5"/>
  </r>
  <r>
    <s v="S0810"/>
    <d v="2024-08-04T00:00:00"/>
    <x v="30"/>
    <n v="8"/>
    <x v="7"/>
    <s v="P001"/>
    <x v="0"/>
    <n v="1"/>
    <n v="654.5"/>
    <n v="15"/>
    <x v="23"/>
    <n v="350"/>
    <n v="654.5"/>
    <n v="350"/>
    <n v="304.5"/>
    <n v="0.46524064171122997"/>
    <n v="0"/>
    <n v="0"/>
    <n v="1"/>
    <n v="654.5"/>
  </r>
  <r>
    <s v="S0879"/>
    <d v="2024-08-04T00:00:00"/>
    <x v="30"/>
    <n v="8"/>
    <x v="7"/>
    <s v="P017"/>
    <x v="4"/>
    <n v="4"/>
    <n v="475"/>
    <n v="5"/>
    <x v="15"/>
    <n v="200"/>
    <n v="1900"/>
    <n v="800"/>
    <n v="1100"/>
    <n v="0.57894736842105299"/>
    <n v="0"/>
    <n v="0"/>
    <n v="4"/>
    <n v="1900"/>
  </r>
  <r>
    <s v="S0826"/>
    <d v="2024-08-05T00:00:00"/>
    <x v="31"/>
    <n v="8"/>
    <x v="7"/>
    <s v="P010"/>
    <x v="3"/>
    <n v="5"/>
    <n v="475"/>
    <n v="5"/>
    <x v="4"/>
    <n v="250"/>
    <n v="2375"/>
    <n v="1250"/>
    <n v="1125"/>
    <n v="0.47368421052631599"/>
    <n v="0"/>
    <n v="0"/>
    <n v="5"/>
    <n v="2375"/>
  </r>
  <r>
    <s v="S0832"/>
    <d v="2024-08-05T00:00:00"/>
    <x v="31"/>
    <n v="8"/>
    <x v="7"/>
    <s v="P020"/>
    <x v="4"/>
    <n v="1"/>
    <n v="1425"/>
    <n v="5"/>
    <x v="8"/>
    <n v="600"/>
    <n v="1425"/>
    <n v="600"/>
    <n v="825"/>
    <n v="0.57894736842105299"/>
    <n v="0"/>
    <n v="0"/>
    <n v="1"/>
    <n v="1425"/>
  </r>
  <r>
    <s v="S0821"/>
    <d v="2024-08-05T00:00:00"/>
    <x v="31"/>
    <n v="8"/>
    <x v="7"/>
    <s v="P018"/>
    <x v="4"/>
    <n v="2"/>
    <n v="380"/>
    <n v="0"/>
    <x v="16"/>
    <n v="150"/>
    <n v="760"/>
    <n v="300"/>
    <n v="460"/>
    <n v="0.60526315789473695"/>
    <n v="0"/>
    <n v="0"/>
    <n v="2"/>
    <n v="760"/>
  </r>
  <r>
    <s v="S0873"/>
    <d v="2024-08-05T00:00:00"/>
    <x v="31"/>
    <n v="8"/>
    <x v="7"/>
    <s v="P016"/>
    <x v="2"/>
    <n v="1"/>
    <n v="1989"/>
    <n v="15"/>
    <x v="13"/>
    <n v="1300"/>
    <n v="1989"/>
    <n v="1300"/>
    <n v="689"/>
    <n v="0.34640522875816998"/>
    <n v="1"/>
    <n v="1"/>
    <n v="0"/>
    <n v="0"/>
  </r>
  <r>
    <s v="S0796"/>
    <d v="2024-08-05T00:00:00"/>
    <x v="31"/>
    <n v="8"/>
    <x v="7"/>
    <s v="P001"/>
    <x v="0"/>
    <n v="2"/>
    <n v="770"/>
    <n v="0"/>
    <x v="23"/>
    <n v="350"/>
    <n v="1540"/>
    <n v="700"/>
    <n v="840"/>
    <n v="0.54545454545454497"/>
    <n v="0"/>
    <n v="0"/>
    <n v="2"/>
    <n v="1540"/>
  </r>
  <r>
    <s v="S0864"/>
    <d v="2024-08-05T00:00:00"/>
    <x v="31"/>
    <n v="8"/>
    <x v="7"/>
    <s v="P001"/>
    <x v="0"/>
    <n v="5"/>
    <n v="693"/>
    <n v="10"/>
    <x v="23"/>
    <n v="350"/>
    <n v="3465"/>
    <n v="1750"/>
    <n v="1715"/>
    <n v="0.49494949494949497"/>
    <n v="0"/>
    <n v="0"/>
    <n v="5"/>
    <n v="3465"/>
  </r>
  <r>
    <s v="S0868"/>
    <d v="2024-08-05T00:00:00"/>
    <x v="31"/>
    <n v="8"/>
    <x v="7"/>
    <s v="P026"/>
    <x v="1"/>
    <n v="1"/>
    <n v="520"/>
    <n v="0"/>
    <x v="1"/>
    <n v="250"/>
    <n v="520"/>
    <n v="250"/>
    <n v="270"/>
    <n v="0.51923076923076905"/>
    <n v="0"/>
    <n v="0"/>
    <n v="1"/>
    <n v="520"/>
  </r>
  <r>
    <s v="S0850"/>
    <d v="2024-08-07T00:00:00"/>
    <x v="31"/>
    <n v="8"/>
    <x v="7"/>
    <s v="P008"/>
    <x v="3"/>
    <n v="3"/>
    <n v="850"/>
    <n v="15"/>
    <x v="10"/>
    <n v="500"/>
    <n v="2550"/>
    <n v="1500"/>
    <n v="1050"/>
    <n v="0.41176470588235298"/>
    <n v="0"/>
    <n v="0"/>
    <n v="3"/>
    <n v="2550"/>
  </r>
  <r>
    <s v="S0856"/>
    <d v="2024-08-07T00:00:00"/>
    <x v="31"/>
    <n v="8"/>
    <x v="7"/>
    <s v="P014"/>
    <x v="2"/>
    <n v="4"/>
    <n v="900"/>
    <n v="0"/>
    <x v="18"/>
    <n v="500"/>
    <n v="3600"/>
    <n v="2000"/>
    <n v="1600"/>
    <n v="0.44444444444444398"/>
    <n v="0"/>
    <n v="0"/>
    <n v="4"/>
    <n v="3600"/>
  </r>
  <r>
    <s v="S0847"/>
    <d v="2024-08-07T00:00:00"/>
    <x v="31"/>
    <n v="8"/>
    <x v="7"/>
    <s v="P013"/>
    <x v="2"/>
    <n v="3"/>
    <n v="1980"/>
    <n v="0"/>
    <x v="21"/>
    <n v="1100"/>
    <n v="5940"/>
    <n v="3300"/>
    <n v="2640"/>
    <n v="0.44444444444444398"/>
    <n v="1"/>
    <n v="1"/>
    <n v="2"/>
    <n v="3960"/>
  </r>
  <r>
    <s v="S0858"/>
    <d v="2024-08-07T00:00:00"/>
    <x v="31"/>
    <n v="8"/>
    <x v="7"/>
    <s v="P005"/>
    <x v="0"/>
    <n v="1"/>
    <n v="3960"/>
    <n v="10"/>
    <x v="25"/>
    <n v="2000"/>
    <n v="3960"/>
    <n v="2000"/>
    <n v="1960"/>
    <n v="0.49494949494949497"/>
    <n v="0"/>
    <n v="0"/>
    <n v="1"/>
    <n v="3960"/>
  </r>
  <r>
    <s v="S0859"/>
    <d v="2024-08-07T00:00:00"/>
    <x v="31"/>
    <n v="8"/>
    <x v="7"/>
    <s v="P015"/>
    <x v="2"/>
    <n v="2"/>
    <n v="630"/>
    <n v="0"/>
    <x v="24"/>
    <n v="350"/>
    <n v="1260"/>
    <n v="700"/>
    <n v="560"/>
    <n v="0.44444444444444398"/>
    <n v="0"/>
    <n v="0"/>
    <n v="2"/>
    <n v="1260"/>
  </r>
  <r>
    <s v="S0811"/>
    <d v="2024-08-08T00:00:00"/>
    <x v="31"/>
    <n v="8"/>
    <x v="7"/>
    <s v="P018"/>
    <x v="4"/>
    <n v="1"/>
    <n v="361"/>
    <n v="5"/>
    <x v="16"/>
    <n v="150"/>
    <n v="361"/>
    <n v="150"/>
    <n v="211"/>
    <n v="0.58448753462603897"/>
    <n v="0"/>
    <n v="0"/>
    <n v="1"/>
    <n v="361"/>
  </r>
  <r>
    <s v="S0815"/>
    <d v="2024-08-08T00:00:00"/>
    <x v="31"/>
    <n v="8"/>
    <x v="7"/>
    <s v="P005"/>
    <x v="0"/>
    <n v="1"/>
    <n v="3740"/>
    <n v="15"/>
    <x v="25"/>
    <n v="2000"/>
    <n v="3740"/>
    <n v="2000"/>
    <n v="1740"/>
    <n v="0.46524064171122997"/>
    <n v="0"/>
    <n v="0"/>
    <n v="1"/>
    <n v="3740"/>
  </r>
  <r>
    <s v="S0854"/>
    <d v="2024-08-08T00:00:00"/>
    <x v="31"/>
    <n v="8"/>
    <x v="7"/>
    <s v="P011"/>
    <x v="3"/>
    <n v="5"/>
    <n v="1400"/>
    <n v="0"/>
    <x v="9"/>
    <n v="700"/>
    <n v="7000"/>
    <n v="3500"/>
    <n v="3500"/>
    <n v="0.5"/>
    <n v="0"/>
    <n v="0"/>
    <n v="5"/>
    <n v="7000"/>
  </r>
  <r>
    <s v="S0825"/>
    <d v="2024-08-08T00:00:00"/>
    <x v="31"/>
    <n v="8"/>
    <x v="7"/>
    <s v="P009"/>
    <x v="3"/>
    <n v="1"/>
    <n v="540"/>
    <n v="10"/>
    <x v="7"/>
    <n v="300"/>
    <n v="540"/>
    <n v="300"/>
    <n v="240"/>
    <n v="0.44444444444444398"/>
    <n v="0"/>
    <n v="0"/>
    <n v="1"/>
    <n v="540"/>
  </r>
  <r>
    <s v="S0872"/>
    <d v="2024-08-09T00:00:00"/>
    <x v="31"/>
    <n v="8"/>
    <x v="7"/>
    <s v="P021"/>
    <x v="4"/>
    <n v="3"/>
    <n v="1000"/>
    <n v="0"/>
    <x v="6"/>
    <n v="400"/>
    <n v="3000"/>
    <n v="1200"/>
    <n v="1800"/>
    <n v="0.6"/>
    <n v="0"/>
    <n v="0"/>
    <n v="3"/>
    <n v="3000"/>
  </r>
  <r>
    <s v="S0865"/>
    <d v="2024-08-09T00:00:00"/>
    <x v="31"/>
    <n v="8"/>
    <x v="7"/>
    <s v="P028"/>
    <x v="5"/>
    <n v="1"/>
    <n v="600"/>
    <n v="0"/>
    <x v="26"/>
    <n v="300"/>
    <n v="600"/>
    <n v="300"/>
    <n v="300"/>
    <n v="0.5"/>
    <n v="0"/>
    <n v="0"/>
    <n v="1"/>
    <n v="600"/>
  </r>
  <r>
    <s v="S0823"/>
    <d v="2024-08-10T00:00:00"/>
    <x v="31"/>
    <n v="8"/>
    <x v="7"/>
    <s v="P009"/>
    <x v="3"/>
    <n v="5"/>
    <n v="570"/>
    <n v="5"/>
    <x v="7"/>
    <n v="300"/>
    <n v="2850"/>
    <n v="1500"/>
    <n v="1350"/>
    <n v="0.47368421052631599"/>
    <n v="0"/>
    <n v="0"/>
    <n v="5"/>
    <n v="2850"/>
  </r>
  <r>
    <s v="S0819"/>
    <d v="2024-08-10T00:00:00"/>
    <x v="31"/>
    <n v="8"/>
    <x v="7"/>
    <s v="P003"/>
    <x v="0"/>
    <n v="2"/>
    <n v="340"/>
    <n v="15"/>
    <x v="17"/>
    <n v="180"/>
    <n v="680"/>
    <n v="360"/>
    <n v="320"/>
    <n v="0.47058823529411797"/>
    <n v="0"/>
    <n v="0"/>
    <n v="2"/>
    <n v="680"/>
  </r>
  <r>
    <s v="S0860"/>
    <d v="2024-08-11T00:00:00"/>
    <x v="31"/>
    <n v="8"/>
    <x v="7"/>
    <s v="P028"/>
    <x v="5"/>
    <n v="4"/>
    <n v="600"/>
    <n v="0"/>
    <x v="26"/>
    <n v="300"/>
    <n v="2400"/>
    <n v="1200"/>
    <n v="1200"/>
    <n v="0.5"/>
    <n v="0"/>
    <n v="0"/>
    <n v="4"/>
    <n v="2400"/>
  </r>
  <r>
    <s v="S0814"/>
    <d v="2024-08-11T00:00:00"/>
    <x v="31"/>
    <n v="8"/>
    <x v="7"/>
    <s v="P003"/>
    <x v="0"/>
    <n v="4"/>
    <n v="360"/>
    <n v="10"/>
    <x v="17"/>
    <n v="180"/>
    <n v="1440"/>
    <n v="720"/>
    <n v="720"/>
    <n v="0.5"/>
    <n v="0"/>
    <n v="0"/>
    <n v="4"/>
    <n v="1440"/>
  </r>
  <r>
    <s v="S0845"/>
    <d v="2024-08-12T00:00:00"/>
    <x v="32"/>
    <n v="8"/>
    <x v="7"/>
    <s v="P017"/>
    <x v="4"/>
    <n v="3"/>
    <n v="500"/>
    <n v="0"/>
    <x v="15"/>
    <n v="200"/>
    <n v="1500"/>
    <n v="600"/>
    <n v="900"/>
    <n v="0.6"/>
    <n v="0"/>
    <n v="0"/>
    <n v="3"/>
    <n v="1500"/>
  </r>
  <r>
    <s v="S0869"/>
    <d v="2024-08-12T00:00:00"/>
    <x v="32"/>
    <n v="8"/>
    <x v="7"/>
    <s v="P007"/>
    <x v="3"/>
    <n v="5"/>
    <n v="1200"/>
    <n v="0"/>
    <x v="22"/>
    <n v="600"/>
    <n v="6000"/>
    <n v="3000"/>
    <n v="3000"/>
    <n v="0.5"/>
    <n v="0"/>
    <n v="0"/>
    <n v="5"/>
    <n v="6000"/>
  </r>
  <r>
    <s v="S0843"/>
    <d v="2024-08-12T00:00:00"/>
    <x v="32"/>
    <n v="8"/>
    <x v="7"/>
    <s v="P001"/>
    <x v="0"/>
    <n v="5"/>
    <n v="693"/>
    <n v="10"/>
    <x v="23"/>
    <n v="350"/>
    <n v="3465"/>
    <n v="1750"/>
    <n v="1715"/>
    <n v="0.49494949494949497"/>
    <n v="0"/>
    <n v="0"/>
    <n v="5"/>
    <n v="3465"/>
  </r>
  <r>
    <s v="S0838"/>
    <d v="2024-08-12T00:00:00"/>
    <x v="32"/>
    <n v="8"/>
    <x v="7"/>
    <s v="P014"/>
    <x v="2"/>
    <n v="4"/>
    <n v="900"/>
    <n v="0"/>
    <x v="18"/>
    <n v="500"/>
    <n v="3600"/>
    <n v="2000"/>
    <n v="1600"/>
    <n v="0.44444444444444398"/>
    <n v="0"/>
    <n v="0"/>
    <n v="4"/>
    <n v="3600"/>
  </r>
  <r>
    <s v="S0800"/>
    <d v="2024-08-12T00:00:00"/>
    <x v="32"/>
    <n v="8"/>
    <x v="7"/>
    <s v="P014"/>
    <x v="2"/>
    <n v="5"/>
    <n v="900"/>
    <n v="0"/>
    <x v="18"/>
    <n v="500"/>
    <n v="4500"/>
    <n v="2500"/>
    <n v="2000"/>
    <n v="0.44444444444444398"/>
    <n v="0"/>
    <n v="0"/>
    <n v="5"/>
    <n v="4500"/>
  </r>
  <r>
    <s v="S0846"/>
    <d v="2024-08-13T00:00:00"/>
    <x v="32"/>
    <n v="8"/>
    <x v="7"/>
    <s v="P002"/>
    <x v="0"/>
    <n v="5"/>
    <n v="880"/>
    <n v="0"/>
    <x v="2"/>
    <n v="400"/>
    <n v="4400"/>
    <n v="2000"/>
    <n v="2400"/>
    <n v="0.54545454545454497"/>
    <n v="0"/>
    <n v="0"/>
    <n v="5"/>
    <n v="4400"/>
  </r>
  <r>
    <s v="S0799"/>
    <d v="2024-08-13T00:00:00"/>
    <x v="32"/>
    <n v="8"/>
    <x v="7"/>
    <s v="P013"/>
    <x v="2"/>
    <n v="4"/>
    <n v="1782"/>
    <n v="10"/>
    <x v="21"/>
    <n v="1100"/>
    <n v="7128"/>
    <n v="4400"/>
    <n v="2728"/>
    <n v="0.38271604938271597"/>
    <n v="0"/>
    <n v="0"/>
    <n v="4"/>
    <n v="7128"/>
  </r>
  <r>
    <s v="S0830"/>
    <d v="2024-08-14T00:00:00"/>
    <x v="32"/>
    <n v="8"/>
    <x v="7"/>
    <s v="P006"/>
    <x v="0"/>
    <n v="2"/>
    <n v="432"/>
    <n v="10"/>
    <x v="0"/>
    <n v="220"/>
    <n v="864"/>
    <n v="440"/>
    <n v="424"/>
    <n v="0.49074074074074098"/>
    <n v="0"/>
    <n v="0"/>
    <n v="2"/>
    <n v="864"/>
  </r>
  <r>
    <s v="S0874"/>
    <d v="2024-08-14T00:00:00"/>
    <x v="32"/>
    <n v="8"/>
    <x v="7"/>
    <s v="P011"/>
    <x v="3"/>
    <n v="5"/>
    <n v="1260"/>
    <n v="10"/>
    <x v="9"/>
    <n v="700"/>
    <n v="6300"/>
    <n v="3500"/>
    <n v="2800"/>
    <n v="0.44444444444444398"/>
    <n v="0"/>
    <n v="0"/>
    <n v="5"/>
    <n v="6300"/>
  </r>
  <r>
    <s v="S0820"/>
    <d v="2024-08-14T00:00:00"/>
    <x v="32"/>
    <n v="8"/>
    <x v="7"/>
    <s v="P011"/>
    <x v="3"/>
    <n v="4"/>
    <n v="1400"/>
    <n v="0"/>
    <x v="9"/>
    <n v="700"/>
    <n v="5600"/>
    <n v="2800"/>
    <n v="2800"/>
    <n v="0.5"/>
    <n v="0"/>
    <n v="0"/>
    <n v="4"/>
    <n v="5600"/>
  </r>
  <r>
    <s v="S0804"/>
    <d v="2024-08-15T00:00:00"/>
    <x v="32"/>
    <n v="8"/>
    <x v="7"/>
    <s v="P012"/>
    <x v="2"/>
    <n v="5"/>
    <n v="1620"/>
    <n v="0"/>
    <x v="3"/>
    <n v="900"/>
    <n v="8100"/>
    <n v="4500"/>
    <n v="3600"/>
    <n v="0.44444444444444398"/>
    <n v="0"/>
    <n v="0"/>
    <n v="5"/>
    <n v="8100"/>
  </r>
  <r>
    <s v="S0827"/>
    <d v="2024-08-15T00:00:00"/>
    <x v="32"/>
    <n v="8"/>
    <x v="7"/>
    <s v="P010"/>
    <x v="3"/>
    <n v="5"/>
    <n v="500"/>
    <n v="0"/>
    <x v="4"/>
    <n v="250"/>
    <n v="2500"/>
    <n v="1250"/>
    <n v="1250"/>
    <n v="0.5"/>
    <n v="0"/>
    <n v="0"/>
    <n v="5"/>
    <n v="2500"/>
  </r>
  <r>
    <s v="S0795"/>
    <d v="2024-08-15T00:00:00"/>
    <x v="32"/>
    <n v="8"/>
    <x v="7"/>
    <s v="P013"/>
    <x v="2"/>
    <n v="3"/>
    <n v="1980"/>
    <n v="0"/>
    <x v="21"/>
    <n v="1100"/>
    <n v="5940"/>
    <n v="3300"/>
    <n v="2640"/>
    <n v="0.44444444444444398"/>
    <n v="0"/>
    <n v="0"/>
    <n v="3"/>
    <n v="5940"/>
  </r>
  <r>
    <s v="S0877"/>
    <d v="2024-08-15T00:00:00"/>
    <x v="32"/>
    <n v="8"/>
    <x v="7"/>
    <s v="P006"/>
    <x v="0"/>
    <n v="1"/>
    <n v="480"/>
    <n v="0"/>
    <x v="0"/>
    <n v="220"/>
    <n v="480"/>
    <n v="220"/>
    <n v="260"/>
    <n v="0.54166666666666696"/>
    <n v="0"/>
    <n v="0"/>
    <n v="1"/>
    <n v="480"/>
  </r>
  <r>
    <s v="S0885"/>
    <d v="2024-08-15T00:00:00"/>
    <x v="32"/>
    <n v="8"/>
    <x v="7"/>
    <s v="P011"/>
    <x v="3"/>
    <n v="5"/>
    <n v="1190"/>
    <n v="15"/>
    <x v="9"/>
    <n v="700"/>
    <n v="5950"/>
    <n v="3500"/>
    <n v="2450"/>
    <n v="0.41176470588235298"/>
    <n v="0"/>
    <n v="0"/>
    <n v="5"/>
    <n v="5950"/>
  </r>
  <r>
    <s v="S0839"/>
    <d v="2024-08-15T00:00:00"/>
    <x v="32"/>
    <n v="8"/>
    <x v="7"/>
    <s v="P013"/>
    <x v="2"/>
    <n v="3"/>
    <n v="1881"/>
    <n v="5"/>
    <x v="21"/>
    <n v="1100"/>
    <n v="5643"/>
    <n v="3300"/>
    <n v="2343"/>
    <n v="0.41520467836257302"/>
    <n v="0"/>
    <n v="0"/>
    <n v="3"/>
    <n v="5643"/>
  </r>
  <r>
    <s v="S0878"/>
    <d v="2024-08-17T00:00:00"/>
    <x v="32"/>
    <n v="8"/>
    <x v="7"/>
    <s v="P005"/>
    <x v="0"/>
    <n v="5"/>
    <n v="3960"/>
    <n v="10"/>
    <x v="25"/>
    <n v="2000"/>
    <n v="19800"/>
    <n v="10000"/>
    <n v="9800"/>
    <n v="0.49494949494949497"/>
    <n v="0"/>
    <n v="0"/>
    <n v="5"/>
    <n v="19800"/>
  </r>
  <r>
    <s v="S0880"/>
    <d v="2024-08-17T00:00:00"/>
    <x v="32"/>
    <n v="8"/>
    <x v="7"/>
    <s v="P006"/>
    <x v="0"/>
    <n v="3"/>
    <n v="480"/>
    <n v="0"/>
    <x v="0"/>
    <n v="220"/>
    <n v="1440"/>
    <n v="660"/>
    <n v="780"/>
    <n v="0.54166666666666696"/>
    <n v="0"/>
    <n v="0"/>
    <n v="3"/>
    <n v="1440"/>
  </r>
  <r>
    <s v="S0884"/>
    <d v="2024-08-17T00:00:00"/>
    <x v="32"/>
    <n v="8"/>
    <x v="7"/>
    <s v="P016"/>
    <x v="2"/>
    <n v="2"/>
    <n v="2340"/>
    <n v="0"/>
    <x v="13"/>
    <n v="1300"/>
    <n v="4680"/>
    <n v="2600"/>
    <n v="2080"/>
    <n v="0.44444444444444398"/>
    <n v="0"/>
    <n v="0"/>
    <n v="2"/>
    <n v="4680"/>
  </r>
  <r>
    <s v="S0803"/>
    <d v="2024-08-18T00:00:00"/>
    <x v="32"/>
    <n v="8"/>
    <x v="7"/>
    <s v="P005"/>
    <x v="0"/>
    <n v="5"/>
    <n v="4400"/>
    <n v="0"/>
    <x v="25"/>
    <n v="2000"/>
    <n v="22000"/>
    <n v="10000"/>
    <n v="12000"/>
    <n v="0.54545454545454497"/>
    <n v="0"/>
    <n v="0"/>
    <n v="5"/>
    <n v="22000"/>
  </r>
  <r>
    <s v="S0870"/>
    <d v="2024-08-19T00:00:00"/>
    <x v="33"/>
    <n v="8"/>
    <x v="7"/>
    <s v="P008"/>
    <x v="3"/>
    <n v="3"/>
    <n v="1000"/>
    <n v="0"/>
    <x v="10"/>
    <n v="500"/>
    <n v="3000"/>
    <n v="1500"/>
    <n v="1500"/>
    <n v="0.5"/>
    <n v="0"/>
    <n v="0"/>
    <n v="3"/>
    <n v="3000"/>
  </r>
  <r>
    <s v="S0807"/>
    <d v="2024-08-19T00:00:00"/>
    <x v="33"/>
    <n v="8"/>
    <x v="7"/>
    <s v="P010"/>
    <x v="3"/>
    <n v="2"/>
    <n v="475"/>
    <n v="5"/>
    <x v="4"/>
    <n v="250"/>
    <n v="950"/>
    <n v="500"/>
    <n v="450"/>
    <n v="0.47368421052631599"/>
    <n v="0"/>
    <n v="0"/>
    <n v="2"/>
    <n v="950"/>
  </r>
  <r>
    <s v="S0835"/>
    <d v="2024-08-20T00:00:00"/>
    <x v="33"/>
    <n v="8"/>
    <x v="7"/>
    <s v="P013"/>
    <x v="2"/>
    <n v="5"/>
    <n v="1881"/>
    <n v="5"/>
    <x v="21"/>
    <n v="1100"/>
    <n v="9405"/>
    <n v="5500"/>
    <n v="3905"/>
    <n v="0.41520467836257302"/>
    <n v="3"/>
    <n v="3"/>
    <n v="2"/>
    <n v="3762"/>
  </r>
  <r>
    <s v="S0833"/>
    <d v="2024-08-21T00:00:00"/>
    <x v="33"/>
    <n v="8"/>
    <x v="7"/>
    <s v="P010"/>
    <x v="3"/>
    <n v="2"/>
    <n v="500"/>
    <n v="0"/>
    <x v="4"/>
    <n v="250"/>
    <n v="1000"/>
    <n v="500"/>
    <n v="500"/>
    <n v="0.5"/>
    <n v="0"/>
    <n v="0"/>
    <n v="2"/>
    <n v="1000"/>
  </r>
  <r>
    <s v="S0851"/>
    <d v="2024-08-21T00:00:00"/>
    <x v="33"/>
    <n v="8"/>
    <x v="7"/>
    <s v="P029"/>
    <x v="5"/>
    <n v="4"/>
    <n v="360"/>
    <n v="10"/>
    <x v="27"/>
    <n v="200"/>
    <n v="1440"/>
    <n v="800"/>
    <n v="640"/>
    <n v="0.44444444444444398"/>
    <n v="0"/>
    <n v="0"/>
    <n v="4"/>
    <n v="1440"/>
  </r>
  <r>
    <s v="S0828"/>
    <d v="2024-08-22T00:00:00"/>
    <x v="33"/>
    <n v="8"/>
    <x v="7"/>
    <s v="P012"/>
    <x v="2"/>
    <n v="1"/>
    <n v="1377"/>
    <n v="15"/>
    <x v="3"/>
    <n v="900"/>
    <n v="1377"/>
    <n v="900"/>
    <n v="477"/>
    <n v="0.34640522875816998"/>
    <n v="0"/>
    <n v="0"/>
    <n v="1"/>
    <n v="1377"/>
  </r>
  <r>
    <s v="S0806"/>
    <d v="2024-08-22T00:00:00"/>
    <x v="33"/>
    <n v="8"/>
    <x v="7"/>
    <s v="P017"/>
    <x v="4"/>
    <n v="2"/>
    <n v="500"/>
    <n v="0"/>
    <x v="15"/>
    <n v="200"/>
    <n v="1000"/>
    <n v="400"/>
    <n v="600"/>
    <n v="0.6"/>
    <n v="0"/>
    <n v="0"/>
    <n v="2"/>
    <n v="1000"/>
  </r>
  <r>
    <s v="S0805"/>
    <d v="2024-08-22T00:00:00"/>
    <x v="33"/>
    <n v="8"/>
    <x v="7"/>
    <s v="P030"/>
    <x v="5"/>
    <n v="2"/>
    <n v="595"/>
    <n v="15"/>
    <x v="29"/>
    <n v="350"/>
    <n v="1190"/>
    <n v="700"/>
    <n v="490"/>
    <n v="0.41176470588235298"/>
    <n v="0"/>
    <n v="0"/>
    <n v="2"/>
    <n v="1190"/>
  </r>
  <r>
    <s v="S0829"/>
    <d v="2024-08-23T00:00:00"/>
    <x v="33"/>
    <n v="8"/>
    <x v="7"/>
    <s v="P014"/>
    <x v="2"/>
    <n v="3"/>
    <n v="810"/>
    <n v="10"/>
    <x v="18"/>
    <n v="500"/>
    <n v="2430"/>
    <n v="1500"/>
    <n v="930"/>
    <n v="0.38271604938271597"/>
    <n v="0"/>
    <n v="0"/>
    <n v="3"/>
    <n v="2430"/>
  </r>
  <r>
    <s v="S0831"/>
    <d v="2024-08-24T00:00:00"/>
    <x v="33"/>
    <n v="8"/>
    <x v="7"/>
    <s v="P015"/>
    <x v="2"/>
    <n v="2"/>
    <n v="535.5"/>
    <n v="15"/>
    <x v="24"/>
    <n v="350"/>
    <n v="1071"/>
    <n v="700"/>
    <n v="371"/>
    <n v="0.34640522875816998"/>
    <n v="0"/>
    <n v="0"/>
    <n v="2"/>
    <n v="1071"/>
  </r>
  <r>
    <s v="S0798"/>
    <d v="2024-08-24T00:00:00"/>
    <x v="33"/>
    <n v="8"/>
    <x v="7"/>
    <s v="P027"/>
    <x v="5"/>
    <n v="3"/>
    <n v="816"/>
    <n v="15"/>
    <x v="28"/>
    <n v="480"/>
    <n v="2448"/>
    <n v="1440"/>
    <n v="1008"/>
    <n v="0.41176470588235298"/>
    <n v="0"/>
    <n v="0"/>
    <n v="3"/>
    <n v="2448"/>
  </r>
  <r>
    <s v="S0793"/>
    <d v="2024-08-24T00:00:00"/>
    <x v="33"/>
    <n v="8"/>
    <x v="7"/>
    <s v="P013"/>
    <x v="2"/>
    <n v="4"/>
    <n v="1980"/>
    <n v="0"/>
    <x v="21"/>
    <n v="1100"/>
    <n v="7920"/>
    <n v="4400"/>
    <n v="3520"/>
    <n v="0.44444444444444398"/>
    <n v="2"/>
    <n v="2"/>
    <n v="2"/>
    <n v="3960"/>
  </r>
  <r>
    <s v="S0801"/>
    <d v="2024-08-26T00:00:00"/>
    <x v="34"/>
    <n v="8"/>
    <x v="7"/>
    <s v="P004"/>
    <x v="0"/>
    <n v="2"/>
    <n v="2508"/>
    <n v="5"/>
    <x v="5"/>
    <n v="1200"/>
    <n v="5016"/>
    <n v="2400"/>
    <n v="2616"/>
    <n v="0.52153110047846896"/>
    <n v="0"/>
    <n v="0"/>
    <n v="2"/>
    <n v="5016"/>
  </r>
  <r>
    <s v="S0794"/>
    <d v="2024-08-26T00:00:00"/>
    <x v="34"/>
    <n v="8"/>
    <x v="7"/>
    <s v="P004"/>
    <x v="0"/>
    <n v="5"/>
    <n v="2640"/>
    <n v="0"/>
    <x v="5"/>
    <n v="1200"/>
    <n v="13200"/>
    <n v="6000"/>
    <n v="7200"/>
    <n v="0.54545454545454497"/>
    <n v="0"/>
    <n v="0"/>
    <n v="5"/>
    <n v="13200"/>
  </r>
  <r>
    <s v="S0853"/>
    <d v="2024-08-26T00:00:00"/>
    <x v="34"/>
    <n v="8"/>
    <x v="7"/>
    <s v="P016"/>
    <x v="2"/>
    <n v="2"/>
    <n v="2340"/>
    <n v="0"/>
    <x v="13"/>
    <n v="1300"/>
    <n v="4680"/>
    <n v="2600"/>
    <n v="2080"/>
    <n v="0.44444444444444398"/>
    <n v="1"/>
    <n v="1"/>
    <n v="1"/>
    <n v="2340"/>
  </r>
  <r>
    <s v="S0861"/>
    <d v="2024-08-26T00:00:00"/>
    <x v="34"/>
    <n v="8"/>
    <x v="7"/>
    <s v="P013"/>
    <x v="2"/>
    <n v="1"/>
    <n v="1782"/>
    <n v="10"/>
    <x v="21"/>
    <n v="1100"/>
    <n v="1782"/>
    <n v="1100"/>
    <n v="682"/>
    <n v="0.38271604938271597"/>
    <n v="0"/>
    <n v="0"/>
    <n v="1"/>
    <n v="1782"/>
  </r>
  <r>
    <s v="S0855"/>
    <d v="2024-08-26T00:00:00"/>
    <x v="34"/>
    <n v="8"/>
    <x v="7"/>
    <s v="P011"/>
    <x v="3"/>
    <n v="1"/>
    <n v="1260"/>
    <n v="10"/>
    <x v="9"/>
    <n v="700"/>
    <n v="1260"/>
    <n v="700"/>
    <n v="560"/>
    <n v="0.44444444444444398"/>
    <n v="0"/>
    <n v="0"/>
    <n v="1"/>
    <n v="1260"/>
  </r>
  <r>
    <s v="S0883"/>
    <d v="2024-08-26T00:00:00"/>
    <x v="34"/>
    <n v="8"/>
    <x v="7"/>
    <s v="P030"/>
    <x v="5"/>
    <n v="3"/>
    <n v="595"/>
    <n v="15"/>
    <x v="29"/>
    <n v="350"/>
    <n v="1785"/>
    <n v="1050"/>
    <n v="735"/>
    <n v="0.41176470588235298"/>
    <n v="0"/>
    <n v="0"/>
    <n v="3"/>
    <n v="1785"/>
  </r>
  <r>
    <s v="S0817"/>
    <d v="2024-08-27T00:00:00"/>
    <x v="34"/>
    <n v="8"/>
    <x v="7"/>
    <s v="P027"/>
    <x v="5"/>
    <n v="1"/>
    <n v="912"/>
    <n v="5"/>
    <x v="28"/>
    <n v="480"/>
    <n v="912"/>
    <n v="480"/>
    <n v="432"/>
    <n v="0.47368421052631599"/>
    <n v="0"/>
    <n v="0"/>
    <n v="1"/>
    <n v="912"/>
  </r>
  <r>
    <s v="S0857"/>
    <d v="2024-08-27T00:00:00"/>
    <x v="34"/>
    <n v="8"/>
    <x v="7"/>
    <s v="P005"/>
    <x v="0"/>
    <n v="5"/>
    <n v="3960"/>
    <n v="10"/>
    <x v="25"/>
    <n v="2000"/>
    <n v="19800"/>
    <n v="10000"/>
    <n v="9800"/>
    <n v="0.49494949494949497"/>
    <n v="0"/>
    <n v="0"/>
    <n v="5"/>
    <n v="19800"/>
  </r>
  <r>
    <s v="S0808"/>
    <d v="2024-08-27T00:00:00"/>
    <x v="34"/>
    <n v="8"/>
    <x v="7"/>
    <s v="P007"/>
    <x v="3"/>
    <n v="2"/>
    <n v="1020"/>
    <n v="15"/>
    <x v="22"/>
    <n v="600"/>
    <n v="2040"/>
    <n v="1200"/>
    <n v="840"/>
    <n v="0.41176470588235298"/>
    <n v="0"/>
    <n v="0"/>
    <n v="2"/>
    <n v="2040"/>
  </r>
  <r>
    <s v="S0834"/>
    <d v="2024-08-27T00:00:00"/>
    <x v="34"/>
    <n v="8"/>
    <x v="7"/>
    <s v="P029"/>
    <x v="5"/>
    <n v="2"/>
    <n v="380"/>
    <n v="5"/>
    <x v="27"/>
    <n v="200"/>
    <n v="760"/>
    <n v="400"/>
    <n v="360"/>
    <n v="0.47368421052631599"/>
    <n v="0"/>
    <n v="0"/>
    <n v="2"/>
    <n v="760"/>
  </r>
  <r>
    <s v="S0867"/>
    <d v="2024-08-28T00:00:00"/>
    <x v="34"/>
    <n v="8"/>
    <x v="7"/>
    <s v="P005"/>
    <x v="0"/>
    <n v="1"/>
    <n v="4400"/>
    <n v="0"/>
    <x v="25"/>
    <n v="2000"/>
    <n v="4400"/>
    <n v="2000"/>
    <n v="2400"/>
    <n v="0.54545454545454497"/>
    <n v="0"/>
    <n v="0"/>
    <n v="1"/>
    <n v="4400"/>
  </r>
  <r>
    <s v="S0863"/>
    <d v="2024-08-28T00:00:00"/>
    <x v="34"/>
    <n v="8"/>
    <x v="7"/>
    <s v="P017"/>
    <x v="4"/>
    <n v="3"/>
    <n v="500"/>
    <n v="0"/>
    <x v="15"/>
    <n v="200"/>
    <n v="1500"/>
    <n v="600"/>
    <n v="900"/>
    <n v="0.6"/>
    <n v="0"/>
    <n v="0"/>
    <n v="3"/>
    <n v="1500"/>
  </r>
  <r>
    <s v="S0841"/>
    <d v="2024-08-28T00:00:00"/>
    <x v="34"/>
    <n v="8"/>
    <x v="7"/>
    <s v="P019"/>
    <x v="4"/>
    <n v="3"/>
    <n v="4500"/>
    <n v="0"/>
    <x v="14"/>
    <n v="1800"/>
    <n v="13500"/>
    <n v="5400"/>
    <n v="8100"/>
    <n v="0.6"/>
    <n v="0"/>
    <n v="0"/>
    <n v="3"/>
    <n v="13500"/>
  </r>
  <r>
    <s v="S0797"/>
    <d v="2024-08-28T00:00:00"/>
    <x v="34"/>
    <n v="8"/>
    <x v="7"/>
    <s v="P009"/>
    <x v="3"/>
    <n v="5"/>
    <n v="510"/>
    <n v="15"/>
    <x v="7"/>
    <n v="300"/>
    <n v="2550"/>
    <n v="1500"/>
    <n v="1050"/>
    <n v="0.41176470588235298"/>
    <n v="0"/>
    <n v="0"/>
    <n v="5"/>
    <n v="2550"/>
  </r>
  <r>
    <s v="S0844"/>
    <d v="2024-08-29T00:00:00"/>
    <x v="34"/>
    <n v="8"/>
    <x v="7"/>
    <s v="P028"/>
    <x v="5"/>
    <n v="1"/>
    <n v="510"/>
    <n v="15"/>
    <x v="26"/>
    <n v="300"/>
    <n v="510"/>
    <n v="300"/>
    <n v="210"/>
    <n v="0.41176470588235298"/>
    <n v="0"/>
    <n v="0"/>
    <n v="1"/>
    <n v="510"/>
  </r>
  <r>
    <s v="S0813"/>
    <d v="2024-08-29T00:00:00"/>
    <x v="34"/>
    <n v="8"/>
    <x v="7"/>
    <s v="P018"/>
    <x v="4"/>
    <n v="1"/>
    <n v="342"/>
    <n v="10"/>
    <x v="16"/>
    <n v="150"/>
    <n v="342"/>
    <n v="150"/>
    <n v="192"/>
    <n v="0.56140350877193002"/>
    <n v="0"/>
    <n v="0"/>
    <n v="1"/>
    <n v="342"/>
  </r>
  <r>
    <s v="S0818"/>
    <d v="2024-08-30T00:00:00"/>
    <x v="34"/>
    <n v="8"/>
    <x v="7"/>
    <s v="P003"/>
    <x v="0"/>
    <n v="1"/>
    <n v="340"/>
    <n v="15"/>
    <x v="17"/>
    <n v="180"/>
    <n v="340"/>
    <n v="180"/>
    <n v="160"/>
    <n v="0.47058823529411797"/>
    <n v="0"/>
    <n v="0"/>
    <n v="1"/>
    <n v="340"/>
  </r>
  <r>
    <s v="S0881"/>
    <d v="2024-08-31T00:00:00"/>
    <x v="34"/>
    <n v="8"/>
    <x v="7"/>
    <s v="P006"/>
    <x v="0"/>
    <n v="5"/>
    <n v="432"/>
    <n v="10"/>
    <x v="0"/>
    <n v="220"/>
    <n v="2160"/>
    <n v="1100"/>
    <n v="1060"/>
    <n v="0.49074074074074098"/>
    <n v="0"/>
    <n v="0"/>
    <n v="5"/>
    <n v="2160"/>
  </r>
  <r>
    <s v="S0840"/>
    <d v="2024-08-31T00:00:00"/>
    <x v="34"/>
    <n v="8"/>
    <x v="7"/>
    <s v="P020"/>
    <x v="4"/>
    <n v="2"/>
    <n v="1500"/>
    <n v="0"/>
    <x v="8"/>
    <n v="600"/>
    <n v="3000"/>
    <n v="1200"/>
    <n v="1800"/>
    <n v="0.6"/>
    <n v="0"/>
    <n v="0"/>
    <n v="2"/>
    <n v="3000"/>
  </r>
  <r>
    <s v="S0836"/>
    <d v="2024-08-31T00:00:00"/>
    <x v="34"/>
    <n v="8"/>
    <x v="7"/>
    <s v="P021"/>
    <x v="4"/>
    <n v="1"/>
    <n v="1000"/>
    <n v="0"/>
    <x v="6"/>
    <n v="400"/>
    <n v="1000"/>
    <n v="400"/>
    <n v="600"/>
    <n v="0.6"/>
    <n v="0"/>
    <n v="0"/>
    <n v="1"/>
    <n v="1000"/>
  </r>
  <r>
    <s v="S0848"/>
    <d v="2024-08-31T00:00:00"/>
    <x v="34"/>
    <n v="8"/>
    <x v="7"/>
    <s v="P003"/>
    <x v="0"/>
    <n v="5"/>
    <n v="380"/>
    <n v="5"/>
    <x v="17"/>
    <n v="180"/>
    <n v="1900"/>
    <n v="900"/>
    <n v="1000"/>
    <n v="0.52631578947368396"/>
    <n v="0"/>
    <n v="0"/>
    <n v="5"/>
    <n v="1900"/>
  </r>
  <r>
    <s v="S0809"/>
    <d v="2024-08-31T00:00:00"/>
    <x v="34"/>
    <n v="8"/>
    <x v="7"/>
    <s v="P027"/>
    <x v="5"/>
    <n v="1"/>
    <n v="960"/>
    <n v="0"/>
    <x v="28"/>
    <n v="480"/>
    <n v="960"/>
    <n v="480"/>
    <n v="480"/>
    <n v="0.5"/>
    <n v="0"/>
    <n v="0"/>
    <n v="1"/>
    <n v="960"/>
  </r>
  <r>
    <s v="S0822"/>
    <d v="2024-08-31T00:00:00"/>
    <x v="34"/>
    <n v="8"/>
    <x v="7"/>
    <s v="P020"/>
    <x v="4"/>
    <n v="1"/>
    <n v="1500"/>
    <n v="0"/>
    <x v="8"/>
    <n v="600"/>
    <n v="1500"/>
    <n v="600"/>
    <n v="900"/>
    <n v="0.6"/>
    <n v="0"/>
    <n v="0"/>
    <n v="1"/>
    <n v="1500"/>
  </r>
  <r>
    <s v="S0886"/>
    <d v="2024-09-01T00:00:00"/>
    <x v="34"/>
    <n v="9"/>
    <x v="8"/>
    <s v="P022"/>
    <x v="1"/>
    <n v="1"/>
    <n v="1470"/>
    <n v="0"/>
    <x v="11"/>
    <n v="700"/>
    <n v="1470"/>
    <n v="700"/>
    <n v="770"/>
    <n v="0.52380952380952395"/>
    <n v="0"/>
    <n v="0"/>
    <n v="1"/>
    <n v="1470"/>
  </r>
  <r>
    <s v="S0947"/>
    <d v="2024-09-01T00:00:00"/>
    <x v="34"/>
    <n v="9"/>
    <x v="8"/>
    <s v="P010"/>
    <x v="3"/>
    <n v="3"/>
    <n v="450"/>
    <n v="10"/>
    <x v="4"/>
    <n v="250"/>
    <n v="1350"/>
    <n v="750"/>
    <n v="600"/>
    <n v="0.44444444444444398"/>
    <n v="0"/>
    <n v="0"/>
    <n v="3"/>
    <n v="1350"/>
  </r>
  <r>
    <s v="S0931"/>
    <d v="2024-09-02T00:00:00"/>
    <x v="35"/>
    <n v="9"/>
    <x v="8"/>
    <s v="P024"/>
    <x v="1"/>
    <n v="4"/>
    <n v="1680"/>
    <n v="0"/>
    <x v="20"/>
    <n v="800"/>
    <n v="6720"/>
    <n v="3200"/>
    <n v="3520"/>
    <n v="0.52380952380952395"/>
    <n v="0"/>
    <n v="0"/>
    <n v="4"/>
    <n v="6720"/>
  </r>
  <r>
    <s v="S0986"/>
    <d v="2024-09-02T00:00:00"/>
    <x v="35"/>
    <n v="9"/>
    <x v="8"/>
    <s v="P012"/>
    <x v="2"/>
    <n v="1"/>
    <n v="1620"/>
    <n v="0"/>
    <x v="3"/>
    <n v="900"/>
    <n v="1620"/>
    <n v="900"/>
    <n v="720"/>
    <n v="0.44444444444444398"/>
    <n v="1"/>
    <n v="1"/>
    <n v="0"/>
    <n v="0"/>
  </r>
  <r>
    <s v="S0984"/>
    <d v="2024-09-02T00:00:00"/>
    <x v="35"/>
    <n v="9"/>
    <x v="8"/>
    <s v="P030"/>
    <x v="5"/>
    <n v="2"/>
    <n v="700"/>
    <n v="0"/>
    <x v="29"/>
    <n v="350"/>
    <n v="1400"/>
    <n v="700"/>
    <n v="700"/>
    <n v="0.5"/>
    <n v="0"/>
    <n v="0"/>
    <n v="2"/>
    <n v="1400"/>
  </r>
  <r>
    <s v="S0971"/>
    <d v="2024-09-02T00:00:00"/>
    <x v="35"/>
    <n v="9"/>
    <x v="8"/>
    <s v="P020"/>
    <x v="4"/>
    <n v="2"/>
    <n v="1275"/>
    <n v="15"/>
    <x v="8"/>
    <n v="600"/>
    <n v="2550"/>
    <n v="1200"/>
    <n v="1350"/>
    <n v="0.52941176470588203"/>
    <n v="0"/>
    <n v="0"/>
    <n v="2"/>
    <n v="2550"/>
  </r>
  <r>
    <s v="S0972"/>
    <d v="2024-09-03T00:00:00"/>
    <x v="35"/>
    <n v="9"/>
    <x v="8"/>
    <s v="P004"/>
    <x v="0"/>
    <n v="4"/>
    <n v="2640"/>
    <n v="0"/>
    <x v="5"/>
    <n v="1200"/>
    <n v="10560"/>
    <n v="4800"/>
    <n v="5760"/>
    <n v="0.54545454545454497"/>
    <n v="0"/>
    <n v="0"/>
    <n v="4"/>
    <n v="10560"/>
  </r>
  <r>
    <s v="S0960"/>
    <d v="2024-09-03T00:00:00"/>
    <x v="35"/>
    <n v="9"/>
    <x v="8"/>
    <s v="P024"/>
    <x v="1"/>
    <n v="2"/>
    <n v="1428"/>
    <n v="15"/>
    <x v="20"/>
    <n v="800"/>
    <n v="2856"/>
    <n v="1600"/>
    <n v="1256"/>
    <n v="0.43977591036414598"/>
    <n v="0"/>
    <n v="0"/>
    <n v="2"/>
    <n v="2856"/>
  </r>
  <r>
    <s v="S0919"/>
    <d v="2024-09-03T00:00:00"/>
    <x v="35"/>
    <n v="9"/>
    <x v="8"/>
    <s v="P003"/>
    <x v="0"/>
    <n v="2"/>
    <n v="380"/>
    <n v="5"/>
    <x v="17"/>
    <n v="180"/>
    <n v="760"/>
    <n v="360"/>
    <n v="400"/>
    <n v="0.52631578947368396"/>
    <n v="0"/>
    <n v="0"/>
    <n v="2"/>
    <n v="760"/>
  </r>
  <r>
    <s v="S0917"/>
    <d v="2024-09-03T00:00:00"/>
    <x v="35"/>
    <n v="9"/>
    <x v="8"/>
    <s v="P023"/>
    <x v="1"/>
    <n v="4"/>
    <n v="3150"/>
    <n v="0"/>
    <x v="12"/>
    <n v="1500"/>
    <n v="12600"/>
    <n v="6000"/>
    <n v="6600"/>
    <n v="0.52380952380952395"/>
    <n v="0"/>
    <n v="0"/>
    <n v="4"/>
    <n v="12600"/>
  </r>
  <r>
    <s v="S0891"/>
    <d v="2024-09-03T00:00:00"/>
    <x v="35"/>
    <n v="9"/>
    <x v="8"/>
    <s v="P003"/>
    <x v="0"/>
    <n v="5"/>
    <n v="400"/>
    <n v="0"/>
    <x v="17"/>
    <n v="180"/>
    <n v="2000"/>
    <n v="900"/>
    <n v="1100"/>
    <n v="0.55000000000000004"/>
    <n v="0"/>
    <n v="0"/>
    <n v="5"/>
    <n v="2000"/>
  </r>
  <r>
    <s v="S0978"/>
    <d v="2024-09-04T00:00:00"/>
    <x v="35"/>
    <n v="9"/>
    <x v="8"/>
    <s v="P005"/>
    <x v="0"/>
    <n v="5"/>
    <n v="4400"/>
    <n v="0"/>
    <x v="25"/>
    <n v="2000"/>
    <n v="22000"/>
    <n v="10000"/>
    <n v="12000"/>
    <n v="0.54545454545454497"/>
    <n v="0"/>
    <n v="0"/>
    <n v="5"/>
    <n v="22000"/>
  </r>
  <r>
    <s v="S0889"/>
    <d v="2024-09-04T00:00:00"/>
    <x v="35"/>
    <n v="9"/>
    <x v="8"/>
    <s v="P022"/>
    <x v="1"/>
    <n v="2"/>
    <n v="1396.5"/>
    <n v="5"/>
    <x v="11"/>
    <n v="700"/>
    <n v="2793"/>
    <n v="1400"/>
    <n v="1393"/>
    <n v="0.49874686716791999"/>
    <n v="0"/>
    <n v="0"/>
    <n v="2"/>
    <n v="2793"/>
  </r>
  <r>
    <s v="S0920"/>
    <d v="2024-09-04T00:00:00"/>
    <x v="35"/>
    <n v="9"/>
    <x v="8"/>
    <s v="P024"/>
    <x v="1"/>
    <n v="1"/>
    <n v="1428"/>
    <n v="15"/>
    <x v="20"/>
    <n v="800"/>
    <n v="1428"/>
    <n v="800"/>
    <n v="628"/>
    <n v="0.43977591036414598"/>
    <n v="0"/>
    <n v="0"/>
    <n v="1"/>
    <n v="1428"/>
  </r>
  <r>
    <s v="S0903"/>
    <d v="2024-09-04T00:00:00"/>
    <x v="35"/>
    <n v="9"/>
    <x v="8"/>
    <s v="P030"/>
    <x v="5"/>
    <n v="2"/>
    <n v="595"/>
    <n v="15"/>
    <x v="29"/>
    <n v="350"/>
    <n v="1190"/>
    <n v="700"/>
    <n v="490"/>
    <n v="0.41176470588235298"/>
    <n v="0"/>
    <n v="0"/>
    <n v="2"/>
    <n v="1190"/>
  </r>
  <r>
    <s v="S0902"/>
    <d v="2024-09-04T00:00:00"/>
    <x v="35"/>
    <n v="9"/>
    <x v="8"/>
    <s v="P006"/>
    <x v="0"/>
    <n v="2"/>
    <n v="408"/>
    <n v="15"/>
    <x v="0"/>
    <n v="220"/>
    <n v="816"/>
    <n v="440"/>
    <n v="376"/>
    <n v="0.46078431372549"/>
    <n v="0"/>
    <n v="0"/>
    <n v="2"/>
    <n v="816"/>
  </r>
  <r>
    <s v="S0991"/>
    <d v="2024-09-04T00:00:00"/>
    <x v="35"/>
    <n v="9"/>
    <x v="8"/>
    <s v="P020"/>
    <x v="4"/>
    <n v="3"/>
    <n v="1500"/>
    <n v="0"/>
    <x v="8"/>
    <n v="600"/>
    <n v="4500"/>
    <n v="1800"/>
    <n v="2700"/>
    <n v="0.6"/>
    <n v="0"/>
    <n v="0"/>
    <n v="3"/>
    <n v="4500"/>
  </r>
  <r>
    <s v="S0958"/>
    <d v="2024-09-05T00:00:00"/>
    <x v="35"/>
    <n v="9"/>
    <x v="8"/>
    <s v="P020"/>
    <x v="4"/>
    <n v="3"/>
    <n v="1275"/>
    <n v="15"/>
    <x v="8"/>
    <n v="600"/>
    <n v="3825"/>
    <n v="1800"/>
    <n v="2025"/>
    <n v="0.52941176470588203"/>
    <n v="0"/>
    <n v="0"/>
    <n v="3"/>
    <n v="3825"/>
  </r>
  <r>
    <s v="S0915"/>
    <d v="2024-09-05T00:00:00"/>
    <x v="35"/>
    <n v="9"/>
    <x v="8"/>
    <s v="P004"/>
    <x v="0"/>
    <n v="3"/>
    <n v="2244"/>
    <n v="15"/>
    <x v="5"/>
    <n v="1200"/>
    <n v="6732"/>
    <n v="3600"/>
    <n v="3132"/>
    <n v="0.46524064171122997"/>
    <n v="0"/>
    <n v="0"/>
    <n v="3"/>
    <n v="6732"/>
  </r>
  <r>
    <s v="S0969"/>
    <d v="2024-09-05T00:00:00"/>
    <x v="35"/>
    <n v="9"/>
    <x v="8"/>
    <s v="P007"/>
    <x v="3"/>
    <n v="4"/>
    <n v="1200"/>
    <n v="0"/>
    <x v="22"/>
    <n v="600"/>
    <n v="4800"/>
    <n v="2400"/>
    <n v="2400"/>
    <n v="0.5"/>
    <n v="4"/>
    <n v="4"/>
    <n v="0"/>
    <n v="0"/>
  </r>
  <r>
    <s v="S0894"/>
    <d v="2024-09-05T00:00:00"/>
    <x v="35"/>
    <n v="9"/>
    <x v="8"/>
    <s v="P007"/>
    <x v="3"/>
    <n v="1"/>
    <n v="1200"/>
    <n v="0"/>
    <x v="22"/>
    <n v="600"/>
    <n v="1200"/>
    <n v="600"/>
    <n v="600"/>
    <n v="0.5"/>
    <n v="0"/>
    <n v="0"/>
    <n v="1"/>
    <n v="1200"/>
  </r>
  <r>
    <s v="S0893"/>
    <d v="2024-09-05T00:00:00"/>
    <x v="35"/>
    <n v="9"/>
    <x v="8"/>
    <s v="P013"/>
    <x v="2"/>
    <n v="1"/>
    <n v="1980"/>
    <n v="0"/>
    <x v="21"/>
    <n v="1100"/>
    <n v="1980"/>
    <n v="1100"/>
    <n v="880"/>
    <n v="0.44444444444444398"/>
    <n v="0"/>
    <n v="0"/>
    <n v="1"/>
    <n v="1980"/>
  </r>
  <r>
    <s v="S0994"/>
    <d v="2024-09-05T00:00:00"/>
    <x v="35"/>
    <n v="9"/>
    <x v="8"/>
    <s v="P024"/>
    <x v="1"/>
    <n v="5"/>
    <n v="1596"/>
    <n v="5"/>
    <x v="20"/>
    <n v="800"/>
    <n v="7980"/>
    <n v="4000"/>
    <n v="3980"/>
    <n v="0.49874686716791999"/>
    <n v="0"/>
    <n v="0"/>
    <n v="5"/>
    <n v="7980"/>
  </r>
  <r>
    <s v="S0964"/>
    <d v="2024-09-06T00:00:00"/>
    <x v="35"/>
    <n v="9"/>
    <x v="8"/>
    <s v="P005"/>
    <x v="0"/>
    <n v="1"/>
    <n v="4400"/>
    <n v="0"/>
    <x v="25"/>
    <n v="2000"/>
    <n v="4400"/>
    <n v="2000"/>
    <n v="2400"/>
    <n v="0.54545454545454497"/>
    <n v="0"/>
    <n v="0"/>
    <n v="1"/>
    <n v="4400"/>
  </r>
  <r>
    <s v="S0951"/>
    <d v="2024-09-06T00:00:00"/>
    <x v="35"/>
    <n v="9"/>
    <x v="8"/>
    <s v="P016"/>
    <x v="2"/>
    <n v="4"/>
    <n v="2340"/>
    <n v="0"/>
    <x v="13"/>
    <n v="1300"/>
    <n v="9360"/>
    <n v="5200"/>
    <n v="4160"/>
    <n v="0.44444444444444398"/>
    <n v="0"/>
    <n v="0"/>
    <n v="4"/>
    <n v="9360"/>
  </r>
  <r>
    <s v="S0955"/>
    <d v="2024-09-06T00:00:00"/>
    <x v="35"/>
    <n v="9"/>
    <x v="8"/>
    <s v="P014"/>
    <x v="2"/>
    <n v="4"/>
    <n v="900"/>
    <n v="0"/>
    <x v="18"/>
    <n v="500"/>
    <n v="3600"/>
    <n v="2000"/>
    <n v="1600"/>
    <n v="0.44444444444444398"/>
    <n v="0"/>
    <n v="0"/>
    <n v="4"/>
    <n v="3600"/>
  </r>
  <r>
    <s v="S0935"/>
    <d v="2024-09-07T00:00:00"/>
    <x v="35"/>
    <n v="9"/>
    <x v="8"/>
    <s v="P019"/>
    <x v="4"/>
    <n v="2"/>
    <n v="4500"/>
    <n v="0"/>
    <x v="14"/>
    <n v="1800"/>
    <n v="9000"/>
    <n v="3600"/>
    <n v="5400"/>
    <n v="0.6"/>
    <n v="0"/>
    <n v="0"/>
    <n v="2"/>
    <n v="9000"/>
  </r>
  <r>
    <s v="S0977"/>
    <d v="2024-09-07T00:00:00"/>
    <x v="35"/>
    <n v="9"/>
    <x v="8"/>
    <s v="P001"/>
    <x v="0"/>
    <n v="2"/>
    <n v="693"/>
    <n v="10"/>
    <x v="23"/>
    <n v="350"/>
    <n v="1386"/>
    <n v="700"/>
    <n v="686"/>
    <n v="0.49494949494949497"/>
    <n v="0"/>
    <n v="0"/>
    <n v="2"/>
    <n v="1386"/>
  </r>
  <r>
    <s v="S0988"/>
    <d v="2024-09-07T00:00:00"/>
    <x v="35"/>
    <n v="9"/>
    <x v="8"/>
    <s v="P026"/>
    <x v="1"/>
    <n v="5"/>
    <n v="520"/>
    <n v="0"/>
    <x v="1"/>
    <n v="250"/>
    <n v="2600"/>
    <n v="1250"/>
    <n v="1350"/>
    <n v="0.51923076923076905"/>
    <n v="0"/>
    <n v="0"/>
    <n v="5"/>
    <n v="2600"/>
  </r>
  <r>
    <s v="S0987"/>
    <d v="2024-09-07T00:00:00"/>
    <x v="35"/>
    <n v="9"/>
    <x v="8"/>
    <s v="P017"/>
    <x v="4"/>
    <n v="5"/>
    <n v="500"/>
    <n v="0"/>
    <x v="15"/>
    <n v="200"/>
    <n v="2500"/>
    <n v="1000"/>
    <n v="1500"/>
    <n v="0.6"/>
    <n v="0"/>
    <n v="0"/>
    <n v="5"/>
    <n v="2500"/>
  </r>
  <r>
    <s v="S0937"/>
    <d v="2024-09-08T00:00:00"/>
    <x v="35"/>
    <n v="9"/>
    <x v="8"/>
    <s v="P024"/>
    <x v="1"/>
    <n v="4"/>
    <n v="1680"/>
    <n v="0"/>
    <x v="20"/>
    <n v="800"/>
    <n v="6720"/>
    <n v="3200"/>
    <n v="3520"/>
    <n v="0.52380952380952395"/>
    <n v="0"/>
    <n v="0"/>
    <n v="4"/>
    <n v="6720"/>
  </r>
  <r>
    <s v="S0914"/>
    <d v="2024-09-09T00:00:00"/>
    <x v="36"/>
    <n v="9"/>
    <x v="8"/>
    <s v="P028"/>
    <x v="5"/>
    <n v="5"/>
    <n v="600"/>
    <n v="0"/>
    <x v="26"/>
    <n v="300"/>
    <n v="3000"/>
    <n v="1500"/>
    <n v="1500"/>
    <n v="0.5"/>
    <n v="0"/>
    <n v="0"/>
    <n v="5"/>
    <n v="3000"/>
  </r>
  <r>
    <s v="S0950"/>
    <d v="2024-09-09T00:00:00"/>
    <x v="36"/>
    <n v="9"/>
    <x v="8"/>
    <s v="P003"/>
    <x v="0"/>
    <n v="2"/>
    <n v="400"/>
    <n v="0"/>
    <x v="17"/>
    <n v="180"/>
    <n v="800"/>
    <n v="360"/>
    <n v="440"/>
    <n v="0.55000000000000004"/>
    <n v="0"/>
    <n v="0"/>
    <n v="2"/>
    <n v="800"/>
  </r>
  <r>
    <s v="S0990"/>
    <d v="2024-09-10T00:00:00"/>
    <x v="36"/>
    <n v="9"/>
    <x v="8"/>
    <s v="P026"/>
    <x v="1"/>
    <n v="4"/>
    <n v="520"/>
    <n v="0"/>
    <x v="1"/>
    <n v="250"/>
    <n v="2080"/>
    <n v="1000"/>
    <n v="1080"/>
    <n v="0.51923076923076905"/>
    <n v="0"/>
    <n v="0"/>
    <n v="4"/>
    <n v="2080"/>
  </r>
  <r>
    <s v="S0965"/>
    <d v="2024-09-10T00:00:00"/>
    <x v="36"/>
    <n v="9"/>
    <x v="8"/>
    <s v="P024"/>
    <x v="1"/>
    <n v="3"/>
    <n v="1428"/>
    <n v="15"/>
    <x v="20"/>
    <n v="800"/>
    <n v="4284"/>
    <n v="2400"/>
    <n v="1884"/>
    <n v="0.43977591036414598"/>
    <n v="0"/>
    <n v="0"/>
    <n v="3"/>
    <n v="4284"/>
  </r>
  <r>
    <s v="S0980"/>
    <d v="2024-09-10T00:00:00"/>
    <x v="36"/>
    <n v="9"/>
    <x v="8"/>
    <s v="P023"/>
    <x v="1"/>
    <n v="2"/>
    <n v="2677.5"/>
    <n v="15"/>
    <x v="12"/>
    <n v="1500"/>
    <n v="5355"/>
    <n v="3000"/>
    <n v="2355"/>
    <n v="0.43977591036414598"/>
    <n v="0"/>
    <n v="0"/>
    <n v="2"/>
    <n v="5355"/>
  </r>
  <r>
    <s v="S0913"/>
    <d v="2024-09-11T00:00:00"/>
    <x v="36"/>
    <n v="9"/>
    <x v="8"/>
    <s v="P030"/>
    <x v="5"/>
    <n v="3"/>
    <n v="595"/>
    <n v="15"/>
    <x v="29"/>
    <n v="350"/>
    <n v="1785"/>
    <n v="1050"/>
    <n v="735"/>
    <n v="0.41176470588235298"/>
    <n v="0"/>
    <n v="0"/>
    <n v="3"/>
    <n v="1785"/>
  </r>
  <r>
    <s v="S0912"/>
    <d v="2024-09-11T00:00:00"/>
    <x v="36"/>
    <n v="9"/>
    <x v="8"/>
    <s v="P011"/>
    <x v="3"/>
    <n v="4"/>
    <n v="1330"/>
    <n v="5"/>
    <x v="9"/>
    <n v="700"/>
    <n v="5320"/>
    <n v="2800"/>
    <n v="2520"/>
    <n v="0.47368421052631599"/>
    <n v="0"/>
    <n v="0"/>
    <n v="4"/>
    <n v="5320"/>
  </r>
  <r>
    <s v="S0892"/>
    <d v="2024-09-11T00:00:00"/>
    <x v="36"/>
    <n v="9"/>
    <x v="8"/>
    <s v="P027"/>
    <x v="5"/>
    <n v="3"/>
    <n v="864"/>
    <n v="10"/>
    <x v="28"/>
    <n v="480"/>
    <n v="2592"/>
    <n v="1440"/>
    <n v="1152"/>
    <n v="0.44444444444444398"/>
    <n v="0"/>
    <n v="0"/>
    <n v="3"/>
    <n v="2592"/>
  </r>
  <r>
    <s v="S0966"/>
    <d v="2024-09-11T00:00:00"/>
    <x v="36"/>
    <n v="9"/>
    <x v="8"/>
    <s v="P006"/>
    <x v="0"/>
    <n v="4"/>
    <n v="432"/>
    <n v="10"/>
    <x v="0"/>
    <n v="220"/>
    <n v="1728"/>
    <n v="880"/>
    <n v="848"/>
    <n v="0.49074074074074098"/>
    <n v="2"/>
    <n v="2"/>
    <n v="2"/>
    <n v="864"/>
  </r>
  <r>
    <s v="S0933"/>
    <d v="2024-09-12T00:00:00"/>
    <x v="36"/>
    <n v="9"/>
    <x v="8"/>
    <s v="P016"/>
    <x v="2"/>
    <n v="1"/>
    <n v="2340"/>
    <n v="0"/>
    <x v="13"/>
    <n v="1300"/>
    <n v="2340"/>
    <n v="1300"/>
    <n v="1040"/>
    <n v="0.44444444444444398"/>
    <n v="0"/>
    <n v="0"/>
    <n v="1"/>
    <n v="2340"/>
  </r>
  <r>
    <s v="S0954"/>
    <d v="2024-09-12T00:00:00"/>
    <x v="36"/>
    <n v="9"/>
    <x v="8"/>
    <s v="P010"/>
    <x v="3"/>
    <n v="4"/>
    <n v="500"/>
    <n v="0"/>
    <x v="4"/>
    <n v="250"/>
    <n v="2000"/>
    <n v="1000"/>
    <n v="1000"/>
    <n v="0.5"/>
    <n v="3"/>
    <n v="3"/>
    <n v="1"/>
    <n v="500"/>
  </r>
  <r>
    <s v="S0939"/>
    <d v="2024-09-12T00:00:00"/>
    <x v="36"/>
    <n v="9"/>
    <x v="8"/>
    <s v="P001"/>
    <x v="0"/>
    <n v="3"/>
    <n v="770"/>
    <n v="0"/>
    <x v="23"/>
    <n v="350"/>
    <n v="2310"/>
    <n v="1050"/>
    <n v="1260"/>
    <n v="0.54545454545454497"/>
    <n v="0"/>
    <n v="0"/>
    <n v="3"/>
    <n v="2310"/>
  </r>
  <r>
    <s v="S0938"/>
    <d v="2024-09-12T00:00:00"/>
    <x v="36"/>
    <n v="9"/>
    <x v="8"/>
    <s v="P025"/>
    <x v="1"/>
    <n v="5"/>
    <n v="846"/>
    <n v="10"/>
    <x v="19"/>
    <n v="450"/>
    <n v="4230"/>
    <n v="2250"/>
    <n v="1980"/>
    <n v="0.46808510638297901"/>
    <n v="0"/>
    <n v="0"/>
    <n v="5"/>
    <n v="4230"/>
  </r>
  <r>
    <s v="S0962"/>
    <d v="2024-09-13T00:00:00"/>
    <x v="36"/>
    <n v="9"/>
    <x v="8"/>
    <s v="P023"/>
    <x v="1"/>
    <n v="1"/>
    <n v="2992.5"/>
    <n v="5"/>
    <x v="12"/>
    <n v="1500"/>
    <n v="2992.5"/>
    <n v="1500"/>
    <n v="1492.5"/>
    <n v="0.49874686716791999"/>
    <n v="0"/>
    <n v="0"/>
    <n v="1"/>
    <n v="2992.5"/>
  </r>
  <r>
    <s v="S0957"/>
    <d v="2024-09-13T00:00:00"/>
    <x v="36"/>
    <n v="9"/>
    <x v="8"/>
    <s v="P001"/>
    <x v="0"/>
    <n v="2"/>
    <n v="770"/>
    <n v="0"/>
    <x v="23"/>
    <n v="350"/>
    <n v="1540"/>
    <n v="700"/>
    <n v="840"/>
    <n v="0.54545454545454497"/>
    <n v="2"/>
    <n v="2"/>
    <n v="0"/>
    <n v="0"/>
  </r>
  <r>
    <s v="S0898"/>
    <d v="2024-09-13T00:00:00"/>
    <x v="36"/>
    <n v="9"/>
    <x v="8"/>
    <s v="P008"/>
    <x v="3"/>
    <n v="5"/>
    <n v="900"/>
    <n v="10"/>
    <x v="10"/>
    <n v="500"/>
    <n v="4500"/>
    <n v="2500"/>
    <n v="2000"/>
    <n v="0.44444444444444398"/>
    <n v="0"/>
    <n v="0"/>
    <n v="5"/>
    <n v="4500"/>
  </r>
  <r>
    <s v="S0910"/>
    <d v="2024-09-13T00:00:00"/>
    <x v="36"/>
    <n v="9"/>
    <x v="8"/>
    <s v="P003"/>
    <x v="0"/>
    <n v="1"/>
    <n v="380"/>
    <n v="5"/>
    <x v="17"/>
    <n v="180"/>
    <n v="380"/>
    <n v="180"/>
    <n v="200"/>
    <n v="0.52631578947368396"/>
    <n v="0"/>
    <n v="0"/>
    <n v="1"/>
    <n v="380"/>
  </r>
  <r>
    <s v="S0985"/>
    <d v="2024-09-13T00:00:00"/>
    <x v="36"/>
    <n v="9"/>
    <x v="8"/>
    <s v="P002"/>
    <x v="0"/>
    <n v="4"/>
    <n v="792"/>
    <n v="10"/>
    <x v="2"/>
    <n v="400"/>
    <n v="3168"/>
    <n v="1600"/>
    <n v="1568"/>
    <n v="0.49494949494949497"/>
    <n v="0"/>
    <n v="0"/>
    <n v="4"/>
    <n v="3168"/>
  </r>
  <r>
    <s v="S0906"/>
    <d v="2024-09-14T00:00:00"/>
    <x v="36"/>
    <n v="9"/>
    <x v="8"/>
    <s v="P002"/>
    <x v="0"/>
    <n v="4"/>
    <n v="836"/>
    <n v="5"/>
    <x v="2"/>
    <n v="400"/>
    <n v="3344"/>
    <n v="1600"/>
    <n v="1744"/>
    <n v="0.52153110047846896"/>
    <n v="0"/>
    <n v="0"/>
    <n v="4"/>
    <n v="3344"/>
  </r>
  <r>
    <s v="S0908"/>
    <d v="2024-09-14T00:00:00"/>
    <x v="36"/>
    <n v="9"/>
    <x v="8"/>
    <s v="P006"/>
    <x v="0"/>
    <n v="1"/>
    <n v="480"/>
    <n v="0"/>
    <x v="0"/>
    <n v="220"/>
    <n v="480"/>
    <n v="220"/>
    <n v="260"/>
    <n v="0.54166666666666696"/>
    <n v="0"/>
    <n v="0"/>
    <n v="1"/>
    <n v="480"/>
  </r>
  <r>
    <s v="S0993"/>
    <d v="2024-09-14T00:00:00"/>
    <x v="36"/>
    <n v="9"/>
    <x v="8"/>
    <s v="P026"/>
    <x v="1"/>
    <n v="2"/>
    <n v="520"/>
    <n v="0"/>
    <x v="1"/>
    <n v="250"/>
    <n v="1040"/>
    <n v="500"/>
    <n v="540"/>
    <n v="0.51923076923076905"/>
    <n v="0"/>
    <n v="0"/>
    <n v="2"/>
    <n v="1040"/>
  </r>
  <r>
    <s v="S0927"/>
    <d v="2024-09-14T00:00:00"/>
    <x v="36"/>
    <n v="9"/>
    <x v="8"/>
    <s v="P008"/>
    <x v="3"/>
    <n v="1"/>
    <n v="1000"/>
    <n v="0"/>
    <x v="10"/>
    <n v="500"/>
    <n v="1000"/>
    <n v="500"/>
    <n v="500"/>
    <n v="0.5"/>
    <n v="0"/>
    <n v="0"/>
    <n v="1"/>
    <n v="1000"/>
  </r>
  <r>
    <s v="S0979"/>
    <d v="2024-09-14T00:00:00"/>
    <x v="36"/>
    <n v="9"/>
    <x v="8"/>
    <s v="P001"/>
    <x v="0"/>
    <n v="5"/>
    <n v="770"/>
    <n v="0"/>
    <x v="23"/>
    <n v="350"/>
    <n v="3850"/>
    <n v="1750"/>
    <n v="2100"/>
    <n v="0.54545454545454497"/>
    <n v="0"/>
    <n v="0"/>
    <n v="5"/>
    <n v="3850"/>
  </r>
  <r>
    <s v="S0976"/>
    <d v="2024-09-14T00:00:00"/>
    <x v="36"/>
    <n v="9"/>
    <x v="8"/>
    <s v="P012"/>
    <x v="2"/>
    <n v="5"/>
    <n v="1620"/>
    <n v="0"/>
    <x v="3"/>
    <n v="900"/>
    <n v="8100"/>
    <n v="4500"/>
    <n v="3600"/>
    <n v="0.44444444444444398"/>
    <n v="0"/>
    <n v="0"/>
    <n v="5"/>
    <n v="8100"/>
  </r>
  <r>
    <s v="S0888"/>
    <d v="2024-09-14T00:00:00"/>
    <x v="36"/>
    <n v="9"/>
    <x v="8"/>
    <s v="P025"/>
    <x v="1"/>
    <n v="4"/>
    <n v="799"/>
    <n v="15"/>
    <x v="19"/>
    <n v="450"/>
    <n v="3196"/>
    <n v="1800"/>
    <n v="1396"/>
    <n v="0.436795994993742"/>
    <n v="0"/>
    <n v="0"/>
    <n v="4"/>
    <n v="3196"/>
  </r>
  <r>
    <s v="S0974"/>
    <d v="2024-09-14T00:00:00"/>
    <x v="36"/>
    <n v="9"/>
    <x v="8"/>
    <s v="P011"/>
    <x v="3"/>
    <n v="3"/>
    <n v="1330"/>
    <n v="5"/>
    <x v="9"/>
    <n v="700"/>
    <n v="3990"/>
    <n v="2100"/>
    <n v="1890"/>
    <n v="0.47368421052631599"/>
    <n v="0"/>
    <n v="0"/>
    <n v="3"/>
    <n v="3990"/>
  </r>
  <r>
    <s v="S0963"/>
    <d v="2024-09-15T00:00:00"/>
    <x v="36"/>
    <n v="9"/>
    <x v="8"/>
    <s v="P013"/>
    <x v="2"/>
    <n v="1"/>
    <n v="1980"/>
    <n v="0"/>
    <x v="21"/>
    <n v="1100"/>
    <n v="1980"/>
    <n v="1100"/>
    <n v="880"/>
    <n v="0.44444444444444398"/>
    <n v="0"/>
    <n v="0"/>
    <n v="1"/>
    <n v="1980"/>
  </r>
  <r>
    <s v="S0973"/>
    <d v="2024-09-15T00:00:00"/>
    <x v="36"/>
    <n v="9"/>
    <x v="8"/>
    <s v="P013"/>
    <x v="2"/>
    <n v="5"/>
    <n v="1683"/>
    <n v="15"/>
    <x v="21"/>
    <n v="1100"/>
    <n v="8415"/>
    <n v="5500"/>
    <n v="2915"/>
    <n v="0.34640522875816998"/>
    <n v="0"/>
    <n v="0"/>
    <n v="5"/>
    <n v="8415"/>
  </r>
  <r>
    <s v="S0900"/>
    <d v="2024-09-15T00:00:00"/>
    <x v="36"/>
    <n v="9"/>
    <x v="8"/>
    <s v="P021"/>
    <x v="4"/>
    <n v="4"/>
    <n v="900"/>
    <n v="10"/>
    <x v="6"/>
    <n v="400"/>
    <n v="3600"/>
    <n v="1600"/>
    <n v="2000"/>
    <n v="0.55555555555555602"/>
    <n v="0"/>
    <n v="0"/>
    <n v="4"/>
    <n v="3600"/>
  </r>
  <r>
    <s v="S0992"/>
    <d v="2024-09-16T00:00:00"/>
    <x v="37"/>
    <n v="9"/>
    <x v="8"/>
    <s v="P012"/>
    <x v="2"/>
    <n v="4"/>
    <n v="1377"/>
    <n v="15"/>
    <x v="3"/>
    <n v="900"/>
    <n v="5508"/>
    <n v="3600"/>
    <n v="1908"/>
    <n v="0.34640522875816998"/>
    <n v="0"/>
    <n v="0"/>
    <n v="4"/>
    <n v="5508"/>
  </r>
  <r>
    <s v="S0982"/>
    <d v="2024-09-16T00:00:00"/>
    <x v="37"/>
    <n v="9"/>
    <x v="8"/>
    <s v="P007"/>
    <x v="3"/>
    <n v="5"/>
    <n v="1080"/>
    <n v="10"/>
    <x v="22"/>
    <n v="600"/>
    <n v="5400"/>
    <n v="3000"/>
    <n v="2400"/>
    <n v="0.44444444444444398"/>
    <n v="0"/>
    <n v="0"/>
    <n v="5"/>
    <n v="5400"/>
  </r>
  <r>
    <s v="S0887"/>
    <d v="2024-09-16T00:00:00"/>
    <x v="37"/>
    <n v="9"/>
    <x v="8"/>
    <s v="P001"/>
    <x v="0"/>
    <n v="4"/>
    <n v="731.5"/>
    <n v="5"/>
    <x v="23"/>
    <n v="350"/>
    <n v="2926"/>
    <n v="1400"/>
    <n v="1526"/>
    <n v="0.52153110047846896"/>
    <n v="0"/>
    <n v="0"/>
    <n v="4"/>
    <n v="2926"/>
  </r>
  <r>
    <s v="S0961"/>
    <d v="2024-09-17T00:00:00"/>
    <x v="37"/>
    <n v="9"/>
    <x v="8"/>
    <s v="P007"/>
    <x v="3"/>
    <n v="3"/>
    <n v="1200"/>
    <n v="0"/>
    <x v="22"/>
    <n v="600"/>
    <n v="3600"/>
    <n v="1800"/>
    <n v="1800"/>
    <n v="0.5"/>
    <n v="0"/>
    <n v="0"/>
    <n v="3"/>
    <n v="3600"/>
  </r>
  <r>
    <s v="S0899"/>
    <d v="2024-09-17T00:00:00"/>
    <x v="37"/>
    <n v="9"/>
    <x v="8"/>
    <s v="P009"/>
    <x v="3"/>
    <n v="2"/>
    <n v="600"/>
    <n v="0"/>
    <x v="7"/>
    <n v="300"/>
    <n v="1200"/>
    <n v="600"/>
    <n v="600"/>
    <n v="0.5"/>
    <n v="0"/>
    <n v="0"/>
    <n v="2"/>
    <n v="1200"/>
  </r>
  <r>
    <s v="S0923"/>
    <d v="2024-09-18T00:00:00"/>
    <x v="37"/>
    <n v="9"/>
    <x v="8"/>
    <s v="P002"/>
    <x v="0"/>
    <n v="4"/>
    <n v="880"/>
    <n v="0"/>
    <x v="2"/>
    <n v="400"/>
    <n v="3520"/>
    <n v="1600"/>
    <n v="1920"/>
    <n v="0.54545454545454497"/>
    <n v="0"/>
    <n v="0"/>
    <n v="4"/>
    <n v="3520"/>
  </r>
  <r>
    <s v="S0995"/>
    <d v="2024-09-18T00:00:00"/>
    <x v="37"/>
    <n v="9"/>
    <x v="8"/>
    <s v="P004"/>
    <x v="0"/>
    <n v="1"/>
    <n v="2244"/>
    <n v="15"/>
    <x v="5"/>
    <n v="1200"/>
    <n v="2244"/>
    <n v="1200"/>
    <n v="1044"/>
    <n v="0.46524064171122997"/>
    <n v="0"/>
    <n v="0"/>
    <n v="1"/>
    <n v="2244"/>
  </r>
  <r>
    <s v="S0925"/>
    <d v="2024-09-18T00:00:00"/>
    <x v="37"/>
    <n v="9"/>
    <x v="8"/>
    <s v="P011"/>
    <x v="3"/>
    <n v="1"/>
    <n v="1400"/>
    <n v="0"/>
    <x v="9"/>
    <n v="700"/>
    <n v="1400"/>
    <n v="700"/>
    <n v="700"/>
    <n v="0.5"/>
    <n v="0"/>
    <n v="0"/>
    <n v="1"/>
    <n v="1400"/>
  </r>
  <r>
    <s v="S0956"/>
    <d v="2024-09-19T00:00:00"/>
    <x v="37"/>
    <n v="9"/>
    <x v="8"/>
    <s v="P026"/>
    <x v="1"/>
    <n v="5"/>
    <n v="442"/>
    <n v="15"/>
    <x v="1"/>
    <n v="250"/>
    <n v="2210"/>
    <n v="1250"/>
    <n v="960"/>
    <n v="0.434389140271493"/>
    <n v="0"/>
    <n v="0"/>
    <n v="5"/>
    <n v="2210"/>
  </r>
  <r>
    <s v="S0896"/>
    <d v="2024-09-19T00:00:00"/>
    <x v="37"/>
    <n v="9"/>
    <x v="8"/>
    <s v="P016"/>
    <x v="2"/>
    <n v="2"/>
    <n v="2106"/>
    <n v="10"/>
    <x v="13"/>
    <n v="1300"/>
    <n v="4212"/>
    <n v="2600"/>
    <n v="1612"/>
    <n v="0.38271604938271597"/>
    <n v="0"/>
    <n v="0"/>
    <n v="2"/>
    <n v="4212"/>
  </r>
  <r>
    <s v="S0924"/>
    <d v="2024-09-19T00:00:00"/>
    <x v="37"/>
    <n v="9"/>
    <x v="8"/>
    <s v="P010"/>
    <x v="3"/>
    <n v="2"/>
    <n v="450"/>
    <n v="10"/>
    <x v="4"/>
    <n v="250"/>
    <n v="900"/>
    <n v="500"/>
    <n v="400"/>
    <n v="0.44444444444444398"/>
    <n v="0"/>
    <n v="0"/>
    <n v="2"/>
    <n v="900"/>
  </r>
  <r>
    <s v="S0941"/>
    <d v="2024-09-19T00:00:00"/>
    <x v="37"/>
    <n v="9"/>
    <x v="8"/>
    <s v="P029"/>
    <x v="5"/>
    <n v="2"/>
    <n v="400"/>
    <n v="0"/>
    <x v="27"/>
    <n v="200"/>
    <n v="800"/>
    <n v="400"/>
    <n v="400"/>
    <n v="0.5"/>
    <n v="0"/>
    <n v="0"/>
    <n v="2"/>
    <n v="800"/>
  </r>
  <r>
    <s v="S0934"/>
    <d v="2024-09-19T00:00:00"/>
    <x v="37"/>
    <n v="9"/>
    <x v="8"/>
    <s v="P004"/>
    <x v="0"/>
    <n v="2"/>
    <n v="2376"/>
    <n v="10"/>
    <x v="5"/>
    <n v="1200"/>
    <n v="4752"/>
    <n v="2400"/>
    <n v="2352"/>
    <n v="0.49494949494949497"/>
    <n v="0"/>
    <n v="0"/>
    <n v="2"/>
    <n v="4752"/>
  </r>
  <r>
    <s v="S0975"/>
    <d v="2024-09-20T00:00:00"/>
    <x v="37"/>
    <n v="9"/>
    <x v="8"/>
    <s v="P013"/>
    <x v="2"/>
    <n v="5"/>
    <n v="1881"/>
    <n v="5"/>
    <x v="21"/>
    <n v="1100"/>
    <n v="9405"/>
    <n v="5500"/>
    <n v="3905"/>
    <n v="0.41520467836257302"/>
    <n v="0"/>
    <n v="0"/>
    <n v="5"/>
    <n v="9405"/>
  </r>
  <r>
    <s v="S0901"/>
    <d v="2024-09-20T00:00:00"/>
    <x v="37"/>
    <n v="9"/>
    <x v="8"/>
    <s v="P010"/>
    <x v="3"/>
    <n v="3"/>
    <n v="475"/>
    <n v="5"/>
    <x v="4"/>
    <n v="250"/>
    <n v="1425"/>
    <n v="750"/>
    <n v="675"/>
    <n v="0.47368421052631599"/>
    <n v="0"/>
    <n v="0"/>
    <n v="3"/>
    <n v="1425"/>
  </r>
  <r>
    <s v="S0945"/>
    <d v="2024-09-20T00:00:00"/>
    <x v="37"/>
    <n v="9"/>
    <x v="8"/>
    <s v="P019"/>
    <x v="4"/>
    <n v="1"/>
    <n v="3825"/>
    <n v="15"/>
    <x v="14"/>
    <n v="1800"/>
    <n v="3825"/>
    <n v="1800"/>
    <n v="2025"/>
    <n v="0.52941176470588203"/>
    <n v="0"/>
    <n v="0"/>
    <n v="1"/>
    <n v="3825"/>
  </r>
  <r>
    <s v="S0895"/>
    <d v="2024-09-20T00:00:00"/>
    <x v="37"/>
    <n v="9"/>
    <x v="8"/>
    <s v="P019"/>
    <x v="4"/>
    <n v="5"/>
    <n v="3825"/>
    <n v="15"/>
    <x v="14"/>
    <n v="1800"/>
    <n v="19125"/>
    <n v="9000"/>
    <n v="10125"/>
    <n v="0.52941176470588203"/>
    <n v="0"/>
    <n v="0"/>
    <n v="5"/>
    <n v="19125"/>
  </r>
  <r>
    <s v="S0967"/>
    <d v="2024-09-20T00:00:00"/>
    <x v="37"/>
    <n v="9"/>
    <x v="8"/>
    <s v="P019"/>
    <x v="4"/>
    <n v="4"/>
    <n v="4500"/>
    <n v="0"/>
    <x v="14"/>
    <n v="1800"/>
    <n v="18000"/>
    <n v="7200"/>
    <n v="10800"/>
    <n v="0.6"/>
    <n v="0"/>
    <n v="0"/>
    <n v="4"/>
    <n v="18000"/>
  </r>
  <r>
    <s v="S0932"/>
    <d v="2024-09-20T00:00:00"/>
    <x v="37"/>
    <n v="9"/>
    <x v="8"/>
    <s v="P026"/>
    <x v="1"/>
    <n v="2"/>
    <n v="520"/>
    <n v="0"/>
    <x v="1"/>
    <n v="250"/>
    <n v="1040"/>
    <n v="500"/>
    <n v="540"/>
    <n v="0.51923076923076905"/>
    <n v="0"/>
    <n v="0"/>
    <n v="2"/>
    <n v="1040"/>
  </r>
  <r>
    <s v="S0946"/>
    <d v="2024-09-21T00:00:00"/>
    <x v="37"/>
    <n v="9"/>
    <x v="8"/>
    <s v="P019"/>
    <x v="4"/>
    <n v="5"/>
    <n v="4050"/>
    <n v="10"/>
    <x v="14"/>
    <n v="1800"/>
    <n v="20250"/>
    <n v="9000"/>
    <n v="11250"/>
    <n v="0.55555555555555602"/>
    <n v="0"/>
    <n v="0"/>
    <n v="5"/>
    <n v="20250"/>
  </r>
  <r>
    <s v="S0959"/>
    <d v="2024-09-21T00:00:00"/>
    <x v="37"/>
    <n v="9"/>
    <x v="8"/>
    <s v="P012"/>
    <x v="2"/>
    <n v="5"/>
    <n v="1620"/>
    <n v="0"/>
    <x v="3"/>
    <n v="900"/>
    <n v="8100"/>
    <n v="4500"/>
    <n v="3600"/>
    <n v="0.44444444444444398"/>
    <n v="0"/>
    <n v="0"/>
    <n v="5"/>
    <n v="8100"/>
  </r>
  <r>
    <s v="S0904"/>
    <d v="2024-09-21T00:00:00"/>
    <x v="37"/>
    <n v="9"/>
    <x v="8"/>
    <s v="P011"/>
    <x v="3"/>
    <n v="3"/>
    <n v="1260"/>
    <n v="10"/>
    <x v="9"/>
    <n v="700"/>
    <n v="3780"/>
    <n v="2100"/>
    <n v="1680"/>
    <n v="0.44444444444444398"/>
    <n v="0"/>
    <n v="0"/>
    <n v="3"/>
    <n v="3780"/>
  </r>
  <r>
    <s v="S0983"/>
    <d v="2024-09-22T00:00:00"/>
    <x v="37"/>
    <n v="9"/>
    <x v="8"/>
    <s v="P026"/>
    <x v="1"/>
    <n v="5"/>
    <n v="520"/>
    <n v="0"/>
    <x v="1"/>
    <n v="250"/>
    <n v="2600"/>
    <n v="1250"/>
    <n v="1350"/>
    <n v="0.51923076923076905"/>
    <n v="0"/>
    <n v="0"/>
    <n v="5"/>
    <n v="2600"/>
  </r>
  <r>
    <s v="S0981"/>
    <d v="2024-09-22T00:00:00"/>
    <x v="37"/>
    <n v="9"/>
    <x v="8"/>
    <s v="P006"/>
    <x v="0"/>
    <n v="5"/>
    <n v="432"/>
    <n v="10"/>
    <x v="0"/>
    <n v="220"/>
    <n v="2160"/>
    <n v="1100"/>
    <n v="1060"/>
    <n v="0.49074074074074098"/>
    <n v="0"/>
    <n v="0"/>
    <n v="5"/>
    <n v="2160"/>
  </r>
  <r>
    <s v="S0936"/>
    <d v="2024-09-22T00:00:00"/>
    <x v="37"/>
    <n v="9"/>
    <x v="8"/>
    <s v="P027"/>
    <x v="5"/>
    <n v="3"/>
    <n v="912"/>
    <n v="5"/>
    <x v="28"/>
    <n v="480"/>
    <n v="2736"/>
    <n v="1440"/>
    <n v="1296"/>
    <n v="0.47368421052631599"/>
    <n v="0"/>
    <n v="0"/>
    <n v="3"/>
    <n v="2736"/>
  </r>
  <r>
    <s v="S0926"/>
    <d v="2024-09-22T00:00:00"/>
    <x v="37"/>
    <n v="9"/>
    <x v="8"/>
    <s v="P003"/>
    <x v="0"/>
    <n v="3"/>
    <n v="400"/>
    <n v="0"/>
    <x v="17"/>
    <n v="180"/>
    <n v="1200"/>
    <n v="540"/>
    <n v="660"/>
    <n v="0.55000000000000004"/>
    <n v="0"/>
    <n v="0"/>
    <n v="3"/>
    <n v="1200"/>
  </r>
  <r>
    <s v="S0890"/>
    <d v="2024-09-23T00:00:00"/>
    <x v="38"/>
    <n v="9"/>
    <x v="8"/>
    <s v="P028"/>
    <x v="5"/>
    <n v="5"/>
    <n v="570"/>
    <n v="5"/>
    <x v="26"/>
    <n v="300"/>
    <n v="2850"/>
    <n v="1500"/>
    <n v="1350"/>
    <n v="0.47368421052631599"/>
    <n v="0"/>
    <n v="0"/>
    <n v="5"/>
    <n v="2850"/>
  </r>
  <r>
    <s v="S0952"/>
    <d v="2024-09-23T00:00:00"/>
    <x v="38"/>
    <n v="9"/>
    <x v="8"/>
    <s v="P003"/>
    <x v="0"/>
    <n v="4"/>
    <n v="400"/>
    <n v="0"/>
    <x v="17"/>
    <n v="180"/>
    <n v="1600"/>
    <n v="720"/>
    <n v="880"/>
    <n v="0.55000000000000004"/>
    <n v="0"/>
    <n v="0"/>
    <n v="4"/>
    <n v="1600"/>
  </r>
  <r>
    <s v="S0897"/>
    <d v="2024-09-23T00:00:00"/>
    <x v="38"/>
    <n v="9"/>
    <x v="8"/>
    <s v="P021"/>
    <x v="4"/>
    <n v="4"/>
    <n v="1000"/>
    <n v="0"/>
    <x v="6"/>
    <n v="400"/>
    <n v="4000"/>
    <n v="1600"/>
    <n v="2400"/>
    <n v="0.6"/>
    <n v="0"/>
    <n v="0"/>
    <n v="4"/>
    <n v="4000"/>
  </r>
  <r>
    <s v="S0905"/>
    <d v="2024-09-24T00:00:00"/>
    <x v="38"/>
    <n v="9"/>
    <x v="8"/>
    <s v="P022"/>
    <x v="1"/>
    <n v="4"/>
    <n v="1470"/>
    <n v="0"/>
    <x v="11"/>
    <n v="700"/>
    <n v="5880"/>
    <n v="2800"/>
    <n v="3080"/>
    <n v="0.52380952380952395"/>
    <n v="0"/>
    <n v="0"/>
    <n v="4"/>
    <n v="5880"/>
  </r>
  <r>
    <s v="S0911"/>
    <d v="2024-09-24T00:00:00"/>
    <x v="38"/>
    <n v="9"/>
    <x v="8"/>
    <s v="P025"/>
    <x v="1"/>
    <n v="4"/>
    <n v="940"/>
    <n v="0"/>
    <x v="19"/>
    <n v="450"/>
    <n v="3760"/>
    <n v="1800"/>
    <n v="1960"/>
    <n v="0.52127659574468099"/>
    <n v="0"/>
    <n v="0"/>
    <n v="4"/>
    <n v="3760"/>
  </r>
  <r>
    <s v="S0921"/>
    <d v="2024-09-24T00:00:00"/>
    <x v="38"/>
    <n v="9"/>
    <x v="8"/>
    <s v="P019"/>
    <x v="4"/>
    <n v="4"/>
    <n v="4500"/>
    <n v="0"/>
    <x v="14"/>
    <n v="1800"/>
    <n v="18000"/>
    <n v="7200"/>
    <n v="10800"/>
    <n v="0.6"/>
    <n v="0"/>
    <n v="0"/>
    <n v="4"/>
    <n v="18000"/>
  </r>
  <r>
    <s v="S0970"/>
    <d v="2024-09-25T00:00:00"/>
    <x v="38"/>
    <n v="9"/>
    <x v="8"/>
    <s v="P010"/>
    <x v="3"/>
    <n v="4"/>
    <n v="450"/>
    <n v="10"/>
    <x v="4"/>
    <n v="250"/>
    <n v="1800"/>
    <n v="1000"/>
    <n v="800"/>
    <n v="0.44444444444444398"/>
    <n v="0"/>
    <n v="0"/>
    <n v="4"/>
    <n v="1800"/>
  </r>
  <r>
    <s v="S0989"/>
    <d v="2024-09-25T00:00:00"/>
    <x v="38"/>
    <n v="9"/>
    <x v="8"/>
    <s v="P015"/>
    <x v="2"/>
    <n v="4"/>
    <n v="630"/>
    <n v="0"/>
    <x v="24"/>
    <n v="350"/>
    <n v="2520"/>
    <n v="1400"/>
    <n v="1120"/>
    <n v="0.44444444444444398"/>
    <n v="0"/>
    <n v="0"/>
    <n v="4"/>
    <n v="2520"/>
  </r>
  <r>
    <s v="S0944"/>
    <d v="2024-09-25T00:00:00"/>
    <x v="38"/>
    <n v="9"/>
    <x v="8"/>
    <s v="P026"/>
    <x v="1"/>
    <n v="4"/>
    <n v="468"/>
    <n v="10"/>
    <x v="1"/>
    <n v="250"/>
    <n v="1872"/>
    <n v="1000"/>
    <n v="872"/>
    <n v="0.46581196581196599"/>
    <n v="0"/>
    <n v="0"/>
    <n v="4"/>
    <n v="1872"/>
  </r>
  <r>
    <s v="S0940"/>
    <d v="2024-09-25T00:00:00"/>
    <x v="38"/>
    <n v="9"/>
    <x v="8"/>
    <s v="P021"/>
    <x v="4"/>
    <n v="2"/>
    <n v="1000"/>
    <n v="0"/>
    <x v="6"/>
    <n v="400"/>
    <n v="2000"/>
    <n v="800"/>
    <n v="1200"/>
    <n v="0.6"/>
    <n v="0"/>
    <n v="0"/>
    <n v="2"/>
    <n v="2000"/>
  </r>
  <r>
    <s v="S0929"/>
    <d v="2024-09-25T00:00:00"/>
    <x v="38"/>
    <n v="9"/>
    <x v="8"/>
    <s v="P009"/>
    <x v="3"/>
    <n v="2"/>
    <n v="570"/>
    <n v="5"/>
    <x v="7"/>
    <n v="300"/>
    <n v="1140"/>
    <n v="600"/>
    <n v="540"/>
    <n v="0.47368421052631599"/>
    <n v="0"/>
    <n v="0"/>
    <n v="2"/>
    <n v="1140"/>
  </r>
  <r>
    <s v="S0942"/>
    <d v="2024-09-26T00:00:00"/>
    <x v="38"/>
    <n v="9"/>
    <x v="8"/>
    <s v="P020"/>
    <x v="4"/>
    <n v="1"/>
    <n v="1425"/>
    <n v="5"/>
    <x v="8"/>
    <n v="600"/>
    <n v="1425"/>
    <n v="600"/>
    <n v="825"/>
    <n v="0.57894736842105299"/>
    <n v="0"/>
    <n v="0"/>
    <n v="1"/>
    <n v="1425"/>
  </r>
  <r>
    <s v="S0922"/>
    <d v="2024-09-26T00:00:00"/>
    <x v="38"/>
    <n v="9"/>
    <x v="8"/>
    <s v="P024"/>
    <x v="1"/>
    <n v="2"/>
    <n v="1680"/>
    <n v="0"/>
    <x v="20"/>
    <n v="800"/>
    <n v="3360"/>
    <n v="1600"/>
    <n v="1760"/>
    <n v="0.52380952380952395"/>
    <n v="0"/>
    <n v="0"/>
    <n v="2"/>
    <n v="3360"/>
  </r>
  <r>
    <s v="S0918"/>
    <d v="2024-09-27T00:00:00"/>
    <x v="38"/>
    <n v="9"/>
    <x v="8"/>
    <s v="P008"/>
    <x v="3"/>
    <n v="5"/>
    <n v="1000"/>
    <n v="0"/>
    <x v="10"/>
    <n v="500"/>
    <n v="5000"/>
    <n v="2500"/>
    <n v="2500"/>
    <n v="0.5"/>
    <n v="0"/>
    <n v="0"/>
    <n v="5"/>
    <n v="5000"/>
  </r>
  <r>
    <s v="S0909"/>
    <d v="2024-09-27T00:00:00"/>
    <x v="38"/>
    <n v="9"/>
    <x v="8"/>
    <s v="P006"/>
    <x v="0"/>
    <n v="2"/>
    <n v="456"/>
    <n v="5"/>
    <x v="0"/>
    <n v="220"/>
    <n v="912"/>
    <n v="440"/>
    <n v="472"/>
    <n v="0.51754385964912297"/>
    <n v="1"/>
    <n v="1"/>
    <n v="1"/>
    <n v="456"/>
  </r>
  <r>
    <s v="S0949"/>
    <d v="2024-09-27T00:00:00"/>
    <x v="38"/>
    <n v="9"/>
    <x v="8"/>
    <s v="P020"/>
    <x v="4"/>
    <n v="2"/>
    <n v="1275"/>
    <n v="15"/>
    <x v="8"/>
    <n v="600"/>
    <n v="2550"/>
    <n v="1200"/>
    <n v="1350"/>
    <n v="0.52941176470588203"/>
    <n v="0"/>
    <n v="0"/>
    <n v="2"/>
    <n v="2550"/>
  </r>
  <r>
    <s v="S0943"/>
    <d v="2024-09-28T00:00:00"/>
    <x v="38"/>
    <n v="9"/>
    <x v="8"/>
    <s v="P018"/>
    <x v="4"/>
    <n v="5"/>
    <n v="342"/>
    <n v="10"/>
    <x v="16"/>
    <n v="150"/>
    <n v="1710"/>
    <n v="750"/>
    <n v="960"/>
    <n v="0.56140350877193002"/>
    <n v="0"/>
    <n v="0"/>
    <n v="5"/>
    <n v="1710"/>
  </r>
  <r>
    <s v="S0928"/>
    <d v="2024-09-28T00:00:00"/>
    <x v="38"/>
    <n v="9"/>
    <x v="8"/>
    <s v="P010"/>
    <x v="3"/>
    <n v="4"/>
    <n v="425"/>
    <n v="15"/>
    <x v="4"/>
    <n v="250"/>
    <n v="1700"/>
    <n v="1000"/>
    <n v="700"/>
    <n v="0.41176470588235298"/>
    <n v="0"/>
    <n v="0"/>
    <n v="4"/>
    <n v="1700"/>
  </r>
  <r>
    <s v="S0930"/>
    <d v="2024-09-28T00:00:00"/>
    <x v="38"/>
    <n v="9"/>
    <x v="8"/>
    <s v="P019"/>
    <x v="4"/>
    <n v="3"/>
    <n v="3825"/>
    <n v="15"/>
    <x v="14"/>
    <n v="1800"/>
    <n v="11475"/>
    <n v="5400"/>
    <n v="6075"/>
    <n v="0.52941176470588203"/>
    <n v="0"/>
    <n v="0"/>
    <n v="3"/>
    <n v="11475"/>
  </r>
  <r>
    <s v="S0907"/>
    <d v="2024-09-29T00:00:00"/>
    <x v="38"/>
    <n v="9"/>
    <x v="8"/>
    <s v="P003"/>
    <x v="0"/>
    <n v="5"/>
    <n v="400"/>
    <n v="0"/>
    <x v="17"/>
    <n v="180"/>
    <n v="2000"/>
    <n v="900"/>
    <n v="1100"/>
    <n v="0.55000000000000004"/>
    <n v="0"/>
    <n v="0"/>
    <n v="5"/>
    <n v="2000"/>
  </r>
  <r>
    <s v="S0968"/>
    <d v="2024-09-29T00:00:00"/>
    <x v="38"/>
    <n v="9"/>
    <x v="8"/>
    <s v="P030"/>
    <x v="5"/>
    <n v="1"/>
    <n v="700"/>
    <n v="0"/>
    <x v="29"/>
    <n v="350"/>
    <n v="700"/>
    <n v="350"/>
    <n v="350"/>
    <n v="0.5"/>
    <n v="0"/>
    <n v="0"/>
    <n v="1"/>
    <n v="700"/>
  </r>
  <r>
    <s v="S0948"/>
    <d v="2024-09-30T00:00:00"/>
    <x v="39"/>
    <n v="9"/>
    <x v="8"/>
    <s v="P012"/>
    <x v="2"/>
    <n v="1"/>
    <n v="1377"/>
    <n v="15"/>
    <x v="3"/>
    <n v="900"/>
    <n v="1377"/>
    <n v="900"/>
    <n v="477"/>
    <n v="0.34640522875816998"/>
    <n v="0"/>
    <n v="0"/>
    <n v="1"/>
    <n v="1377"/>
  </r>
  <r>
    <s v="S0953"/>
    <d v="2024-09-30T00:00:00"/>
    <x v="39"/>
    <n v="9"/>
    <x v="8"/>
    <s v="P029"/>
    <x v="5"/>
    <n v="4"/>
    <n v="400"/>
    <n v="0"/>
    <x v="27"/>
    <n v="200"/>
    <n v="1600"/>
    <n v="800"/>
    <n v="800"/>
    <n v="0.5"/>
    <n v="0"/>
    <n v="0"/>
    <n v="4"/>
    <n v="1600"/>
  </r>
  <r>
    <s v="S0916"/>
    <d v="2024-09-30T00:00:00"/>
    <x v="39"/>
    <n v="9"/>
    <x v="8"/>
    <s v="P005"/>
    <x v="0"/>
    <n v="5"/>
    <n v="4180"/>
    <n v="5"/>
    <x v="25"/>
    <n v="2000"/>
    <n v="20900"/>
    <n v="10000"/>
    <n v="10900"/>
    <n v="0.52153110047846896"/>
    <n v="0"/>
    <n v="0"/>
    <n v="5"/>
    <n v="20900"/>
  </r>
  <r>
    <s v="S1109"/>
    <d v="2024-10-01T00:00:00"/>
    <x v="39"/>
    <n v="10"/>
    <x v="9"/>
    <s v="P003"/>
    <x v="0"/>
    <n v="2"/>
    <n v="400"/>
    <n v="0"/>
    <x v="17"/>
    <n v="180"/>
    <n v="800"/>
    <n v="360"/>
    <n v="440"/>
    <n v="0.55000000000000004"/>
    <n v="0"/>
    <n v="0"/>
    <n v="2"/>
    <n v="800"/>
  </r>
  <r>
    <s v="S1010"/>
    <d v="2024-10-01T00:00:00"/>
    <x v="39"/>
    <n v="10"/>
    <x v="9"/>
    <s v="P001"/>
    <x v="0"/>
    <n v="5"/>
    <n v="770"/>
    <n v="0"/>
    <x v="23"/>
    <n v="350"/>
    <n v="3850"/>
    <n v="1750"/>
    <n v="2100"/>
    <n v="0.54545454545454497"/>
    <n v="0"/>
    <n v="0"/>
    <n v="5"/>
    <n v="3850"/>
  </r>
  <r>
    <s v="S1002"/>
    <d v="2024-10-01T00:00:00"/>
    <x v="39"/>
    <n v="10"/>
    <x v="9"/>
    <s v="P012"/>
    <x v="2"/>
    <n v="1"/>
    <n v="1539"/>
    <n v="5"/>
    <x v="3"/>
    <n v="900"/>
    <n v="1539"/>
    <n v="900"/>
    <n v="639"/>
    <n v="0.41520467836257302"/>
    <n v="0"/>
    <n v="0"/>
    <n v="1"/>
    <n v="1539"/>
  </r>
  <r>
    <s v="S1054"/>
    <d v="2024-10-02T00:00:00"/>
    <x v="39"/>
    <n v="10"/>
    <x v="9"/>
    <s v="P023"/>
    <x v="1"/>
    <n v="3"/>
    <n v="3150"/>
    <n v="0"/>
    <x v="12"/>
    <n v="1500"/>
    <n v="9450"/>
    <n v="4500"/>
    <n v="4950"/>
    <n v="0.52380952380952395"/>
    <n v="1"/>
    <n v="1"/>
    <n v="2"/>
    <n v="6300"/>
  </r>
  <r>
    <s v="S1001"/>
    <d v="2024-10-02T00:00:00"/>
    <x v="39"/>
    <n v="10"/>
    <x v="9"/>
    <s v="P025"/>
    <x v="1"/>
    <n v="2"/>
    <n v="893"/>
    <n v="5"/>
    <x v="19"/>
    <n v="450"/>
    <n v="1786"/>
    <n v="900"/>
    <n v="886"/>
    <n v="0.496080627099664"/>
    <n v="0"/>
    <n v="0"/>
    <n v="2"/>
    <n v="1786"/>
  </r>
  <r>
    <s v="S1129"/>
    <d v="2024-10-02T00:00:00"/>
    <x v="39"/>
    <n v="10"/>
    <x v="9"/>
    <s v="P002"/>
    <x v="0"/>
    <n v="4"/>
    <n v="836"/>
    <n v="5"/>
    <x v="2"/>
    <n v="400"/>
    <n v="3344"/>
    <n v="1600"/>
    <n v="1744"/>
    <n v="0.52153110047846896"/>
    <n v="0"/>
    <n v="0"/>
    <n v="4"/>
    <n v="3344"/>
  </r>
  <r>
    <s v="S1149"/>
    <d v="2024-10-02T00:00:00"/>
    <x v="39"/>
    <n v="10"/>
    <x v="9"/>
    <s v="P026"/>
    <x v="1"/>
    <n v="3"/>
    <n v="442"/>
    <n v="15"/>
    <x v="1"/>
    <n v="250"/>
    <n v="1326"/>
    <n v="750"/>
    <n v="576"/>
    <n v="0.434389140271493"/>
    <n v="0"/>
    <n v="0"/>
    <n v="3"/>
    <n v="1326"/>
  </r>
  <r>
    <s v="S1082"/>
    <d v="2024-10-02T00:00:00"/>
    <x v="39"/>
    <n v="10"/>
    <x v="9"/>
    <s v="P002"/>
    <x v="0"/>
    <n v="5"/>
    <n v="748"/>
    <n v="15"/>
    <x v="2"/>
    <n v="400"/>
    <n v="3740"/>
    <n v="2000"/>
    <n v="1740"/>
    <n v="0.46524064171122997"/>
    <n v="0"/>
    <n v="0"/>
    <n v="5"/>
    <n v="3740"/>
  </r>
  <r>
    <s v="S1120"/>
    <d v="2024-10-02T00:00:00"/>
    <x v="39"/>
    <n v="10"/>
    <x v="9"/>
    <s v="P025"/>
    <x v="1"/>
    <n v="4"/>
    <n v="799"/>
    <n v="15"/>
    <x v="19"/>
    <n v="450"/>
    <n v="3196"/>
    <n v="1800"/>
    <n v="1396"/>
    <n v="0.436795994993742"/>
    <n v="0"/>
    <n v="0"/>
    <n v="4"/>
    <n v="3196"/>
  </r>
  <r>
    <s v="S1056"/>
    <d v="2024-10-03T00:00:00"/>
    <x v="39"/>
    <n v="10"/>
    <x v="9"/>
    <s v="P012"/>
    <x v="2"/>
    <n v="2"/>
    <n v="1377"/>
    <n v="15"/>
    <x v="3"/>
    <n v="900"/>
    <n v="2754"/>
    <n v="1800"/>
    <n v="954"/>
    <n v="0.34640522875816998"/>
    <n v="0"/>
    <n v="0"/>
    <n v="2"/>
    <n v="2754"/>
  </r>
  <r>
    <s v="S1052"/>
    <d v="2024-10-03T00:00:00"/>
    <x v="39"/>
    <n v="10"/>
    <x v="9"/>
    <s v="P005"/>
    <x v="0"/>
    <n v="2"/>
    <n v="4400"/>
    <n v="0"/>
    <x v="25"/>
    <n v="2000"/>
    <n v="8800"/>
    <n v="4000"/>
    <n v="4800"/>
    <n v="0.54545454545454497"/>
    <n v="0"/>
    <n v="0"/>
    <n v="2"/>
    <n v="8800"/>
  </r>
  <r>
    <s v="S1023"/>
    <d v="2024-10-03T00:00:00"/>
    <x v="39"/>
    <n v="10"/>
    <x v="9"/>
    <s v="P014"/>
    <x v="2"/>
    <n v="2"/>
    <n v="810"/>
    <n v="10"/>
    <x v="18"/>
    <n v="500"/>
    <n v="1620"/>
    <n v="1000"/>
    <n v="620"/>
    <n v="0.38271604938271597"/>
    <n v="0"/>
    <n v="0"/>
    <n v="2"/>
    <n v="1620"/>
  </r>
  <r>
    <s v="S1084"/>
    <d v="2024-10-03T00:00:00"/>
    <x v="39"/>
    <n v="10"/>
    <x v="9"/>
    <s v="P022"/>
    <x v="1"/>
    <n v="4"/>
    <n v="1470"/>
    <n v="0"/>
    <x v="11"/>
    <n v="700"/>
    <n v="5880"/>
    <n v="2800"/>
    <n v="3080"/>
    <n v="0.52380952380952395"/>
    <n v="0"/>
    <n v="0"/>
    <n v="4"/>
    <n v="5880"/>
  </r>
  <r>
    <s v="S1159"/>
    <d v="2024-10-03T00:00:00"/>
    <x v="39"/>
    <n v="10"/>
    <x v="9"/>
    <s v="P029"/>
    <x v="5"/>
    <n v="2"/>
    <n v="400"/>
    <n v="0"/>
    <x v="27"/>
    <n v="200"/>
    <n v="800"/>
    <n v="400"/>
    <n v="400"/>
    <n v="0.5"/>
    <n v="0"/>
    <n v="0"/>
    <n v="2"/>
    <n v="800"/>
  </r>
  <r>
    <s v="S1014"/>
    <d v="2024-10-03T00:00:00"/>
    <x v="39"/>
    <n v="10"/>
    <x v="9"/>
    <s v="P020"/>
    <x v="4"/>
    <n v="4"/>
    <n v="1425"/>
    <n v="5"/>
    <x v="8"/>
    <n v="600"/>
    <n v="5700"/>
    <n v="2400"/>
    <n v="3300"/>
    <n v="0.57894736842105299"/>
    <n v="0"/>
    <n v="0"/>
    <n v="4"/>
    <n v="5700"/>
  </r>
  <r>
    <s v="S1035"/>
    <d v="2024-10-03T00:00:00"/>
    <x v="39"/>
    <n v="10"/>
    <x v="9"/>
    <s v="P026"/>
    <x v="1"/>
    <n v="5"/>
    <n v="520"/>
    <n v="0"/>
    <x v="1"/>
    <n v="250"/>
    <n v="2600"/>
    <n v="1250"/>
    <n v="1350"/>
    <n v="0.51923076923076905"/>
    <n v="0"/>
    <n v="0"/>
    <n v="5"/>
    <n v="2600"/>
  </r>
  <r>
    <s v="S1115"/>
    <d v="2024-10-03T00:00:00"/>
    <x v="39"/>
    <n v="10"/>
    <x v="9"/>
    <s v="P029"/>
    <x v="5"/>
    <n v="4"/>
    <n v="400"/>
    <n v="0"/>
    <x v="27"/>
    <n v="200"/>
    <n v="1600"/>
    <n v="800"/>
    <n v="800"/>
    <n v="0.5"/>
    <n v="0"/>
    <n v="0"/>
    <n v="4"/>
    <n v="1600"/>
  </r>
  <r>
    <s v="S1106"/>
    <d v="2024-10-03T00:00:00"/>
    <x v="39"/>
    <n v="10"/>
    <x v="9"/>
    <s v="P014"/>
    <x v="2"/>
    <n v="5"/>
    <n v="765"/>
    <n v="15"/>
    <x v="18"/>
    <n v="500"/>
    <n v="3825"/>
    <n v="2500"/>
    <n v="1325"/>
    <n v="0.34640522875816998"/>
    <n v="0"/>
    <n v="0"/>
    <n v="5"/>
    <n v="3825"/>
  </r>
  <r>
    <s v="S0999"/>
    <d v="2024-10-03T00:00:00"/>
    <x v="39"/>
    <n v="10"/>
    <x v="9"/>
    <s v="P025"/>
    <x v="1"/>
    <n v="2"/>
    <n v="893"/>
    <n v="5"/>
    <x v="19"/>
    <n v="450"/>
    <n v="1786"/>
    <n v="900"/>
    <n v="886"/>
    <n v="0.496080627099664"/>
    <n v="0"/>
    <n v="0"/>
    <n v="2"/>
    <n v="1786"/>
  </r>
  <r>
    <s v="S1009"/>
    <d v="2024-10-04T00:00:00"/>
    <x v="39"/>
    <n v="10"/>
    <x v="9"/>
    <s v="P002"/>
    <x v="0"/>
    <n v="3"/>
    <n v="836"/>
    <n v="5"/>
    <x v="2"/>
    <n v="400"/>
    <n v="2508"/>
    <n v="1200"/>
    <n v="1308"/>
    <n v="0.52153110047846896"/>
    <n v="0"/>
    <n v="0"/>
    <n v="3"/>
    <n v="2508"/>
  </r>
  <r>
    <s v="S1085"/>
    <d v="2024-10-04T00:00:00"/>
    <x v="39"/>
    <n v="10"/>
    <x v="9"/>
    <s v="P015"/>
    <x v="2"/>
    <n v="5"/>
    <n v="567"/>
    <n v="10"/>
    <x v="24"/>
    <n v="350"/>
    <n v="2835"/>
    <n v="1750"/>
    <n v="1085"/>
    <n v="0.38271604938271597"/>
    <n v="0"/>
    <n v="0"/>
    <n v="5"/>
    <n v="2835"/>
  </r>
  <r>
    <s v="S1122"/>
    <d v="2024-10-05T00:00:00"/>
    <x v="39"/>
    <n v="10"/>
    <x v="9"/>
    <s v="P001"/>
    <x v="0"/>
    <n v="4"/>
    <n v="693"/>
    <n v="10"/>
    <x v="23"/>
    <n v="350"/>
    <n v="2772"/>
    <n v="1400"/>
    <n v="1372"/>
    <n v="0.49494949494949497"/>
    <n v="0"/>
    <n v="0"/>
    <n v="4"/>
    <n v="2772"/>
  </r>
  <r>
    <s v="S1093"/>
    <d v="2024-10-05T00:00:00"/>
    <x v="39"/>
    <n v="10"/>
    <x v="9"/>
    <s v="P015"/>
    <x v="2"/>
    <n v="3"/>
    <n v="630"/>
    <n v="0"/>
    <x v="24"/>
    <n v="350"/>
    <n v="1890"/>
    <n v="1050"/>
    <n v="840"/>
    <n v="0.44444444444444398"/>
    <n v="0"/>
    <n v="0"/>
    <n v="3"/>
    <n v="1890"/>
  </r>
  <r>
    <s v="S1158"/>
    <d v="2024-10-05T00:00:00"/>
    <x v="39"/>
    <n v="10"/>
    <x v="9"/>
    <s v="P026"/>
    <x v="1"/>
    <n v="3"/>
    <n v="494"/>
    <n v="5"/>
    <x v="1"/>
    <n v="250"/>
    <n v="1482"/>
    <n v="750"/>
    <n v="732"/>
    <n v="0.49392712550607298"/>
    <n v="0"/>
    <n v="0"/>
    <n v="3"/>
    <n v="1482"/>
  </r>
  <r>
    <s v="S1031"/>
    <d v="2024-10-05T00:00:00"/>
    <x v="39"/>
    <n v="10"/>
    <x v="9"/>
    <s v="P011"/>
    <x v="3"/>
    <n v="4"/>
    <n v="1400"/>
    <n v="0"/>
    <x v="9"/>
    <n v="700"/>
    <n v="5600"/>
    <n v="2800"/>
    <n v="2800"/>
    <n v="0.5"/>
    <n v="0"/>
    <n v="0"/>
    <n v="4"/>
    <n v="5600"/>
  </r>
  <r>
    <s v="S1148"/>
    <d v="2024-10-05T00:00:00"/>
    <x v="39"/>
    <n v="10"/>
    <x v="9"/>
    <s v="P020"/>
    <x v="4"/>
    <n v="2"/>
    <n v="1500"/>
    <n v="0"/>
    <x v="8"/>
    <n v="600"/>
    <n v="3000"/>
    <n v="1200"/>
    <n v="1800"/>
    <n v="0.6"/>
    <n v="0"/>
    <n v="0"/>
    <n v="2"/>
    <n v="3000"/>
  </r>
  <r>
    <s v="S1114"/>
    <d v="2024-10-05T00:00:00"/>
    <x v="39"/>
    <n v="10"/>
    <x v="9"/>
    <s v="P023"/>
    <x v="1"/>
    <n v="1"/>
    <n v="3150"/>
    <n v="0"/>
    <x v="12"/>
    <n v="1500"/>
    <n v="3150"/>
    <n v="1500"/>
    <n v="1650"/>
    <n v="0.52380952380952395"/>
    <n v="0"/>
    <n v="0"/>
    <n v="1"/>
    <n v="3150"/>
  </r>
  <r>
    <s v="S1067"/>
    <d v="2024-10-05T00:00:00"/>
    <x v="39"/>
    <n v="10"/>
    <x v="9"/>
    <s v="P030"/>
    <x v="5"/>
    <n v="4"/>
    <n v="700"/>
    <n v="0"/>
    <x v="29"/>
    <n v="350"/>
    <n v="2800"/>
    <n v="1400"/>
    <n v="1400"/>
    <n v="0.5"/>
    <n v="0"/>
    <n v="0"/>
    <n v="4"/>
    <n v="2800"/>
  </r>
  <r>
    <s v="S1124"/>
    <d v="2024-10-06T00:00:00"/>
    <x v="39"/>
    <n v="10"/>
    <x v="9"/>
    <s v="P004"/>
    <x v="0"/>
    <n v="4"/>
    <n v="2640"/>
    <n v="0"/>
    <x v="5"/>
    <n v="1200"/>
    <n v="10560"/>
    <n v="4800"/>
    <n v="5760"/>
    <n v="0.54545454545454497"/>
    <n v="0"/>
    <n v="0"/>
    <n v="4"/>
    <n v="10560"/>
  </r>
  <r>
    <s v="S1011"/>
    <d v="2024-10-06T00:00:00"/>
    <x v="39"/>
    <n v="10"/>
    <x v="9"/>
    <s v="P015"/>
    <x v="2"/>
    <n v="2"/>
    <n v="567"/>
    <n v="10"/>
    <x v="24"/>
    <n v="350"/>
    <n v="1134"/>
    <n v="700"/>
    <n v="434"/>
    <n v="0.38271604938271597"/>
    <n v="0"/>
    <n v="0"/>
    <n v="2"/>
    <n v="1134"/>
  </r>
  <r>
    <s v="S1072"/>
    <d v="2024-10-06T00:00:00"/>
    <x v="39"/>
    <n v="10"/>
    <x v="9"/>
    <s v="P001"/>
    <x v="0"/>
    <n v="4"/>
    <n v="770"/>
    <n v="0"/>
    <x v="23"/>
    <n v="350"/>
    <n v="3080"/>
    <n v="1400"/>
    <n v="1680"/>
    <n v="0.54545454545454497"/>
    <n v="0"/>
    <n v="0"/>
    <n v="4"/>
    <n v="3080"/>
  </r>
  <r>
    <s v="S1032"/>
    <d v="2024-10-07T00:00:00"/>
    <x v="40"/>
    <n v="10"/>
    <x v="9"/>
    <s v="P012"/>
    <x v="2"/>
    <n v="2"/>
    <n v="1620"/>
    <n v="0"/>
    <x v="3"/>
    <n v="900"/>
    <n v="3240"/>
    <n v="1800"/>
    <n v="1440"/>
    <n v="0.44444444444444398"/>
    <n v="0"/>
    <n v="0"/>
    <n v="2"/>
    <n v="3240"/>
  </r>
  <r>
    <s v="S1113"/>
    <d v="2024-10-07T00:00:00"/>
    <x v="40"/>
    <n v="10"/>
    <x v="9"/>
    <s v="P004"/>
    <x v="0"/>
    <n v="1"/>
    <n v="2640"/>
    <n v="0"/>
    <x v="5"/>
    <n v="1200"/>
    <n v="2640"/>
    <n v="1200"/>
    <n v="1440"/>
    <n v="0.54545454545454497"/>
    <n v="0"/>
    <n v="0"/>
    <n v="1"/>
    <n v="2640"/>
  </r>
  <r>
    <s v="S1026"/>
    <d v="2024-10-07T00:00:00"/>
    <x v="40"/>
    <n v="10"/>
    <x v="9"/>
    <s v="P018"/>
    <x v="4"/>
    <n v="5"/>
    <n v="380"/>
    <n v="0"/>
    <x v="16"/>
    <n v="150"/>
    <n v="1900"/>
    <n v="750"/>
    <n v="1150"/>
    <n v="0.60526315789473695"/>
    <n v="0"/>
    <n v="0"/>
    <n v="5"/>
    <n v="1900"/>
  </r>
  <r>
    <s v="S1030"/>
    <d v="2024-10-08T00:00:00"/>
    <x v="40"/>
    <n v="10"/>
    <x v="9"/>
    <s v="P006"/>
    <x v="0"/>
    <n v="1"/>
    <n v="480"/>
    <n v="0"/>
    <x v="0"/>
    <n v="220"/>
    <n v="480"/>
    <n v="220"/>
    <n v="260"/>
    <n v="0.54166666666666696"/>
    <n v="0"/>
    <n v="0"/>
    <n v="1"/>
    <n v="480"/>
  </r>
  <r>
    <s v="S1021"/>
    <d v="2024-10-08T00:00:00"/>
    <x v="40"/>
    <n v="10"/>
    <x v="9"/>
    <s v="P018"/>
    <x v="4"/>
    <n v="1"/>
    <n v="380"/>
    <n v="0"/>
    <x v="16"/>
    <n v="150"/>
    <n v="380"/>
    <n v="150"/>
    <n v="230"/>
    <n v="0.60526315789473695"/>
    <n v="0"/>
    <n v="0"/>
    <n v="1"/>
    <n v="380"/>
  </r>
  <r>
    <s v="S1135"/>
    <d v="2024-10-08T00:00:00"/>
    <x v="40"/>
    <n v="10"/>
    <x v="9"/>
    <s v="P009"/>
    <x v="3"/>
    <n v="5"/>
    <n v="540"/>
    <n v="10"/>
    <x v="7"/>
    <n v="300"/>
    <n v="2700"/>
    <n v="1500"/>
    <n v="1200"/>
    <n v="0.44444444444444398"/>
    <n v="0"/>
    <n v="0"/>
    <n v="5"/>
    <n v="2700"/>
  </r>
  <r>
    <s v="S0996"/>
    <d v="2024-10-08T00:00:00"/>
    <x v="40"/>
    <n v="10"/>
    <x v="9"/>
    <s v="P020"/>
    <x v="4"/>
    <n v="1"/>
    <n v="1350"/>
    <n v="10"/>
    <x v="8"/>
    <n v="600"/>
    <n v="1350"/>
    <n v="600"/>
    <n v="750"/>
    <n v="0.55555555555555602"/>
    <n v="0"/>
    <n v="0"/>
    <n v="1"/>
    <n v="1350"/>
  </r>
  <r>
    <s v="S1136"/>
    <d v="2024-10-08T00:00:00"/>
    <x v="40"/>
    <n v="10"/>
    <x v="9"/>
    <s v="P018"/>
    <x v="4"/>
    <n v="1"/>
    <n v="380"/>
    <n v="0"/>
    <x v="16"/>
    <n v="150"/>
    <n v="380"/>
    <n v="150"/>
    <n v="230"/>
    <n v="0.60526315789473695"/>
    <n v="0"/>
    <n v="0"/>
    <n v="1"/>
    <n v="380"/>
  </r>
  <r>
    <s v="S1073"/>
    <d v="2024-10-08T00:00:00"/>
    <x v="40"/>
    <n v="10"/>
    <x v="9"/>
    <s v="P005"/>
    <x v="0"/>
    <n v="5"/>
    <n v="3740"/>
    <n v="15"/>
    <x v="25"/>
    <n v="2000"/>
    <n v="18700"/>
    <n v="10000"/>
    <n v="8700"/>
    <n v="0.46524064171122997"/>
    <n v="2"/>
    <n v="2"/>
    <n v="3"/>
    <n v="11220"/>
  </r>
  <r>
    <s v="S1016"/>
    <d v="2024-10-08T00:00:00"/>
    <x v="40"/>
    <n v="10"/>
    <x v="9"/>
    <s v="P003"/>
    <x v="0"/>
    <n v="2"/>
    <n v="380"/>
    <n v="5"/>
    <x v="17"/>
    <n v="180"/>
    <n v="760"/>
    <n v="360"/>
    <n v="400"/>
    <n v="0.52631578947368396"/>
    <n v="0"/>
    <n v="0"/>
    <n v="2"/>
    <n v="760"/>
  </r>
  <r>
    <s v="S1156"/>
    <d v="2024-10-09T00:00:00"/>
    <x v="40"/>
    <n v="10"/>
    <x v="9"/>
    <s v="P023"/>
    <x v="1"/>
    <n v="5"/>
    <n v="2992.5"/>
    <n v="5"/>
    <x v="12"/>
    <n v="1500"/>
    <n v="14962.5"/>
    <n v="7500"/>
    <n v="7462.5"/>
    <n v="0.49874686716791999"/>
    <n v="0"/>
    <n v="0"/>
    <n v="5"/>
    <n v="14962.5"/>
  </r>
  <r>
    <s v="S1099"/>
    <d v="2024-10-10T00:00:00"/>
    <x v="40"/>
    <n v="10"/>
    <x v="9"/>
    <s v="P001"/>
    <x v="0"/>
    <n v="1"/>
    <n v="693"/>
    <n v="10"/>
    <x v="23"/>
    <n v="350"/>
    <n v="693"/>
    <n v="350"/>
    <n v="343"/>
    <n v="0.49494949494949497"/>
    <n v="0"/>
    <n v="0"/>
    <n v="1"/>
    <n v="693"/>
  </r>
  <r>
    <s v="S1094"/>
    <d v="2024-10-10T00:00:00"/>
    <x v="40"/>
    <n v="10"/>
    <x v="9"/>
    <s v="P021"/>
    <x v="4"/>
    <n v="4"/>
    <n v="850"/>
    <n v="15"/>
    <x v="6"/>
    <n v="400"/>
    <n v="3400"/>
    <n v="1600"/>
    <n v="1800"/>
    <n v="0.52941176470588203"/>
    <n v="0"/>
    <n v="0"/>
    <n v="4"/>
    <n v="3400"/>
  </r>
  <r>
    <s v="S1087"/>
    <d v="2024-10-10T00:00:00"/>
    <x v="40"/>
    <n v="10"/>
    <x v="9"/>
    <s v="P013"/>
    <x v="2"/>
    <n v="2"/>
    <n v="1980"/>
    <n v="0"/>
    <x v="21"/>
    <n v="1100"/>
    <n v="3960"/>
    <n v="2200"/>
    <n v="1760"/>
    <n v="0.44444444444444398"/>
    <n v="0"/>
    <n v="0"/>
    <n v="2"/>
    <n v="3960"/>
  </r>
  <r>
    <s v="S1133"/>
    <d v="2024-10-10T00:00:00"/>
    <x v="40"/>
    <n v="10"/>
    <x v="9"/>
    <s v="P022"/>
    <x v="1"/>
    <n v="5"/>
    <n v="1249.5"/>
    <n v="15"/>
    <x v="11"/>
    <n v="700"/>
    <n v="6247.5"/>
    <n v="3500"/>
    <n v="2747.5"/>
    <n v="0.43977591036414598"/>
    <n v="0"/>
    <n v="0"/>
    <n v="5"/>
    <n v="6247.5"/>
  </r>
  <r>
    <s v="S1110"/>
    <d v="2024-10-10T00:00:00"/>
    <x v="40"/>
    <n v="10"/>
    <x v="9"/>
    <s v="P027"/>
    <x v="5"/>
    <n v="1"/>
    <n v="960"/>
    <n v="0"/>
    <x v="28"/>
    <n v="480"/>
    <n v="960"/>
    <n v="480"/>
    <n v="480"/>
    <n v="0.5"/>
    <n v="1"/>
    <n v="1"/>
    <n v="0"/>
    <n v="0"/>
  </r>
  <r>
    <s v="S1154"/>
    <d v="2024-10-10T00:00:00"/>
    <x v="40"/>
    <n v="10"/>
    <x v="9"/>
    <s v="P006"/>
    <x v="0"/>
    <n v="5"/>
    <n v="480"/>
    <n v="0"/>
    <x v="0"/>
    <n v="220"/>
    <n v="2400"/>
    <n v="1100"/>
    <n v="1300"/>
    <n v="0.54166666666666696"/>
    <n v="0"/>
    <n v="0"/>
    <n v="5"/>
    <n v="2400"/>
  </r>
  <r>
    <s v="S1112"/>
    <d v="2024-10-11T00:00:00"/>
    <x v="40"/>
    <n v="10"/>
    <x v="9"/>
    <s v="P005"/>
    <x v="0"/>
    <n v="4"/>
    <n v="4180"/>
    <n v="5"/>
    <x v="25"/>
    <n v="2000"/>
    <n v="16720"/>
    <n v="8000"/>
    <n v="8720"/>
    <n v="0.52153110047846896"/>
    <n v="0"/>
    <n v="0"/>
    <n v="4"/>
    <n v="16720"/>
  </r>
  <r>
    <s v="S1091"/>
    <d v="2024-10-11T00:00:00"/>
    <x v="40"/>
    <n v="10"/>
    <x v="9"/>
    <s v="P028"/>
    <x v="5"/>
    <n v="5"/>
    <n v="600"/>
    <n v="0"/>
    <x v="26"/>
    <n v="300"/>
    <n v="3000"/>
    <n v="1500"/>
    <n v="1500"/>
    <n v="0.5"/>
    <n v="0"/>
    <n v="0"/>
    <n v="5"/>
    <n v="3000"/>
  </r>
  <r>
    <s v="S1065"/>
    <d v="2024-10-11T00:00:00"/>
    <x v="40"/>
    <n v="10"/>
    <x v="9"/>
    <s v="P021"/>
    <x v="4"/>
    <n v="3"/>
    <n v="900"/>
    <n v="10"/>
    <x v="6"/>
    <n v="400"/>
    <n v="2700"/>
    <n v="1200"/>
    <n v="1500"/>
    <n v="0.55555555555555602"/>
    <n v="0"/>
    <n v="0"/>
    <n v="3"/>
    <n v="2700"/>
  </r>
  <r>
    <s v="S1045"/>
    <d v="2024-10-11T00:00:00"/>
    <x v="40"/>
    <n v="10"/>
    <x v="9"/>
    <s v="P029"/>
    <x v="5"/>
    <n v="3"/>
    <n v="400"/>
    <n v="0"/>
    <x v="27"/>
    <n v="200"/>
    <n v="1200"/>
    <n v="600"/>
    <n v="600"/>
    <n v="0.5"/>
    <n v="0"/>
    <n v="0"/>
    <n v="3"/>
    <n v="1200"/>
  </r>
  <r>
    <s v="S1121"/>
    <d v="2024-10-11T00:00:00"/>
    <x v="40"/>
    <n v="10"/>
    <x v="9"/>
    <s v="P004"/>
    <x v="0"/>
    <n v="4"/>
    <n v="2376"/>
    <n v="10"/>
    <x v="5"/>
    <n v="1200"/>
    <n v="9504"/>
    <n v="4800"/>
    <n v="4704"/>
    <n v="0.49494949494949497"/>
    <n v="0"/>
    <n v="0"/>
    <n v="4"/>
    <n v="9504"/>
  </r>
  <r>
    <s v="S1139"/>
    <d v="2024-10-12T00:00:00"/>
    <x v="40"/>
    <n v="10"/>
    <x v="9"/>
    <s v="P013"/>
    <x v="2"/>
    <n v="1"/>
    <n v="1683"/>
    <n v="15"/>
    <x v="21"/>
    <n v="1100"/>
    <n v="1683"/>
    <n v="1100"/>
    <n v="583"/>
    <n v="0.34640522875816998"/>
    <n v="0"/>
    <n v="0"/>
    <n v="1"/>
    <n v="1683"/>
  </r>
  <r>
    <s v="S1077"/>
    <d v="2024-10-12T00:00:00"/>
    <x v="40"/>
    <n v="10"/>
    <x v="9"/>
    <s v="P016"/>
    <x v="2"/>
    <n v="4"/>
    <n v="2340"/>
    <n v="0"/>
    <x v="13"/>
    <n v="1300"/>
    <n v="9360"/>
    <n v="5200"/>
    <n v="4160"/>
    <n v="0.44444444444444398"/>
    <n v="0"/>
    <n v="0"/>
    <n v="4"/>
    <n v="9360"/>
  </r>
  <r>
    <s v="S1027"/>
    <d v="2024-10-12T00:00:00"/>
    <x v="40"/>
    <n v="10"/>
    <x v="9"/>
    <s v="P028"/>
    <x v="5"/>
    <n v="4"/>
    <n v="510"/>
    <n v="15"/>
    <x v="26"/>
    <n v="300"/>
    <n v="2040"/>
    <n v="1200"/>
    <n v="840"/>
    <n v="0.41176470588235298"/>
    <n v="0"/>
    <n v="0"/>
    <n v="4"/>
    <n v="2040"/>
  </r>
  <r>
    <s v="S1055"/>
    <d v="2024-10-12T00:00:00"/>
    <x v="40"/>
    <n v="10"/>
    <x v="9"/>
    <s v="P030"/>
    <x v="5"/>
    <n v="3"/>
    <n v="700"/>
    <n v="0"/>
    <x v="29"/>
    <n v="350"/>
    <n v="2100"/>
    <n v="1050"/>
    <n v="1050"/>
    <n v="0.5"/>
    <n v="0"/>
    <n v="0"/>
    <n v="3"/>
    <n v="2100"/>
  </r>
  <r>
    <s v="S1130"/>
    <d v="2024-10-12T00:00:00"/>
    <x v="40"/>
    <n v="10"/>
    <x v="9"/>
    <s v="P024"/>
    <x v="1"/>
    <n v="1"/>
    <n v="1428"/>
    <n v="15"/>
    <x v="20"/>
    <n v="800"/>
    <n v="1428"/>
    <n v="800"/>
    <n v="628"/>
    <n v="0.43977591036414598"/>
    <n v="0"/>
    <n v="0"/>
    <n v="1"/>
    <n v="1428"/>
  </r>
  <r>
    <s v="S1051"/>
    <d v="2024-10-12T00:00:00"/>
    <x v="40"/>
    <n v="10"/>
    <x v="9"/>
    <s v="P019"/>
    <x v="4"/>
    <n v="5"/>
    <n v="4050"/>
    <n v="10"/>
    <x v="14"/>
    <n v="1800"/>
    <n v="20250"/>
    <n v="9000"/>
    <n v="11250"/>
    <n v="0.55555555555555602"/>
    <n v="0"/>
    <n v="0"/>
    <n v="5"/>
    <n v="20250"/>
  </r>
  <r>
    <s v="S1096"/>
    <d v="2024-10-13T00:00:00"/>
    <x v="40"/>
    <n v="10"/>
    <x v="9"/>
    <s v="P029"/>
    <x v="5"/>
    <n v="5"/>
    <n v="400"/>
    <n v="0"/>
    <x v="27"/>
    <n v="200"/>
    <n v="2000"/>
    <n v="1000"/>
    <n v="1000"/>
    <n v="0.5"/>
    <n v="0"/>
    <n v="0"/>
    <n v="5"/>
    <n v="2000"/>
  </r>
  <r>
    <s v="S1019"/>
    <d v="2024-10-13T00:00:00"/>
    <x v="40"/>
    <n v="10"/>
    <x v="9"/>
    <s v="P030"/>
    <x v="5"/>
    <n v="2"/>
    <n v="700"/>
    <n v="0"/>
    <x v="29"/>
    <n v="350"/>
    <n v="1400"/>
    <n v="700"/>
    <n v="700"/>
    <n v="0.5"/>
    <n v="0"/>
    <n v="0"/>
    <n v="2"/>
    <n v="1400"/>
  </r>
  <r>
    <s v="S1123"/>
    <d v="2024-10-13T00:00:00"/>
    <x v="40"/>
    <n v="10"/>
    <x v="9"/>
    <s v="P019"/>
    <x v="4"/>
    <n v="3"/>
    <n v="4500"/>
    <n v="0"/>
    <x v="14"/>
    <n v="1800"/>
    <n v="13500"/>
    <n v="5400"/>
    <n v="8100"/>
    <n v="0.6"/>
    <n v="0"/>
    <n v="0"/>
    <n v="3"/>
    <n v="13500"/>
  </r>
  <r>
    <s v="S1079"/>
    <d v="2024-10-13T00:00:00"/>
    <x v="40"/>
    <n v="10"/>
    <x v="9"/>
    <s v="P018"/>
    <x v="4"/>
    <n v="3"/>
    <n v="361"/>
    <n v="5"/>
    <x v="16"/>
    <n v="150"/>
    <n v="1083"/>
    <n v="450"/>
    <n v="633"/>
    <n v="0.58448753462603897"/>
    <n v="0"/>
    <n v="0"/>
    <n v="3"/>
    <n v="1083"/>
  </r>
  <r>
    <s v="S1100"/>
    <d v="2024-10-13T00:00:00"/>
    <x v="40"/>
    <n v="10"/>
    <x v="9"/>
    <s v="P017"/>
    <x v="4"/>
    <n v="5"/>
    <n v="425"/>
    <n v="15"/>
    <x v="15"/>
    <n v="200"/>
    <n v="2125"/>
    <n v="1000"/>
    <n v="1125"/>
    <n v="0.52941176470588203"/>
    <n v="0"/>
    <n v="0"/>
    <n v="5"/>
    <n v="2125"/>
  </r>
  <r>
    <s v="S1008"/>
    <d v="2024-10-14T00:00:00"/>
    <x v="41"/>
    <n v="10"/>
    <x v="9"/>
    <s v="P023"/>
    <x v="1"/>
    <n v="1"/>
    <n v="3150"/>
    <n v="0"/>
    <x v="12"/>
    <n v="1500"/>
    <n v="3150"/>
    <n v="1500"/>
    <n v="1650"/>
    <n v="0.52380952380952395"/>
    <n v="0"/>
    <n v="0"/>
    <n v="1"/>
    <n v="3150"/>
  </r>
  <r>
    <s v="S1145"/>
    <d v="2024-10-14T00:00:00"/>
    <x v="41"/>
    <n v="10"/>
    <x v="9"/>
    <s v="P016"/>
    <x v="2"/>
    <n v="2"/>
    <n v="2340"/>
    <n v="0"/>
    <x v="13"/>
    <n v="1300"/>
    <n v="4680"/>
    <n v="2600"/>
    <n v="2080"/>
    <n v="0.44444444444444398"/>
    <n v="0"/>
    <n v="0"/>
    <n v="2"/>
    <n v="4680"/>
  </r>
  <r>
    <s v="S1053"/>
    <d v="2024-10-15T00:00:00"/>
    <x v="41"/>
    <n v="10"/>
    <x v="9"/>
    <s v="P016"/>
    <x v="2"/>
    <n v="1"/>
    <n v="2223"/>
    <n v="5"/>
    <x v="13"/>
    <n v="1300"/>
    <n v="2223"/>
    <n v="1300"/>
    <n v="923"/>
    <n v="0.41520467836257302"/>
    <n v="0"/>
    <n v="0"/>
    <n v="1"/>
    <n v="2223"/>
  </r>
  <r>
    <s v="S1063"/>
    <d v="2024-10-15T00:00:00"/>
    <x v="41"/>
    <n v="10"/>
    <x v="9"/>
    <s v="P023"/>
    <x v="1"/>
    <n v="1"/>
    <n v="2835"/>
    <n v="10"/>
    <x v="12"/>
    <n v="1500"/>
    <n v="2835"/>
    <n v="1500"/>
    <n v="1335"/>
    <n v="0.47089947089947098"/>
    <n v="0"/>
    <n v="0"/>
    <n v="1"/>
    <n v="2835"/>
  </r>
  <r>
    <s v="S1012"/>
    <d v="2024-10-15T00:00:00"/>
    <x v="41"/>
    <n v="10"/>
    <x v="9"/>
    <s v="P014"/>
    <x v="2"/>
    <n v="4"/>
    <n v="765"/>
    <n v="15"/>
    <x v="18"/>
    <n v="500"/>
    <n v="3060"/>
    <n v="2000"/>
    <n v="1060"/>
    <n v="0.34640522875816998"/>
    <n v="3"/>
    <n v="3"/>
    <n v="1"/>
    <n v="765"/>
  </r>
  <r>
    <s v="S1060"/>
    <d v="2024-10-15T00:00:00"/>
    <x v="41"/>
    <n v="10"/>
    <x v="9"/>
    <s v="P011"/>
    <x v="3"/>
    <n v="1"/>
    <n v="1260"/>
    <n v="10"/>
    <x v="9"/>
    <n v="700"/>
    <n v="1260"/>
    <n v="700"/>
    <n v="560"/>
    <n v="0.44444444444444398"/>
    <n v="0"/>
    <n v="0"/>
    <n v="1"/>
    <n v="1260"/>
  </r>
  <r>
    <s v="S1132"/>
    <d v="2024-10-15T00:00:00"/>
    <x v="41"/>
    <n v="10"/>
    <x v="9"/>
    <s v="P007"/>
    <x v="3"/>
    <n v="3"/>
    <n v="1080"/>
    <n v="10"/>
    <x v="22"/>
    <n v="600"/>
    <n v="3240"/>
    <n v="1800"/>
    <n v="1440"/>
    <n v="0.44444444444444398"/>
    <n v="0"/>
    <n v="0"/>
    <n v="3"/>
    <n v="3240"/>
  </r>
  <r>
    <s v="S1068"/>
    <d v="2024-10-15T00:00:00"/>
    <x v="41"/>
    <n v="10"/>
    <x v="9"/>
    <s v="P012"/>
    <x v="2"/>
    <n v="4"/>
    <n v="1620"/>
    <n v="0"/>
    <x v="3"/>
    <n v="900"/>
    <n v="6480"/>
    <n v="3600"/>
    <n v="2880"/>
    <n v="0.44444444444444398"/>
    <n v="2"/>
    <n v="2"/>
    <n v="2"/>
    <n v="3240"/>
  </r>
  <r>
    <s v="S1046"/>
    <d v="2024-10-15T00:00:00"/>
    <x v="41"/>
    <n v="10"/>
    <x v="9"/>
    <s v="P004"/>
    <x v="0"/>
    <n v="4"/>
    <n v="2640"/>
    <n v="0"/>
    <x v="5"/>
    <n v="1200"/>
    <n v="10560"/>
    <n v="4800"/>
    <n v="5760"/>
    <n v="0.54545454545454497"/>
    <n v="0"/>
    <n v="0"/>
    <n v="4"/>
    <n v="10560"/>
  </r>
  <r>
    <s v="S1141"/>
    <d v="2024-10-15T00:00:00"/>
    <x v="41"/>
    <n v="10"/>
    <x v="9"/>
    <s v="P015"/>
    <x v="2"/>
    <n v="5"/>
    <n v="598.5"/>
    <n v="5"/>
    <x v="24"/>
    <n v="350"/>
    <n v="2992.5"/>
    <n v="1750"/>
    <n v="1242.5"/>
    <n v="0.41520467836257302"/>
    <n v="0"/>
    <n v="0"/>
    <n v="5"/>
    <n v="2992.5"/>
  </r>
  <r>
    <s v="S1074"/>
    <d v="2024-10-15T00:00:00"/>
    <x v="41"/>
    <n v="10"/>
    <x v="9"/>
    <s v="P003"/>
    <x v="0"/>
    <n v="4"/>
    <n v="380"/>
    <n v="5"/>
    <x v="17"/>
    <n v="180"/>
    <n v="1520"/>
    <n v="720"/>
    <n v="800"/>
    <n v="0.52631578947368396"/>
    <n v="0"/>
    <n v="0"/>
    <n v="4"/>
    <n v="1520"/>
  </r>
  <r>
    <s v="S1040"/>
    <d v="2024-10-15T00:00:00"/>
    <x v="41"/>
    <n v="10"/>
    <x v="9"/>
    <s v="P002"/>
    <x v="0"/>
    <n v="3"/>
    <n v="748"/>
    <n v="15"/>
    <x v="2"/>
    <n v="400"/>
    <n v="2244"/>
    <n v="1200"/>
    <n v="1044"/>
    <n v="0.46524064171122997"/>
    <n v="0"/>
    <n v="0"/>
    <n v="3"/>
    <n v="2244"/>
  </r>
  <r>
    <s v="S1066"/>
    <d v="2024-10-16T00:00:00"/>
    <x v="41"/>
    <n v="10"/>
    <x v="9"/>
    <s v="P025"/>
    <x v="1"/>
    <n v="3"/>
    <n v="846"/>
    <n v="10"/>
    <x v="19"/>
    <n v="450"/>
    <n v="2538"/>
    <n v="1350"/>
    <n v="1188"/>
    <n v="0.46808510638297901"/>
    <n v="0"/>
    <n v="0"/>
    <n v="3"/>
    <n v="2538"/>
  </r>
  <r>
    <s v="S1150"/>
    <d v="2024-10-16T00:00:00"/>
    <x v="41"/>
    <n v="10"/>
    <x v="9"/>
    <s v="P020"/>
    <x v="4"/>
    <n v="4"/>
    <n v="1500"/>
    <n v="0"/>
    <x v="8"/>
    <n v="600"/>
    <n v="6000"/>
    <n v="2400"/>
    <n v="3600"/>
    <n v="0.6"/>
    <n v="0"/>
    <n v="0"/>
    <n v="4"/>
    <n v="6000"/>
  </r>
  <r>
    <s v="S1047"/>
    <d v="2024-10-16T00:00:00"/>
    <x v="41"/>
    <n v="10"/>
    <x v="9"/>
    <s v="P022"/>
    <x v="1"/>
    <n v="3"/>
    <n v="1396.5"/>
    <n v="5"/>
    <x v="11"/>
    <n v="700"/>
    <n v="4189.5"/>
    <n v="2100"/>
    <n v="2089.5"/>
    <n v="0.49874686716791999"/>
    <n v="0"/>
    <n v="0"/>
    <n v="3"/>
    <n v="4189.5"/>
  </r>
  <r>
    <s v="S1037"/>
    <d v="2024-10-16T00:00:00"/>
    <x v="41"/>
    <n v="10"/>
    <x v="9"/>
    <s v="P007"/>
    <x v="3"/>
    <n v="2"/>
    <n v="1140"/>
    <n v="5"/>
    <x v="22"/>
    <n v="600"/>
    <n v="2280"/>
    <n v="1200"/>
    <n v="1080"/>
    <n v="0.47368421052631599"/>
    <n v="0"/>
    <n v="0"/>
    <n v="2"/>
    <n v="2280"/>
  </r>
  <r>
    <s v="S1018"/>
    <d v="2024-10-17T00:00:00"/>
    <x v="41"/>
    <n v="10"/>
    <x v="9"/>
    <s v="P027"/>
    <x v="5"/>
    <n v="1"/>
    <n v="960"/>
    <n v="0"/>
    <x v="28"/>
    <n v="480"/>
    <n v="960"/>
    <n v="480"/>
    <n v="480"/>
    <n v="0.5"/>
    <n v="0"/>
    <n v="0"/>
    <n v="1"/>
    <n v="960"/>
  </r>
  <r>
    <s v="S1108"/>
    <d v="2024-10-17T00:00:00"/>
    <x v="41"/>
    <n v="10"/>
    <x v="9"/>
    <s v="P022"/>
    <x v="1"/>
    <n v="2"/>
    <n v="1470"/>
    <n v="0"/>
    <x v="11"/>
    <n v="700"/>
    <n v="2940"/>
    <n v="1400"/>
    <n v="1540"/>
    <n v="0.52380952380952395"/>
    <n v="0"/>
    <n v="0"/>
    <n v="2"/>
    <n v="2940"/>
  </r>
  <r>
    <s v="S1144"/>
    <d v="2024-10-17T00:00:00"/>
    <x v="41"/>
    <n v="10"/>
    <x v="9"/>
    <s v="P024"/>
    <x v="1"/>
    <n v="1"/>
    <n v="1512"/>
    <n v="10"/>
    <x v="20"/>
    <n v="800"/>
    <n v="1512"/>
    <n v="800"/>
    <n v="712"/>
    <n v="0.47089947089947098"/>
    <n v="0"/>
    <n v="0"/>
    <n v="1"/>
    <n v="1512"/>
  </r>
  <r>
    <s v="S1075"/>
    <d v="2024-10-17T00:00:00"/>
    <x v="41"/>
    <n v="10"/>
    <x v="9"/>
    <s v="P015"/>
    <x v="2"/>
    <n v="3"/>
    <n v="567"/>
    <n v="10"/>
    <x v="24"/>
    <n v="350"/>
    <n v="1701"/>
    <n v="1050"/>
    <n v="651"/>
    <n v="0.38271604938271597"/>
    <n v="0"/>
    <n v="0"/>
    <n v="3"/>
    <n v="1701"/>
  </r>
  <r>
    <s v="S1025"/>
    <d v="2024-10-17T00:00:00"/>
    <x v="41"/>
    <n v="10"/>
    <x v="9"/>
    <s v="P008"/>
    <x v="3"/>
    <n v="2"/>
    <n v="900"/>
    <n v="10"/>
    <x v="10"/>
    <n v="500"/>
    <n v="1800"/>
    <n v="1000"/>
    <n v="800"/>
    <n v="0.44444444444444398"/>
    <n v="0"/>
    <n v="0"/>
    <n v="2"/>
    <n v="1800"/>
  </r>
  <r>
    <s v="S1071"/>
    <d v="2024-10-17T00:00:00"/>
    <x v="41"/>
    <n v="10"/>
    <x v="9"/>
    <s v="P001"/>
    <x v="0"/>
    <n v="5"/>
    <n v="654.5"/>
    <n v="15"/>
    <x v="23"/>
    <n v="350"/>
    <n v="3272.5"/>
    <n v="1750"/>
    <n v="1522.5"/>
    <n v="0.46524064171122997"/>
    <n v="4"/>
    <n v="4"/>
    <n v="1"/>
    <n v="654.5"/>
  </r>
  <r>
    <s v="S1059"/>
    <d v="2024-10-17T00:00:00"/>
    <x v="41"/>
    <n v="10"/>
    <x v="9"/>
    <s v="P005"/>
    <x v="0"/>
    <n v="1"/>
    <n v="4180"/>
    <n v="5"/>
    <x v="25"/>
    <n v="2000"/>
    <n v="4180"/>
    <n v="2000"/>
    <n v="2180"/>
    <n v="0.52153110047846896"/>
    <n v="0"/>
    <n v="0"/>
    <n v="1"/>
    <n v="4180"/>
  </r>
  <r>
    <s v="S1117"/>
    <d v="2024-10-17T00:00:00"/>
    <x v="41"/>
    <n v="10"/>
    <x v="9"/>
    <s v="P008"/>
    <x v="3"/>
    <n v="4"/>
    <n v="900"/>
    <n v="10"/>
    <x v="10"/>
    <n v="500"/>
    <n v="3600"/>
    <n v="2000"/>
    <n v="1600"/>
    <n v="0.44444444444444398"/>
    <n v="0"/>
    <n v="0"/>
    <n v="4"/>
    <n v="3600"/>
  </r>
  <r>
    <s v="S1061"/>
    <d v="2024-10-18T00:00:00"/>
    <x v="41"/>
    <n v="10"/>
    <x v="9"/>
    <s v="P016"/>
    <x v="2"/>
    <n v="2"/>
    <n v="1989"/>
    <n v="15"/>
    <x v="13"/>
    <n v="1300"/>
    <n v="3978"/>
    <n v="2600"/>
    <n v="1378"/>
    <n v="0.34640522875816998"/>
    <n v="0"/>
    <n v="0"/>
    <n v="2"/>
    <n v="3978"/>
  </r>
  <r>
    <s v="S0997"/>
    <d v="2024-10-18T00:00:00"/>
    <x v="41"/>
    <n v="10"/>
    <x v="9"/>
    <s v="P021"/>
    <x v="4"/>
    <n v="4"/>
    <n v="850"/>
    <n v="15"/>
    <x v="6"/>
    <n v="400"/>
    <n v="3400"/>
    <n v="1600"/>
    <n v="1800"/>
    <n v="0.52941176470588203"/>
    <n v="2"/>
    <n v="2"/>
    <n v="2"/>
    <n v="1700"/>
  </r>
  <r>
    <s v="S1151"/>
    <d v="2024-10-18T00:00:00"/>
    <x v="41"/>
    <n v="10"/>
    <x v="9"/>
    <s v="P002"/>
    <x v="0"/>
    <n v="4"/>
    <n v="880"/>
    <n v="0"/>
    <x v="2"/>
    <n v="400"/>
    <n v="3520"/>
    <n v="1600"/>
    <n v="1920"/>
    <n v="0.54545454545454497"/>
    <n v="1"/>
    <n v="1"/>
    <n v="3"/>
    <n v="2640"/>
  </r>
  <r>
    <s v="S1050"/>
    <d v="2024-10-19T00:00:00"/>
    <x v="41"/>
    <n v="10"/>
    <x v="9"/>
    <s v="P004"/>
    <x v="0"/>
    <n v="4"/>
    <n v="2640"/>
    <n v="0"/>
    <x v="5"/>
    <n v="1200"/>
    <n v="10560"/>
    <n v="4800"/>
    <n v="5760"/>
    <n v="0.54545454545454497"/>
    <n v="0"/>
    <n v="0"/>
    <n v="4"/>
    <n v="10560"/>
  </r>
  <r>
    <s v="S1017"/>
    <d v="2024-10-19T00:00:00"/>
    <x v="41"/>
    <n v="10"/>
    <x v="9"/>
    <s v="P001"/>
    <x v="0"/>
    <n v="4"/>
    <n v="731.5"/>
    <n v="5"/>
    <x v="23"/>
    <n v="350"/>
    <n v="2926"/>
    <n v="1400"/>
    <n v="1526"/>
    <n v="0.52153110047846896"/>
    <n v="0"/>
    <n v="0"/>
    <n v="4"/>
    <n v="2926"/>
  </r>
  <r>
    <s v="S1006"/>
    <d v="2024-10-19T00:00:00"/>
    <x v="41"/>
    <n v="10"/>
    <x v="9"/>
    <s v="P015"/>
    <x v="2"/>
    <n v="5"/>
    <n v="598.5"/>
    <n v="5"/>
    <x v="24"/>
    <n v="350"/>
    <n v="2992.5"/>
    <n v="1750"/>
    <n v="1242.5"/>
    <n v="0.41520467836257302"/>
    <n v="0"/>
    <n v="0"/>
    <n v="5"/>
    <n v="2992.5"/>
  </r>
  <r>
    <s v="S1005"/>
    <d v="2024-10-19T00:00:00"/>
    <x v="41"/>
    <n v="10"/>
    <x v="9"/>
    <s v="P004"/>
    <x v="0"/>
    <n v="4"/>
    <n v="2508"/>
    <n v="5"/>
    <x v="5"/>
    <n v="1200"/>
    <n v="10032"/>
    <n v="4800"/>
    <n v="5232"/>
    <n v="0.52153110047846896"/>
    <n v="0"/>
    <n v="0"/>
    <n v="4"/>
    <n v="10032"/>
  </r>
  <r>
    <s v="S1092"/>
    <d v="2024-10-19T00:00:00"/>
    <x v="41"/>
    <n v="10"/>
    <x v="9"/>
    <s v="P005"/>
    <x v="0"/>
    <n v="4"/>
    <n v="3740"/>
    <n v="15"/>
    <x v="25"/>
    <n v="2000"/>
    <n v="14960"/>
    <n v="8000"/>
    <n v="6960"/>
    <n v="0.46524064171122997"/>
    <n v="0"/>
    <n v="0"/>
    <n v="4"/>
    <n v="14960"/>
  </r>
  <r>
    <s v="S1097"/>
    <d v="2024-10-20T00:00:00"/>
    <x v="41"/>
    <n v="10"/>
    <x v="9"/>
    <s v="P005"/>
    <x v="0"/>
    <n v="5"/>
    <n v="3740"/>
    <n v="15"/>
    <x v="25"/>
    <n v="2000"/>
    <n v="18700"/>
    <n v="10000"/>
    <n v="8700"/>
    <n v="0.46524064171122997"/>
    <n v="0"/>
    <n v="0"/>
    <n v="5"/>
    <n v="18700"/>
  </r>
  <r>
    <s v="S1076"/>
    <d v="2024-10-20T00:00:00"/>
    <x v="41"/>
    <n v="10"/>
    <x v="9"/>
    <s v="P002"/>
    <x v="0"/>
    <n v="2"/>
    <n v="880"/>
    <n v="0"/>
    <x v="2"/>
    <n v="400"/>
    <n v="1760"/>
    <n v="800"/>
    <n v="960"/>
    <n v="0.54545454545454497"/>
    <n v="0"/>
    <n v="0"/>
    <n v="2"/>
    <n v="1760"/>
  </r>
  <r>
    <s v="S1043"/>
    <d v="2024-10-20T00:00:00"/>
    <x v="41"/>
    <n v="10"/>
    <x v="9"/>
    <s v="P003"/>
    <x v="0"/>
    <n v="5"/>
    <n v="400"/>
    <n v="0"/>
    <x v="17"/>
    <n v="180"/>
    <n v="2000"/>
    <n v="900"/>
    <n v="1100"/>
    <n v="0.55000000000000004"/>
    <n v="0"/>
    <n v="0"/>
    <n v="5"/>
    <n v="2000"/>
  </r>
  <r>
    <s v="S1058"/>
    <d v="2024-10-20T00:00:00"/>
    <x v="41"/>
    <n v="10"/>
    <x v="9"/>
    <s v="P016"/>
    <x v="2"/>
    <n v="3"/>
    <n v="2106"/>
    <n v="10"/>
    <x v="13"/>
    <n v="1300"/>
    <n v="6318"/>
    <n v="3900"/>
    <n v="2418"/>
    <n v="0.38271604938271597"/>
    <n v="0"/>
    <n v="0"/>
    <n v="3"/>
    <n v="6318"/>
  </r>
  <r>
    <s v="S1033"/>
    <d v="2024-10-20T00:00:00"/>
    <x v="41"/>
    <n v="10"/>
    <x v="9"/>
    <s v="P028"/>
    <x v="5"/>
    <n v="4"/>
    <n v="600"/>
    <n v="0"/>
    <x v="26"/>
    <n v="300"/>
    <n v="2400"/>
    <n v="1200"/>
    <n v="1200"/>
    <n v="0.5"/>
    <n v="0"/>
    <n v="0"/>
    <n v="4"/>
    <n v="2400"/>
  </r>
  <r>
    <s v="S1042"/>
    <d v="2024-10-21T00:00:00"/>
    <x v="42"/>
    <n v="10"/>
    <x v="9"/>
    <s v="P002"/>
    <x v="0"/>
    <n v="2"/>
    <n v="748"/>
    <n v="15"/>
    <x v="2"/>
    <n v="400"/>
    <n v="1496"/>
    <n v="800"/>
    <n v="696"/>
    <n v="0.46524064171122997"/>
    <n v="2"/>
    <n v="2"/>
    <n v="0"/>
    <n v="0"/>
  </r>
  <r>
    <s v="S1083"/>
    <d v="2024-10-21T00:00:00"/>
    <x v="42"/>
    <n v="10"/>
    <x v="9"/>
    <s v="P023"/>
    <x v="1"/>
    <n v="2"/>
    <n v="3150"/>
    <n v="0"/>
    <x v="12"/>
    <n v="1500"/>
    <n v="6300"/>
    <n v="3000"/>
    <n v="3300"/>
    <n v="0.52380952380952395"/>
    <n v="0"/>
    <n v="0"/>
    <n v="2"/>
    <n v="6300"/>
  </r>
  <r>
    <s v="S1024"/>
    <d v="2024-10-21T00:00:00"/>
    <x v="42"/>
    <n v="10"/>
    <x v="9"/>
    <s v="P010"/>
    <x v="3"/>
    <n v="4"/>
    <n v="500"/>
    <n v="0"/>
    <x v="4"/>
    <n v="250"/>
    <n v="2000"/>
    <n v="1000"/>
    <n v="1000"/>
    <n v="0.5"/>
    <n v="0"/>
    <n v="0"/>
    <n v="4"/>
    <n v="2000"/>
  </r>
  <r>
    <s v="S1048"/>
    <d v="2024-10-21T00:00:00"/>
    <x v="42"/>
    <n v="10"/>
    <x v="9"/>
    <s v="P023"/>
    <x v="1"/>
    <n v="1"/>
    <n v="3150"/>
    <n v="0"/>
    <x v="12"/>
    <n v="1500"/>
    <n v="3150"/>
    <n v="1500"/>
    <n v="1650"/>
    <n v="0.52380952380952395"/>
    <n v="0"/>
    <n v="0"/>
    <n v="1"/>
    <n v="3150"/>
  </r>
  <r>
    <s v="S1064"/>
    <d v="2024-10-21T00:00:00"/>
    <x v="42"/>
    <n v="10"/>
    <x v="9"/>
    <s v="P029"/>
    <x v="5"/>
    <n v="1"/>
    <n v="400"/>
    <n v="0"/>
    <x v="27"/>
    <n v="200"/>
    <n v="400"/>
    <n v="200"/>
    <n v="200"/>
    <n v="0.5"/>
    <n v="0"/>
    <n v="0"/>
    <n v="1"/>
    <n v="400"/>
  </r>
  <r>
    <s v="S1081"/>
    <d v="2024-10-22T00:00:00"/>
    <x v="42"/>
    <n v="10"/>
    <x v="9"/>
    <s v="P010"/>
    <x v="3"/>
    <n v="3"/>
    <n v="450"/>
    <n v="10"/>
    <x v="4"/>
    <n v="250"/>
    <n v="1350"/>
    <n v="750"/>
    <n v="600"/>
    <n v="0.44444444444444398"/>
    <n v="3"/>
    <n v="3"/>
    <n v="0"/>
    <n v="0"/>
  </r>
  <r>
    <s v="S1107"/>
    <d v="2024-10-22T00:00:00"/>
    <x v="42"/>
    <n v="10"/>
    <x v="9"/>
    <s v="P014"/>
    <x v="2"/>
    <n v="5"/>
    <n v="855"/>
    <n v="5"/>
    <x v="18"/>
    <n v="500"/>
    <n v="4275"/>
    <n v="2500"/>
    <n v="1775"/>
    <n v="0.41520467836257302"/>
    <n v="0"/>
    <n v="0"/>
    <n v="5"/>
    <n v="4275"/>
  </r>
  <r>
    <s v="S1086"/>
    <d v="2024-10-22T00:00:00"/>
    <x v="42"/>
    <n v="10"/>
    <x v="9"/>
    <s v="P004"/>
    <x v="0"/>
    <n v="1"/>
    <n v="2508"/>
    <n v="5"/>
    <x v="5"/>
    <n v="1200"/>
    <n v="2508"/>
    <n v="1200"/>
    <n v="1308"/>
    <n v="0.52153110047846896"/>
    <n v="0"/>
    <n v="0"/>
    <n v="1"/>
    <n v="2508"/>
  </r>
  <r>
    <s v="S1103"/>
    <d v="2024-10-22T00:00:00"/>
    <x v="42"/>
    <n v="10"/>
    <x v="9"/>
    <s v="P002"/>
    <x v="0"/>
    <n v="3"/>
    <n v="748"/>
    <n v="15"/>
    <x v="2"/>
    <n v="400"/>
    <n v="2244"/>
    <n v="1200"/>
    <n v="1044"/>
    <n v="0.46524064171122997"/>
    <n v="0"/>
    <n v="0"/>
    <n v="3"/>
    <n v="2244"/>
  </r>
  <r>
    <s v="S1105"/>
    <d v="2024-10-22T00:00:00"/>
    <x v="42"/>
    <n v="10"/>
    <x v="9"/>
    <s v="P011"/>
    <x v="3"/>
    <n v="5"/>
    <n v="1260"/>
    <n v="10"/>
    <x v="9"/>
    <n v="700"/>
    <n v="6300"/>
    <n v="3500"/>
    <n v="2800"/>
    <n v="0.44444444444444398"/>
    <n v="3"/>
    <n v="3"/>
    <n v="2"/>
    <n v="2520"/>
  </r>
  <r>
    <s v="S1007"/>
    <d v="2024-10-23T00:00:00"/>
    <x v="42"/>
    <n v="10"/>
    <x v="9"/>
    <s v="P002"/>
    <x v="0"/>
    <n v="1"/>
    <n v="748"/>
    <n v="15"/>
    <x v="2"/>
    <n v="400"/>
    <n v="748"/>
    <n v="400"/>
    <n v="348"/>
    <n v="0.46524064171122997"/>
    <n v="0"/>
    <n v="0"/>
    <n v="1"/>
    <n v="748"/>
  </r>
  <r>
    <s v="S1070"/>
    <d v="2024-10-23T00:00:00"/>
    <x v="42"/>
    <n v="10"/>
    <x v="9"/>
    <s v="P004"/>
    <x v="0"/>
    <n v="5"/>
    <n v="2640"/>
    <n v="0"/>
    <x v="5"/>
    <n v="1200"/>
    <n v="13200"/>
    <n v="6000"/>
    <n v="7200"/>
    <n v="0.54545454545454497"/>
    <n v="0"/>
    <n v="0"/>
    <n v="5"/>
    <n v="13200"/>
  </r>
  <r>
    <s v="S1095"/>
    <d v="2024-10-23T00:00:00"/>
    <x v="42"/>
    <n v="10"/>
    <x v="9"/>
    <s v="P012"/>
    <x v="2"/>
    <n v="1"/>
    <n v="1377"/>
    <n v="15"/>
    <x v="3"/>
    <n v="900"/>
    <n v="1377"/>
    <n v="900"/>
    <n v="477"/>
    <n v="0.34640522875816998"/>
    <n v="0"/>
    <n v="0"/>
    <n v="1"/>
    <n v="1377"/>
  </r>
  <r>
    <s v="S1152"/>
    <d v="2024-10-23T00:00:00"/>
    <x v="42"/>
    <n v="10"/>
    <x v="9"/>
    <s v="P011"/>
    <x v="3"/>
    <n v="3"/>
    <n v="1260"/>
    <n v="10"/>
    <x v="9"/>
    <n v="700"/>
    <n v="3780"/>
    <n v="2100"/>
    <n v="1680"/>
    <n v="0.44444444444444398"/>
    <n v="0"/>
    <n v="0"/>
    <n v="3"/>
    <n v="3780"/>
  </r>
  <r>
    <s v="S1128"/>
    <d v="2024-10-24T00:00:00"/>
    <x v="42"/>
    <n v="10"/>
    <x v="9"/>
    <s v="P029"/>
    <x v="5"/>
    <n v="5"/>
    <n v="380"/>
    <n v="5"/>
    <x v="27"/>
    <n v="200"/>
    <n v="1900"/>
    <n v="1000"/>
    <n v="900"/>
    <n v="0.47368421052631599"/>
    <n v="0"/>
    <n v="0"/>
    <n v="5"/>
    <n v="1900"/>
  </r>
  <r>
    <s v="S1131"/>
    <d v="2024-10-24T00:00:00"/>
    <x v="42"/>
    <n v="10"/>
    <x v="9"/>
    <s v="P015"/>
    <x v="2"/>
    <n v="5"/>
    <n v="630"/>
    <n v="0"/>
    <x v="24"/>
    <n v="350"/>
    <n v="3150"/>
    <n v="1750"/>
    <n v="1400"/>
    <n v="0.44444444444444398"/>
    <n v="0"/>
    <n v="0"/>
    <n v="5"/>
    <n v="3150"/>
  </r>
  <r>
    <s v="S1020"/>
    <d v="2024-10-24T00:00:00"/>
    <x v="42"/>
    <n v="10"/>
    <x v="9"/>
    <s v="P001"/>
    <x v="0"/>
    <n v="4"/>
    <n v="770"/>
    <n v="0"/>
    <x v="23"/>
    <n v="350"/>
    <n v="3080"/>
    <n v="1400"/>
    <n v="1680"/>
    <n v="0.54545454545454497"/>
    <n v="0"/>
    <n v="0"/>
    <n v="4"/>
    <n v="3080"/>
  </r>
  <r>
    <s v="S1088"/>
    <d v="2024-10-24T00:00:00"/>
    <x v="42"/>
    <n v="10"/>
    <x v="9"/>
    <s v="P011"/>
    <x v="3"/>
    <n v="1"/>
    <n v="1190"/>
    <n v="15"/>
    <x v="9"/>
    <n v="700"/>
    <n v="1190"/>
    <n v="700"/>
    <n v="490"/>
    <n v="0.41176470588235298"/>
    <n v="0"/>
    <n v="0"/>
    <n v="1"/>
    <n v="1190"/>
  </r>
  <r>
    <s v="S1080"/>
    <d v="2024-10-25T00:00:00"/>
    <x v="42"/>
    <n v="10"/>
    <x v="9"/>
    <s v="P008"/>
    <x v="3"/>
    <n v="4"/>
    <n v="1000"/>
    <n v="0"/>
    <x v="10"/>
    <n v="500"/>
    <n v="4000"/>
    <n v="2000"/>
    <n v="2000"/>
    <n v="0.5"/>
    <n v="0"/>
    <n v="0"/>
    <n v="4"/>
    <n v="4000"/>
  </r>
  <r>
    <s v="S1038"/>
    <d v="2024-10-25T00:00:00"/>
    <x v="42"/>
    <n v="10"/>
    <x v="9"/>
    <s v="P019"/>
    <x v="4"/>
    <n v="5"/>
    <n v="4050"/>
    <n v="10"/>
    <x v="14"/>
    <n v="1800"/>
    <n v="20250"/>
    <n v="9000"/>
    <n v="11250"/>
    <n v="0.55555555555555602"/>
    <n v="0"/>
    <n v="0"/>
    <n v="5"/>
    <n v="20250"/>
  </r>
  <r>
    <s v="S1034"/>
    <d v="2024-10-25T00:00:00"/>
    <x v="42"/>
    <n v="10"/>
    <x v="9"/>
    <s v="P004"/>
    <x v="0"/>
    <n v="3"/>
    <n v="2244"/>
    <n v="15"/>
    <x v="5"/>
    <n v="1200"/>
    <n v="6732"/>
    <n v="3600"/>
    <n v="3132"/>
    <n v="0.46524064171122997"/>
    <n v="2"/>
    <n v="2"/>
    <n v="1"/>
    <n v="2244"/>
  </r>
  <r>
    <s v="S1155"/>
    <d v="2024-10-25T00:00:00"/>
    <x v="42"/>
    <n v="10"/>
    <x v="9"/>
    <s v="P005"/>
    <x v="0"/>
    <n v="4"/>
    <n v="4400"/>
    <n v="0"/>
    <x v="25"/>
    <n v="2000"/>
    <n v="17600"/>
    <n v="8000"/>
    <n v="9600"/>
    <n v="0.54545454545454497"/>
    <n v="0"/>
    <n v="0"/>
    <n v="4"/>
    <n v="17600"/>
  </r>
  <r>
    <s v="S1022"/>
    <d v="2024-10-25T00:00:00"/>
    <x v="42"/>
    <n v="10"/>
    <x v="9"/>
    <s v="P019"/>
    <x v="4"/>
    <n v="2"/>
    <n v="4500"/>
    <n v="0"/>
    <x v="14"/>
    <n v="1800"/>
    <n v="9000"/>
    <n v="3600"/>
    <n v="5400"/>
    <n v="0.6"/>
    <n v="0"/>
    <n v="0"/>
    <n v="2"/>
    <n v="9000"/>
  </r>
  <r>
    <s v="S1039"/>
    <d v="2024-10-25T00:00:00"/>
    <x v="42"/>
    <n v="10"/>
    <x v="9"/>
    <s v="P030"/>
    <x v="5"/>
    <n v="4"/>
    <n v="630"/>
    <n v="10"/>
    <x v="29"/>
    <n v="350"/>
    <n v="2520"/>
    <n v="1400"/>
    <n v="1120"/>
    <n v="0.44444444444444398"/>
    <n v="0"/>
    <n v="0"/>
    <n v="4"/>
    <n v="2520"/>
  </r>
  <r>
    <s v="S1143"/>
    <d v="2024-10-25T00:00:00"/>
    <x v="42"/>
    <n v="10"/>
    <x v="9"/>
    <s v="P022"/>
    <x v="1"/>
    <n v="1"/>
    <n v="1396.5"/>
    <n v="5"/>
    <x v="11"/>
    <n v="700"/>
    <n v="1396.5"/>
    <n v="700"/>
    <n v="696.5"/>
    <n v="0.49874686716791999"/>
    <n v="0"/>
    <n v="0"/>
    <n v="1"/>
    <n v="1396.5"/>
  </r>
  <r>
    <s v="S1142"/>
    <d v="2024-10-25T00:00:00"/>
    <x v="42"/>
    <n v="10"/>
    <x v="9"/>
    <s v="P006"/>
    <x v="0"/>
    <n v="4"/>
    <n v="480"/>
    <n v="0"/>
    <x v="0"/>
    <n v="220"/>
    <n v="1920"/>
    <n v="880"/>
    <n v="1040"/>
    <n v="0.54166666666666696"/>
    <n v="0"/>
    <n v="0"/>
    <n v="4"/>
    <n v="1920"/>
  </r>
  <r>
    <s v="S1126"/>
    <d v="2024-10-25T00:00:00"/>
    <x v="42"/>
    <n v="10"/>
    <x v="9"/>
    <s v="P010"/>
    <x v="3"/>
    <n v="2"/>
    <n v="450"/>
    <n v="10"/>
    <x v="4"/>
    <n v="250"/>
    <n v="900"/>
    <n v="500"/>
    <n v="400"/>
    <n v="0.44444444444444398"/>
    <n v="0"/>
    <n v="0"/>
    <n v="2"/>
    <n v="900"/>
  </r>
  <r>
    <s v="S1049"/>
    <d v="2024-10-26T00:00:00"/>
    <x v="42"/>
    <n v="10"/>
    <x v="9"/>
    <s v="P015"/>
    <x v="2"/>
    <n v="3"/>
    <n v="630"/>
    <n v="0"/>
    <x v="24"/>
    <n v="350"/>
    <n v="1890"/>
    <n v="1050"/>
    <n v="840"/>
    <n v="0.44444444444444398"/>
    <n v="0"/>
    <n v="0"/>
    <n v="3"/>
    <n v="1890"/>
  </r>
  <r>
    <s v="S1069"/>
    <d v="2024-10-26T00:00:00"/>
    <x v="42"/>
    <n v="10"/>
    <x v="9"/>
    <s v="P022"/>
    <x v="1"/>
    <n v="3"/>
    <n v="1470"/>
    <n v="0"/>
    <x v="11"/>
    <n v="700"/>
    <n v="4410"/>
    <n v="2100"/>
    <n v="2310"/>
    <n v="0.52380952380952395"/>
    <n v="0"/>
    <n v="0"/>
    <n v="3"/>
    <n v="4410"/>
  </r>
  <r>
    <s v="S1127"/>
    <d v="2024-10-26T00:00:00"/>
    <x v="42"/>
    <n v="10"/>
    <x v="9"/>
    <s v="P022"/>
    <x v="1"/>
    <n v="3"/>
    <n v="1470"/>
    <n v="0"/>
    <x v="11"/>
    <n v="700"/>
    <n v="4410"/>
    <n v="2100"/>
    <n v="2310"/>
    <n v="0.52380952380952395"/>
    <n v="0"/>
    <n v="0"/>
    <n v="3"/>
    <n v="4410"/>
  </r>
  <r>
    <s v="S1147"/>
    <d v="2024-10-26T00:00:00"/>
    <x v="42"/>
    <n v="10"/>
    <x v="9"/>
    <s v="P004"/>
    <x v="0"/>
    <n v="1"/>
    <n v="2376"/>
    <n v="10"/>
    <x v="5"/>
    <n v="1200"/>
    <n v="2376"/>
    <n v="1200"/>
    <n v="1176"/>
    <n v="0.49494949494949497"/>
    <n v="0"/>
    <n v="0"/>
    <n v="1"/>
    <n v="2376"/>
  </r>
  <r>
    <s v="S0998"/>
    <d v="2024-10-26T00:00:00"/>
    <x v="42"/>
    <n v="10"/>
    <x v="9"/>
    <s v="P002"/>
    <x v="0"/>
    <n v="1"/>
    <n v="880"/>
    <n v="0"/>
    <x v="2"/>
    <n v="400"/>
    <n v="880"/>
    <n v="400"/>
    <n v="480"/>
    <n v="0.54545454545454497"/>
    <n v="0"/>
    <n v="0"/>
    <n v="1"/>
    <n v="880"/>
  </r>
  <r>
    <s v="S1101"/>
    <d v="2024-10-26T00:00:00"/>
    <x v="42"/>
    <n v="10"/>
    <x v="9"/>
    <s v="P021"/>
    <x v="4"/>
    <n v="3"/>
    <n v="1000"/>
    <n v="0"/>
    <x v="6"/>
    <n v="400"/>
    <n v="3000"/>
    <n v="1200"/>
    <n v="1800"/>
    <n v="0.6"/>
    <n v="3"/>
    <n v="3"/>
    <n v="0"/>
    <n v="0"/>
  </r>
  <r>
    <s v="S1134"/>
    <d v="2024-10-26T00:00:00"/>
    <x v="42"/>
    <n v="10"/>
    <x v="9"/>
    <s v="P017"/>
    <x v="4"/>
    <n v="3"/>
    <n v="475"/>
    <n v="5"/>
    <x v="15"/>
    <n v="200"/>
    <n v="1425"/>
    <n v="600"/>
    <n v="825"/>
    <n v="0.57894736842105299"/>
    <n v="0"/>
    <n v="0"/>
    <n v="3"/>
    <n v="1425"/>
  </r>
  <r>
    <s v="S1146"/>
    <d v="2024-10-27T00:00:00"/>
    <x v="42"/>
    <n v="10"/>
    <x v="9"/>
    <s v="P014"/>
    <x v="2"/>
    <n v="5"/>
    <n v="900"/>
    <n v="0"/>
    <x v="18"/>
    <n v="500"/>
    <n v="4500"/>
    <n v="2500"/>
    <n v="2000"/>
    <n v="0.44444444444444398"/>
    <n v="0"/>
    <n v="0"/>
    <n v="5"/>
    <n v="4500"/>
  </r>
  <r>
    <s v="S1160"/>
    <d v="2024-10-27T00:00:00"/>
    <x v="42"/>
    <n v="10"/>
    <x v="9"/>
    <s v="P023"/>
    <x v="1"/>
    <n v="1"/>
    <n v="2992.5"/>
    <n v="5"/>
    <x v="12"/>
    <n v="1500"/>
    <n v="2992.5"/>
    <n v="1500"/>
    <n v="1492.5"/>
    <n v="0.49874686716791999"/>
    <n v="0"/>
    <n v="0"/>
    <n v="1"/>
    <n v="2992.5"/>
  </r>
  <r>
    <s v="S1029"/>
    <d v="2024-10-27T00:00:00"/>
    <x v="42"/>
    <n v="10"/>
    <x v="9"/>
    <s v="P010"/>
    <x v="3"/>
    <n v="2"/>
    <n v="500"/>
    <n v="0"/>
    <x v="4"/>
    <n v="250"/>
    <n v="1000"/>
    <n v="500"/>
    <n v="500"/>
    <n v="0.5"/>
    <n v="0"/>
    <n v="0"/>
    <n v="2"/>
    <n v="1000"/>
  </r>
  <r>
    <s v="S1104"/>
    <d v="2024-10-27T00:00:00"/>
    <x v="42"/>
    <n v="10"/>
    <x v="9"/>
    <s v="P013"/>
    <x v="2"/>
    <n v="3"/>
    <n v="1683"/>
    <n v="15"/>
    <x v="21"/>
    <n v="1100"/>
    <n v="5049"/>
    <n v="3300"/>
    <n v="1749"/>
    <n v="0.34640522875816998"/>
    <n v="0"/>
    <n v="0"/>
    <n v="3"/>
    <n v="5049"/>
  </r>
  <r>
    <s v="S1102"/>
    <d v="2024-10-27T00:00:00"/>
    <x v="42"/>
    <n v="10"/>
    <x v="9"/>
    <s v="P009"/>
    <x v="3"/>
    <n v="5"/>
    <n v="600"/>
    <n v="0"/>
    <x v="7"/>
    <n v="300"/>
    <n v="3000"/>
    <n v="1500"/>
    <n v="1500"/>
    <n v="0.5"/>
    <n v="4"/>
    <n v="4"/>
    <n v="1"/>
    <n v="600"/>
  </r>
  <r>
    <s v="S1118"/>
    <d v="2024-10-27T00:00:00"/>
    <x v="42"/>
    <n v="10"/>
    <x v="9"/>
    <s v="P024"/>
    <x v="1"/>
    <n v="2"/>
    <n v="1428"/>
    <n v="15"/>
    <x v="20"/>
    <n v="800"/>
    <n v="2856"/>
    <n v="1600"/>
    <n v="1256"/>
    <n v="0.43977591036414598"/>
    <n v="0"/>
    <n v="0"/>
    <n v="2"/>
    <n v="2856"/>
  </r>
  <r>
    <s v="S1125"/>
    <d v="2024-10-27T00:00:00"/>
    <x v="42"/>
    <n v="10"/>
    <x v="9"/>
    <s v="P009"/>
    <x v="3"/>
    <n v="3"/>
    <n v="510"/>
    <n v="15"/>
    <x v="7"/>
    <n v="300"/>
    <n v="1530"/>
    <n v="900"/>
    <n v="630"/>
    <n v="0.41176470588235298"/>
    <n v="0"/>
    <n v="0"/>
    <n v="3"/>
    <n v="1530"/>
  </r>
  <r>
    <s v="S1044"/>
    <d v="2024-10-28T00:00:00"/>
    <x v="43"/>
    <n v="10"/>
    <x v="9"/>
    <s v="P022"/>
    <x v="1"/>
    <n v="3"/>
    <n v="1249.5"/>
    <n v="15"/>
    <x v="11"/>
    <n v="700"/>
    <n v="3748.5"/>
    <n v="2100"/>
    <n v="1648.5"/>
    <n v="0.43977591036414598"/>
    <n v="0"/>
    <n v="0"/>
    <n v="3"/>
    <n v="3748.5"/>
  </r>
  <r>
    <s v="S1000"/>
    <d v="2024-10-28T00:00:00"/>
    <x v="43"/>
    <n v="10"/>
    <x v="9"/>
    <s v="P007"/>
    <x v="3"/>
    <n v="5"/>
    <n v="1020"/>
    <n v="15"/>
    <x v="22"/>
    <n v="600"/>
    <n v="5100"/>
    <n v="3000"/>
    <n v="2100"/>
    <n v="0.41176470588235298"/>
    <n v="0"/>
    <n v="0"/>
    <n v="5"/>
    <n v="5100"/>
  </r>
  <r>
    <s v="S1153"/>
    <d v="2024-10-28T00:00:00"/>
    <x v="43"/>
    <n v="10"/>
    <x v="9"/>
    <s v="P002"/>
    <x v="0"/>
    <n v="1"/>
    <n v="880"/>
    <n v="0"/>
    <x v="2"/>
    <n v="400"/>
    <n v="880"/>
    <n v="400"/>
    <n v="480"/>
    <n v="0.54545454545454497"/>
    <n v="0"/>
    <n v="0"/>
    <n v="1"/>
    <n v="880"/>
  </r>
  <r>
    <s v="S1004"/>
    <d v="2024-10-28T00:00:00"/>
    <x v="43"/>
    <n v="10"/>
    <x v="9"/>
    <s v="P013"/>
    <x v="2"/>
    <n v="5"/>
    <n v="1980"/>
    <n v="0"/>
    <x v="21"/>
    <n v="1100"/>
    <n v="9900"/>
    <n v="5500"/>
    <n v="4400"/>
    <n v="0.44444444444444398"/>
    <n v="2"/>
    <n v="2"/>
    <n v="3"/>
    <n v="5940"/>
  </r>
  <r>
    <s v="S1015"/>
    <d v="2024-10-28T00:00:00"/>
    <x v="43"/>
    <n v="10"/>
    <x v="9"/>
    <s v="P011"/>
    <x v="3"/>
    <n v="2"/>
    <n v="1400"/>
    <n v="0"/>
    <x v="9"/>
    <n v="700"/>
    <n v="2800"/>
    <n v="1400"/>
    <n v="1400"/>
    <n v="0.5"/>
    <n v="0"/>
    <n v="0"/>
    <n v="2"/>
    <n v="2800"/>
  </r>
  <r>
    <s v="S1090"/>
    <d v="2024-10-28T00:00:00"/>
    <x v="43"/>
    <n v="10"/>
    <x v="9"/>
    <s v="P023"/>
    <x v="1"/>
    <n v="1"/>
    <n v="3150"/>
    <n v="0"/>
    <x v="12"/>
    <n v="1500"/>
    <n v="3150"/>
    <n v="1500"/>
    <n v="1650"/>
    <n v="0.52380952380952395"/>
    <n v="0"/>
    <n v="0"/>
    <n v="1"/>
    <n v="3150"/>
  </r>
  <r>
    <s v="S1116"/>
    <d v="2024-10-28T00:00:00"/>
    <x v="43"/>
    <n v="10"/>
    <x v="9"/>
    <s v="P002"/>
    <x v="0"/>
    <n v="4"/>
    <n v="880"/>
    <n v="0"/>
    <x v="2"/>
    <n v="400"/>
    <n v="3520"/>
    <n v="1600"/>
    <n v="1920"/>
    <n v="0.54545454545454497"/>
    <n v="0"/>
    <n v="0"/>
    <n v="4"/>
    <n v="3520"/>
  </r>
  <r>
    <s v="S1057"/>
    <d v="2024-10-28T00:00:00"/>
    <x v="43"/>
    <n v="10"/>
    <x v="9"/>
    <s v="P020"/>
    <x v="4"/>
    <n v="1"/>
    <n v="1500"/>
    <n v="0"/>
    <x v="8"/>
    <n v="600"/>
    <n v="1500"/>
    <n v="600"/>
    <n v="900"/>
    <n v="0.6"/>
    <n v="0"/>
    <n v="0"/>
    <n v="1"/>
    <n v="1500"/>
  </r>
  <r>
    <s v="S1119"/>
    <d v="2024-10-29T00:00:00"/>
    <x v="43"/>
    <n v="10"/>
    <x v="9"/>
    <s v="P008"/>
    <x v="3"/>
    <n v="2"/>
    <n v="900"/>
    <n v="10"/>
    <x v="10"/>
    <n v="500"/>
    <n v="1800"/>
    <n v="1000"/>
    <n v="800"/>
    <n v="0.44444444444444398"/>
    <n v="0"/>
    <n v="0"/>
    <n v="2"/>
    <n v="1800"/>
  </r>
  <r>
    <s v="S1062"/>
    <d v="2024-10-29T00:00:00"/>
    <x v="43"/>
    <n v="10"/>
    <x v="9"/>
    <s v="P023"/>
    <x v="1"/>
    <n v="4"/>
    <n v="3150"/>
    <n v="0"/>
    <x v="12"/>
    <n v="1500"/>
    <n v="12600"/>
    <n v="6000"/>
    <n v="6600"/>
    <n v="0.52380952380952395"/>
    <n v="0"/>
    <n v="0"/>
    <n v="4"/>
    <n v="12600"/>
  </r>
  <r>
    <s v="S1157"/>
    <d v="2024-10-29T00:00:00"/>
    <x v="43"/>
    <n v="10"/>
    <x v="9"/>
    <s v="P020"/>
    <x v="4"/>
    <n v="4"/>
    <n v="1350"/>
    <n v="10"/>
    <x v="8"/>
    <n v="600"/>
    <n v="5400"/>
    <n v="2400"/>
    <n v="3000"/>
    <n v="0.55555555555555602"/>
    <n v="0"/>
    <n v="0"/>
    <n v="4"/>
    <n v="5400"/>
  </r>
  <r>
    <s v="S1138"/>
    <d v="2024-10-29T00:00:00"/>
    <x v="43"/>
    <n v="10"/>
    <x v="9"/>
    <s v="P004"/>
    <x v="0"/>
    <n v="4"/>
    <n v="2640"/>
    <n v="0"/>
    <x v="5"/>
    <n v="1200"/>
    <n v="10560"/>
    <n v="4800"/>
    <n v="5760"/>
    <n v="0.54545454545454497"/>
    <n v="0"/>
    <n v="0"/>
    <n v="4"/>
    <n v="10560"/>
  </r>
  <r>
    <s v="S1003"/>
    <d v="2024-10-30T00:00:00"/>
    <x v="43"/>
    <n v="10"/>
    <x v="9"/>
    <s v="P018"/>
    <x v="4"/>
    <n v="4"/>
    <n v="380"/>
    <n v="0"/>
    <x v="16"/>
    <n v="150"/>
    <n v="1520"/>
    <n v="600"/>
    <n v="920"/>
    <n v="0.60526315789473695"/>
    <n v="0"/>
    <n v="0"/>
    <n v="4"/>
    <n v="1520"/>
  </r>
  <r>
    <s v="S1078"/>
    <d v="2024-10-30T00:00:00"/>
    <x v="43"/>
    <n v="10"/>
    <x v="9"/>
    <s v="P002"/>
    <x v="0"/>
    <n v="2"/>
    <n v="880"/>
    <n v="0"/>
    <x v="2"/>
    <n v="400"/>
    <n v="1760"/>
    <n v="800"/>
    <n v="960"/>
    <n v="0.54545454545454497"/>
    <n v="0"/>
    <n v="0"/>
    <n v="2"/>
    <n v="1760"/>
  </r>
  <r>
    <s v="S1041"/>
    <d v="2024-10-30T00:00:00"/>
    <x v="43"/>
    <n v="10"/>
    <x v="9"/>
    <s v="P008"/>
    <x v="3"/>
    <n v="4"/>
    <n v="900"/>
    <n v="10"/>
    <x v="10"/>
    <n v="500"/>
    <n v="3600"/>
    <n v="2000"/>
    <n v="1600"/>
    <n v="0.44444444444444398"/>
    <n v="0"/>
    <n v="0"/>
    <n v="4"/>
    <n v="3600"/>
  </r>
  <r>
    <s v="S1013"/>
    <d v="2024-10-30T00:00:00"/>
    <x v="43"/>
    <n v="10"/>
    <x v="9"/>
    <s v="P010"/>
    <x v="3"/>
    <n v="3"/>
    <n v="500"/>
    <n v="0"/>
    <x v="4"/>
    <n v="250"/>
    <n v="1500"/>
    <n v="750"/>
    <n v="750"/>
    <n v="0.5"/>
    <n v="0"/>
    <n v="0"/>
    <n v="3"/>
    <n v="1500"/>
  </r>
  <r>
    <s v="S1137"/>
    <d v="2024-10-31T00:00:00"/>
    <x v="43"/>
    <n v="10"/>
    <x v="9"/>
    <s v="P005"/>
    <x v="0"/>
    <n v="1"/>
    <n v="4180"/>
    <n v="5"/>
    <x v="25"/>
    <n v="2000"/>
    <n v="4180"/>
    <n v="2000"/>
    <n v="2180"/>
    <n v="0.52153110047846896"/>
    <n v="0"/>
    <n v="0"/>
    <n v="1"/>
    <n v="4180"/>
  </r>
  <r>
    <s v="S1028"/>
    <d v="2024-10-31T00:00:00"/>
    <x v="43"/>
    <n v="10"/>
    <x v="9"/>
    <s v="P004"/>
    <x v="0"/>
    <n v="2"/>
    <n v="2244"/>
    <n v="15"/>
    <x v="5"/>
    <n v="1200"/>
    <n v="4488"/>
    <n v="2400"/>
    <n v="2088"/>
    <n v="0.46524064171122997"/>
    <n v="0"/>
    <n v="0"/>
    <n v="2"/>
    <n v="4488"/>
  </r>
  <r>
    <s v="S1111"/>
    <d v="2024-10-31T00:00:00"/>
    <x v="43"/>
    <n v="10"/>
    <x v="9"/>
    <s v="P001"/>
    <x v="0"/>
    <n v="1"/>
    <n v="770"/>
    <n v="0"/>
    <x v="23"/>
    <n v="350"/>
    <n v="770"/>
    <n v="350"/>
    <n v="420"/>
    <n v="0.54545454545454497"/>
    <n v="0"/>
    <n v="0"/>
    <n v="1"/>
    <n v="770"/>
  </r>
  <r>
    <s v="S1036"/>
    <d v="2024-10-31T00:00:00"/>
    <x v="43"/>
    <n v="10"/>
    <x v="9"/>
    <s v="P008"/>
    <x v="3"/>
    <n v="1"/>
    <n v="850"/>
    <n v="15"/>
    <x v="10"/>
    <n v="500"/>
    <n v="850"/>
    <n v="500"/>
    <n v="350"/>
    <n v="0.41176470588235298"/>
    <n v="0"/>
    <n v="0"/>
    <n v="1"/>
    <n v="850"/>
  </r>
  <r>
    <s v="S1140"/>
    <d v="2024-10-31T00:00:00"/>
    <x v="43"/>
    <n v="10"/>
    <x v="9"/>
    <s v="P026"/>
    <x v="1"/>
    <n v="1"/>
    <n v="468"/>
    <n v="10"/>
    <x v="1"/>
    <n v="250"/>
    <n v="468"/>
    <n v="250"/>
    <n v="218"/>
    <n v="0.46581196581196599"/>
    <n v="0"/>
    <n v="0"/>
    <n v="1"/>
    <n v="468"/>
  </r>
  <r>
    <s v="S1098"/>
    <d v="2024-10-31T00:00:00"/>
    <x v="43"/>
    <n v="10"/>
    <x v="9"/>
    <s v="P030"/>
    <x v="5"/>
    <n v="3"/>
    <n v="700"/>
    <n v="0"/>
    <x v="29"/>
    <n v="350"/>
    <n v="2100"/>
    <n v="1050"/>
    <n v="1050"/>
    <n v="0.5"/>
    <n v="0"/>
    <n v="0"/>
    <n v="3"/>
    <n v="2100"/>
  </r>
  <r>
    <s v="S1089"/>
    <d v="2024-10-31T00:00:00"/>
    <x v="43"/>
    <n v="10"/>
    <x v="9"/>
    <s v="P018"/>
    <x v="4"/>
    <n v="3"/>
    <n v="342"/>
    <n v="10"/>
    <x v="16"/>
    <n v="150"/>
    <n v="1026"/>
    <n v="450"/>
    <n v="576"/>
    <n v="0.56140350877193002"/>
    <n v="0"/>
    <n v="0"/>
    <n v="3"/>
    <n v="1026"/>
  </r>
  <r>
    <s v="S1319"/>
    <d v="2024-11-01T00:00:00"/>
    <x v="43"/>
    <n v="11"/>
    <x v="10"/>
    <s v="P021"/>
    <x v="4"/>
    <n v="1"/>
    <n v="1000"/>
    <n v="0"/>
    <x v="6"/>
    <n v="400"/>
    <n v="1000"/>
    <n v="400"/>
    <n v="600"/>
    <n v="0.6"/>
    <n v="0"/>
    <n v="0"/>
    <n v="1"/>
    <n v="1000"/>
  </r>
  <r>
    <s v="S1211"/>
    <d v="2024-11-01T00:00:00"/>
    <x v="43"/>
    <n v="11"/>
    <x v="10"/>
    <s v="P010"/>
    <x v="3"/>
    <n v="4"/>
    <n v="500"/>
    <n v="0"/>
    <x v="4"/>
    <n v="250"/>
    <n v="2000"/>
    <n v="1000"/>
    <n v="1000"/>
    <n v="0.5"/>
    <n v="0"/>
    <n v="0"/>
    <n v="4"/>
    <n v="2000"/>
  </r>
  <r>
    <s v="S1168"/>
    <d v="2024-11-01T00:00:00"/>
    <x v="43"/>
    <n v="11"/>
    <x v="10"/>
    <s v="P014"/>
    <x v="2"/>
    <n v="3"/>
    <n v="900"/>
    <n v="0"/>
    <x v="18"/>
    <n v="500"/>
    <n v="2700"/>
    <n v="1500"/>
    <n v="1200"/>
    <n v="0.44444444444444398"/>
    <n v="0"/>
    <n v="0"/>
    <n v="3"/>
    <n v="2700"/>
  </r>
  <r>
    <s v="S1193"/>
    <d v="2024-11-01T00:00:00"/>
    <x v="43"/>
    <n v="11"/>
    <x v="10"/>
    <s v="P026"/>
    <x v="1"/>
    <n v="4"/>
    <n v="442"/>
    <n v="15"/>
    <x v="1"/>
    <n v="250"/>
    <n v="1768"/>
    <n v="1000"/>
    <n v="768"/>
    <n v="0.434389140271493"/>
    <n v="0"/>
    <n v="0"/>
    <n v="4"/>
    <n v="1768"/>
  </r>
  <r>
    <s v="S1180"/>
    <d v="2024-11-01T00:00:00"/>
    <x v="43"/>
    <n v="11"/>
    <x v="10"/>
    <s v="P021"/>
    <x v="4"/>
    <n v="3"/>
    <n v="1000"/>
    <n v="0"/>
    <x v="6"/>
    <n v="400"/>
    <n v="3000"/>
    <n v="1200"/>
    <n v="1800"/>
    <n v="0.6"/>
    <n v="0"/>
    <n v="0"/>
    <n v="3"/>
    <n v="3000"/>
  </r>
  <r>
    <s v="S1289"/>
    <d v="2024-11-01T00:00:00"/>
    <x v="43"/>
    <n v="11"/>
    <x v="10"/>
    <s v="P004"/>
    <x v="0"/>
    <n v="5"/>
    <n v="2244"/>
    <n v="15"/>
    <x v="5"/>
    <n v="1200"/>
    <n v="11220"/>
    <n v="6000"/>
    <n v="5220"/>
    <n v="0.46524064171122997"/>
    <n v="0"/>
    <n v="0"/>
    <n v="5"/>
    <n v="11220"/>
  </r>
  <r>
    <s v="S1271"/>
    <d v="2024-11-01T00:00:00"/>
    <x v="43"/>
    <n v="11"/>
    <x v="10"/>
    <s v="P025"/>
    <x v="1"/>
    <n v="3"/>
    <n v="940"/>
    <n v="0"/>
    <x v="19"/>
    <n v="450"/>
    <n v="2820"/>
    <n v="1350"/>
    <n v="1470"/>
    <n v="0.52127659574468099"/>
    <n v="0"/>
    <n v="0"/>
    <n v="3"/>
    <n v="2820"/>
  </r>
  <r>
    <s v="S1274"/>
    <d v="2024-11-02T00:00:00"/>
    <x v="43"/>
    <n v="11"/>
    <x v="10"/>
    <s v="P015"/>
    <x v="2"/>
    <n v="3"/>
    <n v="630"/>
    <n v="0"/>
    <x v="24"/>
    <n v="350"/>
    <n v="1890"/>
    <n v="1050"/>
    <n v="840"/>
    <n v="0.44444444444444398"/>
    <n v="0"/>
    <n v="0"/>
    <n v="3"/>
    <n v="1890"/>
  </r>
  <r>
    <s v="S1208"/>
    <d v="2024-11-02T00:00:00"/>
    <x v="43"/>
    <n v="11"/>
    <x v="10"/>
    <s v="P024"/>
    <x v="1"/>
    <n v="3"/>
    <n v="1428"/>
    <n v="15"/>
    <x v="20"/>
    <n v="800"/>
    <n v="4284"/>
    <n v="2400"/>
    <n v="1884"/>
    <n v="0.43977591036414598"/>
    <n v="0"/>
    <n v="0"/>
    <n v="3"/>
    <n v="4284"/>
  </r>
  <r>
    <s v="S1261"/>
    <d v="2024-11-02T00:00:00"/>
    <x v="43"/>
    <n v="11"/>
    <x v="10"/>
    <s v="P019"/>
    <x v="4"/>
    <n v="4"/>
    <n v="3825"/>
    <n v="15"/>
    <x v="14"/>
    <n v="1800"/>
    <n v="15300"/>
    <n v="7200"/>
    <n v="8100"/>
    <n v="0.52941176470588203"/>
    <n v="3"/>
    <n v="3"/>
    <n v="1"/>
    <n v="3825"/>
  </r>
  <r>
    <s v="S1279"/>
    <d v="2024-11-02T00:00:00"/>
    <x v="43"/>
    <n v="11"/>
    <x v="10"/>
    <s v="P024"/>
    <x v="1"/>
    <n v="1"/>
    <n v="1512"/>
    <n v="10"/>
    <x v="20"/>
    <n v="800"/>
    <n v="1512"/>
    <n v="800"/>
    <n v="712"/>
    <n v="0.47089947089947098"/>
    <n v="0"/>
    <n v="0"/>
    <n v="1"/>
    <n v="1512"/>
  </r>
  <r>
    <s v="S1235"/>
    <d v="2024-11-02T00:00:00"/>
    <x v="43"/>
    <n v="11"/>
    <x v="10"/>
    <s v="P010"/>
    <x v="3"/>
    <n v="1"/>
    <n v="425"/>
    <n v="15"/>
    <x v="4"/>
    <n v="250"/>
    <n v="425"/>
    <n v="250"/>
    <n v="175"/>
    <n v="0.41176470588235298"/>
    <n v="0"/>
    <n v="0"/>
    <n v="1"/>
    <n v="425"/>
  </r>
  <r>
    <s v="S1227"/>
    <d v="2024-11-02T00:00:00"/>
    <x v="43"/>
    <n v="11"/>
    <x v="10"/>
    <s v="P013"/>
    <x v="2"/>
    <n v="3"/>
    <n v="1980"/>
    <n v="0"/>
    <x v="21"/>
    <n v="1100"/>
    <n v="5940"/>
    <n v="3300"/>
    <n v="2640"/>
    <n v="0.44444444444444398"/>
    <n v="0"/>
    <n v="0"/>
    <n v="3"/>
    <n v="5940"/>
  </r>
  <r>
    <s v="S1333"/>
    <d v="2024-11-03T00:00:00"/>
    <x v="43"/>
    <n v="11"/>
    <x v="10"/>
    <s v="P025"/>
    <x v="1"/>
    <n v="1"/>
    <n v="893"/>
    <n v="5"/>
    <x v="19"/>
    <n v="450"/>
    <n v="893"/>
    <n v="450"/>
    <n v="443"/>
    <n v="0.496080627099664"/>
    <n v="0"/>
    <n v="0"/>
    <n v="1"/>
    <n v="893"/>
  </r>
  <r>
    <s v="S1331"/>
    <d v="2024-11-03T00:00:00"/>
    <x v="43"/>
    <n v="11"/>
    <x v="10"/>
    <s v="P005"/>
    <x v="0"/>
    <n v="5"/>
    <n v="4400"/>
    <n v="0"/>
    <x v="25"/>
    <n v="2000"/>
    <n v="22000"/>
    <n v="10000"/>
    <n v="12000"/>
    <n v="0.54545454545454497"/>
    <n v="0"/>
    <n v="0"/>
    <n v="5"/>
    <n v="22000"/>
  </r>
  <r>
    <s v="S1266"/>
    <d v="2024-11-03T00:00:00"/>
    <x v="43"/>
    <n v="11"/>
    <x v="10"/>
    <s v="P026"/>
    <x v="1"/>
    <n v="2"/>
    <n v="442"/>
    <n v="15"/>
    <x v="1"/>
    <n v="250"/>
    <n v="884"/>
    <n v="500"/>
    <n v="384"/>
    <n v="0.434389140271493"/>
    <n v="0"/>
    <n v="0"/>
    <n v="2"/>
    <n v="884"/>
  </r>
  <r>
    <s v="S1250"/>
    <d v="2024-11-03T00:00:00"/>
    <x v="43"/>
    <n v="11"/>
    <x v="10"/>
    <s v="P017"/>
    <x v="4"/>
    <n v="5"/>
    <n v="475"/>
    <n v="5"/>
    <x v="15"/>
    <n v="200"/>
    <n v="2375"/>
    <n v="1000"/>
    <n v="1375"/>
    <n v="0.57894736842105299"/>
    <n v="0"/>
    <n v="0"/>
    <n v="5"/>
    <n v="2375"/>
  </r>
  <r>
    <s v="S1254"/>
    <d v="2024-11-03T00:00:00"/>
    <x v="43"/>
    <n v="11"/>
    <x v="10"/>
    <s v="P016"/>
    <x v="2"/>
    <n v="1"/>
    <n v="2340"/>
    <n v="0"/>
    <x v="13"/>
    <n v="1300"/>
    <n v="2340"/>
    <n v="1300"/>
    <n v="1040"/>
    <n v="0.44444444444444398"/>
    <n v="0"/>
    <n v="0"/>
    <n v="1"/>
    <n v="2340"/>
  </r>
  <r>
    <s v="S1275"/>
    <d v="2024-11-03T00:00:00"/>
    <x v="43"/>
    <n v="11"/>
    <x v="10"/>
    <s v="P014"/>
    <x v="2"/>
    <n v="4"/>
    <n v="900"/>
    <n v="0"/>
    <x v="18"/>
    <n v="500"/>
    <n v="3600"/>
    <n v="2000"/>
    <n v="1600"/>
    <n v="0.44444444444444398"/>
    <n v="0"/>
    <n v="0"/>
    <n v="4"/>
    <n v="3600"/>
  </r>
  <r>
    <s v="S1225"/>
    <d v="2024-11-03T00:00:00"/>
    <x v="43"/>
    <n v="11"/>
    <x v="10"/>
    <s v="P003"/>
    <x v="0"/>
    <n v="4"/>
    <n v="340"/>
    <n v="15"/>
    <x v="17"/>
    <n v="180"/>
    <n v="1360"/>
    <n v="720"/>
    <n v="640"/>
    <n v="0.47058823529411797"/>
    <n v="0"/>
    <n v="0"/>
    <n v="4"/>
    <n v="1360"/>
  </r>
  <r>
    <s v="S1325"/>
    <d v="2024-11-03T00:00:00"/>
    <x v="43"/>
    <n v="11"/>
    <x v="10"/>
    <s v="P006"/>
    <x v="0"/>
    <n v="3"/>
    <n v="480"/>
    <n v="0"/>
    <x v="0"/>
    <n v="220"/>
    <n v="1440"/>
    <n v="660"/>
    <n v="780"/>
    <n v="0.54166666666666696"/>
    <n v="0"/>
    <n v="0"/>
    <n v="3"/>
    <n v="1440"/>
  </r>
  <r>
    <s v="S1202"/>
    <d v="2024-11-03T00:00:00"/>
    <x v="43"/>
    <n v="11"/>
    <x v="10"/>
    <s v="P023"/>
    <x v="1"/>
    <n v="1"/>
    <n v="2835"/>
    <n v="10"/>
    <x v="12"/>
    <n v="1500"/>
    <n v="2835"/>
    <n v="1500"/>
    <n v="1335"/>
    <n v="0.47089947089947098"/>
    <n v="0"/>
    <n v="0"/>
    <n v="1"/>
    <n v="2835"/>
  </r>
  <r>
    <s v="S1293"/>
    <d v="2024-11-04T00:00:00"/>
    <x v="44"/>
    <n v="11"/>
    <x v="10"/>
    <s v="P020"/>
    <x v="4"/>
    <n v="1"/>
    <n v="1500"/>
    <n v="0"/>
    <x v="8"/>
    <n v="600"/>
    <n v="1500"/>
    <n v="600"/>
    <n v="900"/>
    <n v="0.6"/>
    <n v="0"/>
    <n v="0"/>
    <n v="1"/>
    <n v="1500"/>
  </r>
  <r>
    <s v="S1240"/>
    <d v="2024-11-04T00:00:00"/>
    <x v="44"/>
    <n v="11"/>
    <x v="10"/>
    <s v="P015"/>
    <x v="2"/>
    <n v="1"/>
    <n v="630"/>
    <n v="0"/>
    <x v="24"/>
    <n v="350"/>
    <n v="630"/>
    <n v="350"/>
    <n v="280"/>
    <n v="0.44444444444444398"/>
    <n v="0"/>
    <n v="0"/>
    <n v="1"/>
    <n v="630"/>
  </r>
  <r>
    <s v="S1187"/>
    <d v="2024-11-04T00:00:00"/>
    <x v="44"/>
    <n v="11"/>
    <x v="10"/>
    <s v="P024"/>
    <x v="1"/>
    <n v="3"/>
    <n v="1680"/>
    <n v="0"/>
    <x v="20"/>
    <n v="800"/>
    <n v="5040"/>
    <n v="2400"/>
    <n v="2640"/>
    <n v="0.52380952380952395"/>
    <n v="0"/>
    <n v="0"/>
    <n v="3"/>
    <n v="5040"/>
  </r>
  <r>
    <s v="S1316"/>
    <d v="2024-11-04T00:00:00"/>
    <x v="44"/>
    <n v="11"/>
    <x v="10"/>
    <s v="P003"/>
    <x v="0"/>
    <n v="2"/>
    <n v="400"/>
    <n v="0"/>
    <x v="17"/>
    <n v="180"/>
    <n v="800"/>
    <n v="360"/>
    <n v="440"/>
    <n v="0.55000000000000004"/>
    <n v="0"/>
    <n v="0"/>
    <n v="2"/>
    <n v="800"/>
  </r>
  <r>
    <s v="S1191"/>
    <d v="2024-11-04T00:00:00"/>
    <x v="44"/>
    <n v="11"/>
    <x v="10"/>
    <s v="P023"/>
    <x v="1"/>
    <n v="2"/>
    <n v="2992.5"/>
    <n v="5"/>
    <x v="12"/>
    <n v="1500"/>
    <n v="5985"/>
    <n v="3000"/>
    <n v="2985"/>
    <n v="0.49874686716791999"/>
    <n v="0"/>
    <n v="0"/>
    <n v="2"/>
    <n v="5985"/>
  </r>
  <r>
    <s v="S1218"/>
    <d v="2024-11-05T00:00:00"/>
    <x v="44"/>
    <n v="11"/>
    <x v="10"/>
    <s v="P013"/>
    <x v="2"/>
    <n v="4"/>
    <n v="1980"/>
    <n v="0"/>
    <x v="21"/>
    <n v="1100"/>
    <n v="7920"/>
    <n v="4400"/>
    <n v="3520"/>
    <n v="0.44444444444444398"/>
    <n v="0"/>
    <n v="0"/>
    <n v="4"/>
    <n v="7920"/>
  </r>
  <r>
    <s v="S1336"/>
    <d v="2024-11-05T00:00:00"/>
    <x v="44"/>
    <n v="11"/>
    <x v="10"/>
    <s v="P012"/>
    <x v="2"/>
    <n v="3"/>
    <n v="1458"/>
    <n v="10"/>
    <x v="3"/>
    <n v="900"/>
    <n v="4374"/>
    <n v="2700"/>
    <n v="1674"/>
    <n v="0.38271604938271597"/>
    <n v="0"/>
    <n v="0"/>
    <n v="3"/>
    <n v="4374"/>
  </r>
  <r>
    <s v="S1323"/>
    <d v="2024-11-05T00:00:00"/>
    <x v="44"/>
    <n v="11"/>
    <x v="10"/>
    <s v="P008"/>
    <x v="3"/>
    <n v="5"/>
    <n v="900"/>
    <n v="10"/>
    <x v="10"/>
    <n v="500"/>
    <n v="4500"/>
    <n v="2500"/>
    <n v="2000"/>
    <n v="0.44444444444444398"/>
    <n v="0"/>
    <n v="0"/>
    <n v="5"/>
    <n v="4500"/>
  </r>
  <r>
    <s v="S1280"/>
    <d v="2024-11-05T00:00:00"/>
    <x v="44"/>
    <n v="11"/>
    <x v="10"/>
    <s v="P011"/>
    <x v="3"/>
    <n v="5"/>
    <n v="1190"/>
    <n v="15"/>
    <x v="9"/>
    <n v="700"/>
    <n v="5950"/>
    <n v="3500"/>
    <n v="2450"/>
    <n v="0.41176470588235298"/>
    <n v="4"/>
    <n v="4"/>
    <n v="1"/>
    <n v="1190"/>
  </r>
  <r>
    <s v="S1300"/>
    <d v="2024-11-05T00:00:00"/>
    <x v="44"/>
    <n v="11"/>
    <x v="10"/>
    <s v="P012"/>
    <x v="2"/>
    <n v="4"/>
    <n v="1620"/>
    <n v="0"/>
    <x v="3"/>
    <n v="900"/>
    <n v="6480"/>
    <n v="3600"/>
    <n v="2880"/>
    <n v="0.44444444444444398"/>
    <n v="0"/>
    <n v="0"/>
    <n v="4"/>
    <n v="6480"/>
  </r>
  <r>
    <s v="S1196"/>
    <d v="2024-11-05T00:00:00"/>
    <x v="44"/>
    <n v="11"/>
    <x v="10"/>
    <s v="P022"/>
    <x v="1"/>
    <n v="1"/>
    <n v="1470"/>
    <n v="0"/>
    <x v="11"/>
    <n v="700"/>
    <n v="1470"/>
    <n v="700"/>
    <n v="770"/>
    <n v="0.52380952380952395"/>
    <n v="0"/>
    <n v="0"/>
    <n v="1"/>
    <n v="1470"/>
  </r>
  <r>
    <s v="S1173"/>
    <d v="2024-11-05T00:00:00"/>
    <x v="44"/>
    <n v="11"/>
    <x v="10"/>
    <s v="P013"/>
    <x v="2"/>
    <n v="2"/>
    <n v="1980"/>
    <n v="0"/>
    <x v="21"/>
    <n v="1100"/>
    <n v="3960"/>
    <n v="2200"/>
    <n v="1760"/>
    <n v="0.44444444444444398"/>
    <n v="0"/>
    <n v="0"/>
    <n v="2"/>
    <n v="3960"/>
  </r>
  <r>
    <s v="S1221"/>
    <d v="2024-11-06T00:00:00"/>
    <x v="44"/>
    <n v="11"/>
    <x v="10"/>
    <s v="P023"/>
    <x v="1"/>
    <n v="5"/>
    <n v="2677.5"/>
    <n v="15"/>
    <x v="12"/>
    <n v="1500"/>
    <n v="13387.5"/>
    <n v="7500"/>
    <n v="5887.5"/>
    <n v="0.43977591036414598"/>
    <n v="0"/>
    <n v="0"/>
    <n v="5"/>
    <n v="13387.5"/>
  </r>
  <r>
    <s v="S1224"/>
    <d v="2024-11-06T00:00:00"/>
    <x v="44"/>
    <n v="11"/>
    <x v="10"/>
    <s v="P001"/>
    <x v="0"/>
    <n v="3"/>
    <n v="770"/>
    <n v="0"/>
    <x v="23"/>
    <n v="350"/>
    <n v="2310"/>
    <n v="1050"/>
    <n v="1260"/>
    <n v="0.54545454545454497"/>
    <n v="0"/>
    <n v="0"/>
    <n v="3"/>
    <n v="2310"/>
  </r>
  <r>
    <s v="S1344"/>
    <d v="2024-11-06T00:00:00"/>
    <x v="44"/>
    <n v="11"/>
    <x v="10"/>
    <s v="P007"/>
    <x v="3"/>
    <n v="3"/>
    <n v="1200"/>
    <n v="0"/>
    <x v="22"/>
    <n v="600"/>
    <n v="3600"/>
    <n v="1800"/>
    <n v="1800"/>
    <n v="0.5"/>
    <n v="0"/>
    <n v="0"/>
    <n v="3"/>
    <n v="3600"/>
  </r>
  <r>
    <s v="S1338"/>
    <d v="2024-11-06T00:00:00"/>
    <x v="44"/>
    <n v="11"/>
    <x v="10"/>
    <s v="P013"/>
    <x v="2"/>
    <n v="1"/>
    <n v="1980"/>
    <n v="0"/>
    <x v="21"/>
    <n v="1100"/>
    <n v="1980"/>
    <n v="1100"/>
    <n v="880"/>
    <n v="0.44444444444444398"/>
    <n v="0"/>
    <n v="0"/>
    <n v="1"/>
    <n v="1980"/>
  </r>
  <r>
    <s v="S1290"/>
    <d v="2024-11-06T00:00:00"/>
    <x v="44"/>
    <n v="11"/>
    <x v="10"/>
    <s v="P013"/>
    <x v="2"/>
    <n v="4"/>
    <n v="1881"/>
    <n v="5"/>
    <x v="21"/>
    <n v="1100"/>
    <n v="7524"/>
    <n v="4400"/>
    <n v="3124"/>
    <n v="0.41520467836257302"/>
    <n v="0"/>
    <n v="0"/>
    <n v="4"/>
    <n v="7524"/>
  </r>
  <r>
    <s v="S1299"/>
    <d v="2024-11-07T00:00:00"/>
    <x v="44"/>
    <n v="11"/>
    <x v="10"/>
    <s v="P008"/>
    <x v="3"/>
    <n v="4"/>
    <n v="1000"/>
    <n v="0"/>
    <x v="10"/>
    <n v="500"/>
    <n v="4000"/>
    <n v="2000"/>
    <n v="2000"/>
    <n v="0.5"/>
    <n v="1"/>
    <n v="1"/>
    <n v="3"/>
    <n v="3000"/>
  </r>
  <r>
    <s v="S1228"/>
    <d v="2024-11-07T00:00:00"/>
    <x v="44"/>
    <n v="11"/>
    <x v="10"/>
    <s v="P013"/>
    <x v="2"/>
    <n v="1"/>
    <n v="1980"/>
    <n v="0"/>
    <x v="21"/>
    <n v="1100"/>
    <n v="1980"/>
    <n v="1100"/>
    <n v="880"/>
    <n v="0.44444444444444398"/>
    <n v="0"/>
    <n v="0"/>
    <n v="1"/>
    <n v="1980"/>
  </r>
  <r>
    <s v="S1181"/>
    <d v="2024-11-07T00:00:00"/>
    <x v="44"/>
    <n v="11"/>
    <x v="10"/>
    <s v="P010"/>
    <x v="3"/>
    <n v="3"/>
    <n v="500"/>
    <n v="0"/>
    <x v="4"/>
    <n v="250"/>
    <n v="1500"/>
    <n v="750"/>
    <n v="750"/>
    <n v="0.5"/>
    <n v="0"/>
    <n v="0"/>
    <n v="3"/>
    <n v="1500"/>
  </r>
  <r>
    <s v="S1236"/>
    <d v="2024-11-07T00:00:00"/>
    <x v="44"/>
    <n v="11"/>
    <x v="10"/>
    <s v="P009"/>
    <x v="3"/>
    <n v="4"/>
    <n v="600"/>
    <n v="0"/>
    <x v="7"/>
    <n v="300"/>
    <n v="2400"/>
    <n v="1200"/>
    <n v="1200"/>
    <n v="0.5"/>
    <n v="0"/>
    <n v="0"/>
    <n v="4"/>
    <n v="2400"/>
  </r>
  <r>
    <s v="S1296"/>
    <d v="2024-11-07T00:00:00"/>
    <x v="44"/>
    <n v="11"/>
    <x v="10"/>
    <s v="P019"/>
    <x v="4"/>
    <n v="5"/>
    <n v="4050"/>
    <n v="10"/>
    <x v="14"/>
    <n v="1800"/>
    <n v="20250"/>
    <n v="9000"/>
    <n v="11250"/>
    <n v="0.55555555555555602"/>
    <n v="0"/>
    <n v="0"/>
    <n v="5"/>
    <n v="20250"/>
  </r>
  <r>
    <s v="S1199"/>
    <d v="2024-11-08T00:00:00"/>
    <x v="44"/>
    <n v="11"/>
    <x v="10"/>
    <s v="P008"/>
    <x v="3"/>
    <n v="3"/>
    <n v="900"/>
    <n v="10"/>
    <x v="10"/>
    <n v="500"/>
    <n v="2700"/>
    <n v="1500"/>
    <n v="1200"/>
    <n v="0.44444444444444398"/>
    <n v="0"/>
    <n v="0"/>
    <n v="3"/>
    <n v="2700"/>
  </r>
  <r>
    <s v="S1195"/>
    <d v="2024-11-08T00:00:00"/>
    <x v="44"/>
    <n v="11"/>
    <x v="10"/>
    <s v="P025"/>
    <x v="1"/>
    <n v="3"/>
    <n v="799"/>
    <n v="15"/>
    <x v="19"/>
    <n v="450"/>
    <n v="2397"/>
    <n v="1350"/>
    <n v="1047"/>
    <n v="0.436795994993742"/>
    <n v="0"/>
    <n v="0"/>
    <n v="3"/>
    <n v="2397"/>
  </r>
  <r>
    <s v="S1346"/>
    <d v="2024-11-08T00:00:00"/>
    <x v="44"/>
    <n v="11"/>
    <x v="10"/>
    <s v="P012"/>
    <x v="2"/>
    <n v="3"/>
    <n v="1620"/>
    <n v="0"/>
    <x v="3"/>
    <n v="900"/>
    <n v="4860"/>
    <n v="2700"/>
    <n v="2160"/>
    <n v="0.44444444444444398"/>
    <n v="0"/>
    <n v="0"/>
    <n v="3"/>
    <n v="4860"/>
  </r>
  <r>
    <s v="S1288"/>
    <d v="2024-11-08T00:00:00"/>
    <x v="44"/>
    <n v="11"/>
    <x v="10"/>
    <s v="P002"/>
    <x v="0"/>
    <n v="3"/>
    <n v="880"/>
    <n v="0"/>
    <x v="2"/>
    <n v="400"/>
    <n v="2640"/>
    <n v="1200"/>
    <n v="1440"/>
    <n v="0.54545454545454497"/>
    <n v="0"/>
    <n v="0"/>
    <n v="3"/>
    <n v="2640"/>
  </r>
  <r>
    <s v="S1318"/>
    <d v="2024-11-08T00:00:00"/>
    <x v="44"/>
    <n v="11"/>
    <x v="10"/>
    <s v="P006"/>
    <x v="0"/>
    <n v="1"/>
    <n v="456"/>
    <n v="5"/>
    <x v="0"/>
    <n v="220"/>
    <n v="456"/>
    <n v="220"/>
    <n v="236"/>
    <n v="0.51754385964912297"/>
    <n v="0"/>
    <n v="0"/>
    <n v="1"/>
    <n v="456"/>
  </r>
  <r>
    <s v="S1186"/>
    <d v="2024-11-08T00:00:00"/>
    <x v="44"/>
    <n v="11"/>
    <x v="10"/>
    <s v="P010"/>
    <x v="3"/>
    <n v="4"/>
    <n v="500"/>
    <n v="0"/>
    <x v="4"/>
    <n v="250"/>
    <n v="2000"/>
    <n v="1000"/>
    <n v="1000"/>
    <n v="0.5"/>
    <n v="0"/>
    <n v="0"/>
    <n v="4"/>
    <n v="2000"/>
  </r>
  <r>
    <s v="S1188"/>
    <d v="2024-11-08T00:00:00"/>
    <x v="44"/>
    <n v="11"/>
    <x v="10"/>
    <s v="P005"/>
    <x v="0"/>
    <n v="3"/>
    <n v="4180"/>
    <n v="5"/>
    <x v="25"/>
    <n v="2000"/>
    <n v="12540"/>
    <n v="6000"/>
    <n v="6540"/>
    <n v="0.52153110047846896"/>
    <n v="0"/>
    <n v="0"/>
    <n v="3"/>
    <n v="12540"/>
  </r>
  <r>
    <s v="S1264"/>
    <d v="2024-11-09T00:00:00"/>
    <x v="44"/>
    <n v="11"/>
    <x v="10"/>
    <s v="P003"/>
    <x v="0"/>
    <n v="4"/>
    <n v="340"/>
    <n v="15"/>
    <x v="17"/>
    <n v="180"/>
    <n v="1360"/>
    <n v="720"/>
    <n v="640"/>
    <n v="0.47058823529411797"/>
    <n v="0"/>
    <n v="0"/>
    <n v="4"/>
    <n v="1360"/>
  </r>
  <r>
    <s v="S1210"/>
    <d v="2024-11-09T00:00:00"/>
    <x v="44"/>
    <n v="11"/>
    <x v="10"/>
    <s v="P022"/>
    <x v="1"/>
    <n v="2"/>
    <n v="1249.5"/>
    <n v="15"/>
    <x v="11"/>
    <n v="700"/>
    <n v="2499"/>
    <n v="1400"/>
    <n v="1099"/>
    <n v="0.43977591036414598"/>
    <n v="0"/>
    <n v="0"/>
    <n v="2"/>
    <n v="2499"/>
  </r>
  <r>
    <s v="S1248"/>
    <d v="2024-11-09T00:00:00"/>
    <x v="44"/>
    <n v="11"/>
    <x v="10"/>
    <s v="P024"/>
    <x v="1"/>
    <n v="4"/>
    <n v="1680"/>
    <n v="0"/>
    <x v="20"/>
    <n v="800"/>
    <n v="6720"/>
    <n v="3200"/>
    <n v="3520"/>
    <n v="0.52380952380952395"/>
    <n v="0"/>
    <n v="0"/>
    <n v="4"/>
    <n v="6720"/>
  </r>
  <r>
    <s v="S1343"/>
    <d v="2024-11-10T00:00:00"/>
    <x v="44"/>
    <n v="11"/>
    <x v="10"/>
    <s v="P004"/>
    <x v="0"/>
    <n v="5"/>
    <n v="2640"/>
    <n v="0"/>
    <x v="5"/>
    <n v="1200"/>
    <n v="13200"/>
    <n v="6000"/>
    <n v="7200"/>
    <n v="0.54545454545454497"/>
    <n v="0"/>
    <n v="0"/>
    <n v="5"/>
    <n v="13200"/>
  </r>
  <r>
    <s v="S1297"/>
    <d v="2024-11-10T00:00:00"/>
    <x v="44"/>
    <n v="11"/>
    <x v="10"/>
    <s v="P023"/>
    <x v="1"/>
    <n v="1"/>
    <n v="2677.5"/>
    <n v="15"/>
    <x v="12"/>
    <n v="1500"/>
    <n v="2677.5"/>
    <n v="1500"/>
    <n v="1177.5"/>
    <n v="0.43977591036414598"/>
    <n v="0"/>
    <n v="0"/>
    <n v="1"/>
    <n v="2677.5"/>
  </r>
  <r>
    <s v="S1256"/>
    <d v="2024-11-10T00:00:00"/>
    <x v="44"/>
    <n v="11"/>
    <x v="10"/>
    <s v="P002"/>
    <x v="0"/>
    <n v="1"/>
    <n v="836"/>
    <n v="5"/>
    <x v="2"/>
    <n v="400"/>
    <n v="836"/>
    <n v="400"/>
    <n v="436"/>
    <n v="0.52153110047846896"/>
    <n v="0"/>
    <n v="0"/>
    <n v="1"/>
    <n v="836"/>
  </r>
  <r>
    <s v="S1309"/>
    <d v="2024-11-10T00:00:00"/>
    <x v="44"/>
    <n v="11"/>
    <x v="10"/>
    <s v="P004"/>
    <x v="0"/>
    <n v="1"/>
    <n v="2640"/>
    <n v="0"/>
    <x v="5"/>
    <n v="1200"/>
    <n v="2640"/>
    <n v="1200"/>
    <n v="1440"/>
    <n v="0.54545454545454497"/>
    <n v="0"/>
    <n v="0"/>
    <n v="1"/>
    <n v="2640"/>
  </r>
  <r>
    <s v="S1174"/>
    <d v="2024-11-10T00:00:00"/>
    <x v="44"/>
    <n v="11"/>
    <x v="10"/>
    <s v="P005"/>
    <x v="0"/>
    <n v="4"/>
    <n v="4180"/>
    <n v="5"/>
    <x v="25"/>
    <n v="2000"/>
    <n v="16720"/>
    <n v="8000"/>
    <n v="8720"/>
    <n v="0.52153110047846896"/>
    <n v="0"/>
    <n v="0"/>
    <n v="4"/>
    <n v="16720"/>
  </r>
  <r>
    <s v="S1253"/>
    <d v="2024-11-11T00:00:00"/>
    <x v="45"/>
    <n v="11"/>
    <x v="10"/>
    <s v="P004"/>
    <x v="0"/>
    <n v="5"/>
    <n v="2640"/>
    <n v="0"/>
    <x v="5"/>
    <n v="1200"/>
    <n v="13200"/>
    <n v="6000"/>
    <n v="7200"/>
    <n v="0.54545454545454497"/>
    <n v="0"/>
    <n v="0"/>
    <n v="5"/>
    <n v="13200"/>
  </r>
  <r>
    <s v="S1244"/>
    <d v="2024-11-11T00:00:00"/>
    <x v="45"/>
    <n v="11"/>
    <x v="10"/>
    <s v="P002"/>
    <x v="0"/>
    <n v="4"/>
    <n v="880"/>
    <n v="0"/>
    <x v="2"/>
    <n v="400"/>
    <n v="3520"/>
    <n v="1600"/>
    <n v="1920"/>
    <n v="0.54545454545454497"/>
    <n v="0"/>
    <n v="0"/>
    <n v="4"/>
    <n v="3520"/>
  </r>
  <r>
    <s v="S1220"/>
    <d v="2024-11-11T00:00:00"/>
    <x v="45"/>
    <n v="11"/>
    <x v="10"/>
    <s v="P007"/>
    <x v="3"/>
    <n v="1"/>
    <n v="1020"/>
    <n v="15"/>
    <x v="22"/>
    <n v="600"/>
    <n v="1020"/>
    <n v="600"/>
    <n v="420"/>
    <n v="0.41176470588235298"/>
    <n v="0"/>
    <n v="0"/>
    <n v="1"/>
    <n v="1020"/>
  </r>
  <r>
    <s v="S1231"/>
    <d v="2024-11-11T00:00:00"/>
    <x v="45"/>
    <n v="11"/>
    <x v="10"/>
    <s v="P009"/>
    <x v="3"/>
    <n v="3"/>
    <n v="600"/>
    <n v="0"/>
    <x v="7"/>
    <n v="300"/>
    <n v="1800"/>
    <n v="900"/>
    <n v="900"/>
    <n v="0.5"/>
    <n v="0"/>
    <n v="0"/>
    <n v="3"/>
    <n v="1800"/>
  </r>
  <r>
    <s v="S1239"/>
    <d v="2024-11-11T00:00:00"/>
    <x v="45"/>
    <n v="11"/>
    <x v="10"/>
    <s v="P007"/>
    <x v="3"/>
    <n v="1"/>
    <n v="1200"/>
    <n v="0"/>
    <x v="22"/>
    <n v="600"/>
    <n v="1200"/>
    <n v="600"/>
    <n v="600"/>
    <n v="0.5"/>
    <n v="0"/>
    <n v="0"/>
    <n v="1"/>
    <n v="1200"/>
  </r>
  <r>
    <s v="S1332"/>
    <d v="2024-11-11T00:00:00"/>
    <x v="45"/>
    <n v="11"/>
    <x v="10"/>
    <s v="P019"/>
    <x v="4"/>
    <n v="5"/>
    <n v="3825"/>
    <n v="15"/>
    <x v="14"/>
    <n v="1800"/>
    <n v="19125"/>
    <n v="9000"/>
    <n v="10125"/>
    <n v="0.52941176470588203"/>
    <n v="0"/>
    <n v="0"/>
    <n v="5"/>
    <n v="19125"/>
  </r>
  <r>
    <s v="S1260"/>
    <d v="2024-11-12T00:00:00"/>
    <x v="45"/>
    <n v="11"/>
    <x v="10"/>
    <s v="P014"/>
    <x v="2"/>
    <n v="5"/>
    <n v="855"/>
    <n v="5"/>
    <x v="18"/>
    <n v="500"/>
    <n v="4275"/>
    <n v="2500"/>
    <n v="1775"/>
    <n v="0.41520467836257302"/>
    <n v="0"/>
    <n v="0"/>
    <n v="5"/>
    <n v="4275"/>
  </r>
  <r>
    <s v="S1165"/>
    <d v="2024-11-12T00:00:00"/>
    <x v="45"/>
    <n v="11"/>
    <x v="10"/>
    <s v="P003"/>
    <x v="0"/>
    <n v="4"/>
    <n v="400"/>
    <n v="0"/>
    <x v="17"/>
    <n v="180"/>
    <n v="1600"/>
    <n v="720"/>
    <n v="880"/>
    <n v="0.55000000000000004"/>
    <n v="0"/>
    <n v="0"/>
    <n v="4"/>
    <n v="1600"/>
  </r>
  <r>
    <s v="S1268"/>
    <d v="2024-11-12T00:00:00"/>
    <x v="45"/>
    <n v="11"/>
    <x v="10"/>
    <s v="P016"/>
    <x v="2"/>
    <n v="1"/>
    <n v="2106"/>
    <n v="10"/>
    <x v="13"/>
    <n v="1300"/>
    <n v="2106"/>
    <n v="1300"/>
    <n v="806"/>
    <n v="0.38271604938271597"/>
    <n v="0"/>
    <n v="0"/>
    <n v="1"/>
    <n v="2106"/>
  </r>
  <r>
    <s v="S1277"/>
    <d v="2024-11-12T00:00:00"/>
    <x v="45"/>
    <n v="11"/>
    <x v="10"/>
    <s v="P017"/>
    <x v="4"/>
    <n v="1"/>
    <n v="500"/>
    <n v="0"/>
    <x v="15"/>
    <n v="200"/>
    <n v="500"/>
    <n v="200"/>
    <n v="300"/>
    <n v="0.6"/>
    <n v="0"/>
    <n v="0"/>
    <n v="1"/>
    <n v="500"/>
  </r>
  <r>
    <s v="S1282"/>
    <d v="2024-11-12T00:00:00"/>
    <x v="45"/>
    <n v="11"/>
    <x v="10"/>
    <s v="P009"/>
    <x v="3"/>
    <n v="1"/>
    <n v="570"/>
    <n v="5"/>
    <x v="7"/>
    <n v="300"/>
    <n v="570"/>
    <n v="300"/>
    <n v="270"/>
    <n v="0.47368421052631599"/>
    <n v="0"/>
    <n v="0"/>
    <n v="1"/>
    <n v="570"/>
  </r>
  <r>
    <s v="S1167"/>
    <d v="2024-11-12T00:00:00"/>
    <x v="45"/>
    <n v="11"/>
    <x v="10"/>
    <s v="P012"/>
    <x v="2"/>
    <n v="3"/>
    <n v="1620"/>
    <n v="0"/>
    <x v="3"/>
    <n v="900"/>
    <n v="4860"/>
    <n v="2700"/>
    <n v="2160"/>
    <n v="0.44444444444444398"/>
    <n v="0"/>
    <n v="0"/>
    <n v="3"/>
    <n v="4860"/>
  </r>
  <r>
    <s v="S1321"/>
    <d v="2024-11-12T00:00:00"/>
    <x v="45"/>
    <n v="11"/>
    <x v="10"/>
    <s v="P020"/>
    <x v="4"/>
    <n v="2"/>
    <n v="1425"/>
    <n v="5"/>
    <x v="8"/>
    <n v="600"/>
    <n v="2850"/>
    <n v="1200"/>
    <n v="1650"/>
    <n v="0.57894736842105299"/>
    <n v="0"/>
    <n v="0"/>
    <n v="2"/>
    <n v="2850"/>
  </r>
  <r>
    <s v="S1237"/>
    <d v="2024-11-12T00:00:00"/>
    <x v="45"/>
    <n v="11"/>
    <x v="10"/>
    <s v="P003"/>
    <x v="0"/>
    <n v="5"/>
    <n v="400"/>
    <n v="0"/>
    <x v="17"/>
    <n v="180"/>
    <n v="2000"/>
    <n v="900"/>
    <n v="1100"/>
    <n v="0.55000000000000004"/>
    <n v="0"/>
    <n v="0"/>
    <n v="5"/>
    <n v="2000"/>
  </r>
  <r>
    <s v="S1213"/>
    <d v="2024-11-12T00:00:00"/>
    <x v="45"/>
    <n v="11"/>
    <x v="10"/>
    <s v="P020"/>
    <x v="4"/>
    <n v="1"/>
    <n v="1500"/>
    <n v="0"/>
    <x v="8"/>
    <n v="600"/>
    <n v="1500"/>
    <n v="600"/>
    <n v="900"/>
    <n v="0.6"/>
    <n v="0"/>
    <n v="0"/>
    <n v="1"/>
    <n v="1500"/>
  </r>
  <r>
    <s v="S1203"/>
    <d v="2024-11-12T00:00:00"/>
    <x v="45"/>
    <n v="11"/>
    <x v="10"/>
    <s v="P007"/>
    <x v="3"/>
    <n v="4"/>
    <n v="1200"/>
    <n v="0"/>
    <x v="22"/>
    <n v="600"/>
    <n v="4800"/>
    <n v="2400"/>
    <n v="2400"/>
    <n v="0.5"/>
    <n v="4"/>
    <n v="4"/>
    <n v="0"/>
    <n v="0"/>
  </r>
  <r>
    <s v="S1219"/>
    <d v="2024-11-12T00:00:00"/>
    <x v="45"/>
    <n v="11"/>
    <x v="10"/>
    <s v="P025"/>
    <x v="1"/>
    <n v="4"/>
    <n v="846"/>
    <n v="10"/>
    <x v="19"/>
    <n v="450"/>
    <n v="3384"/>
    <n v="1800"/>
    <n v="1584"/>
    <n v="0.46808510638297901"/>
    <n v="0"/>
    <n v="0"/>
    <n v="4"/>
    <n v="3384"/>
  </r>
  <r>
    <s v="S1166"/>
    <d v="2024-11-13T00:00:00"/>
    <x v="45"/>
    <n v="11"/>
    <x v="10"/>
    <s v="P014"/>
    <x v="2"/>
    <n v="3"/>
    <n v="900"/>
    <n v="0"/>
    <x v="18"/>
    <n v="500"/>
    <n v="2700"/>
    <n v="1500"/>
    <n v="1200"/>
    <n v="0.44444444444444398"/>
    <n v="0"/>
    <n v="0"/>
    <n v="3"/>
    <n v="2700"/>
  </r>
  <r>
    <s v="S1286"/>
    <d v="2024-11-13T00:00:00"/>
    <x v="45"/>
    <n v="11"/>
    <x v="10"/>
    <s v="P024"/>
    <x v="1"/>
    <n v="1"/>
    <n v="1680"/>
    <n v="0"/>
    <x v="20"/>
    <n v="800"/>
    <n v="1680"/>
    <n v="800"/>
    <n v="880"/>
    <n v="0.52380952380952395"/>
    <n v="0"/>
    <n v="0"/>
    <n v="1"/>
    <n v="1680"/>
  </r>
  <r>
    <s v="S1164"/>
    <d v="2024-11-13T00:00:00"/>
    <x v="45"/>
    <n v="11"/>
    <x v="10"/>
    <s v="P012"/>
    <x v="2"/>
    <n v="3"/>
    <n v="1458"/>
    <n v="10"/>
    <x v="3"/>
    <n v="900"/>
    <n v="4374"/>
    <n v="2700"/>
    <n v="1674"/>
    <n v="0.38271604938271597"/>
    <n v="0"/>
    <n v="0"/>
    <n v="3"/>
    <n v="4374"/>
  </r>
  <r>
    <s v="S1209"/>
    <d v="2024-11-13T00:00:00"/>
    <x v="45"/>
    <n v="11"/>
    <x v="10"/>
    <s v="P019"/>
    <x v="4"/>
    <n v="4"/>
    <n v="4500"/>
    <n v="0"/>
    <x v="14"/>
    <n v="1800"/>
    <n v="18000"/>
    <n v="7200"/>
    <n v="10800"/>
    <n v="0.6"/>
    <n v="0"/>
    <n v="0"/>
    <n v="4"/>
    <n v="18000"/>
  </r>
  <r>
    <s v="S1207"/>
    <d v="2024-11-13T00:00:00"/>
    <x v="45"/>
    <n v="11"/>
    <x v="10"/>
    <s v="P024"/>
    <x v="1"/>
    <n v="3"/>
    <n v="1596"/>
    <n v="5"/>
    <x v="20"/>
    <n v="800"/>
    <n v="4788"/>
    <n v="2400"/>
    <n v="2388"/>
    <n v="0.49874686716791999"/>
    <n v="0"/>
    <n v="0"/>
    <n v="3"/>
    <n v="4788"/>
  </r>
  <r>
    <s v="S1326"/>
    <d v="2024-11-13T00:00:00"/>
    <x v="45"/>
    <n v="11"/>
    <x v="10"/>
    <s v="P014"/>
    <x v="2"/>
    <n v="4"/>
    <n v="765"/>
    <n v="15"/>
    <x v="18"/>
    <n v="500"/>
    <n v="3060"/>
    <n v="2000"/>
    <n v="1060"/>
    <n v="0.34640522875816998"/>
    <n v="0"/>
    <n v="0"/>
    <n v="4"/>
    <n v="3060"/>
  </r>
  <r>
    <s v="S1278"/>
    <d v="2024-11-13T00:00:00"/>
    <x v="45"/>
    <n v="11"/>
    <x v="10"/>
    <s v="P001"/>
    <x v="0"/>
    <n v="3"/>
    <n v="693"/>
    <n v="10"/>
    <x v="23"/>
    <n v="350"/>
    <n v="2079"/>
    <n v="1050"/>
    <n v="1029"/>
    <n v="0.49494949494949497"/>
    <n v="0"/>
    <n v="0"/>
    <n v="3"/>
    <n v="2079"/>
  </r>
  <r>
    <s v="S1184"/>
    <d v="2024-11-14T00:00:00"/>
    <x v="45"/>
    <n v="11"/>
    <x v="10"/>
    <s v="P013"/>
    <x v="2"/>
    <n v="5"/>
    <n v="1980"/>
    <n v="0"/>
    <x v="21"/>
    <n v="1100"/>
    <n v="9900"/>
    <n v="5500"/>
    <n v="4400"/>
    <n v="0.44444444444444398"/>
    <n v="0"/>
    <n v="0"/>
    <n v="5"/>
    <n v="9900"/>
  </r>
  <r>
    <s v="S1163"/>
    <d v="2024-11-14T00:00:00"/>
    <x v="45"/>
    <n v="11"/>
    <x v="10"/>
    <s v="P025"/>
    <x v="1"/>
    <n v="1"/>
    <n v="940"/>
    <n v="0"/>
    <x v="19"/>
    <n v="450"/>
    <n v="940"/>
    <n v="450"/>
    <n v="490"/>
    <n v="0.52127659574468099"/>
    <n v="0"/>
    <n v="0"/>
    <n v="1"/>
    <n v="940"/>
  </r>
  <r>
    <s v="S1200"/>
    <d v="2024-11-14T00:00:00"/>
    <x v="45"/>
    <n v="11"/>
    <x v="10"/>
    <s v="P024"/>
    <x v="1"/>
    <n v="2"/>
    <n v="1680"/>
    <n v="0"/>
    <x v="20"/>
    <n v="800"/>
    <n v="3360"/>
    <n v="1600"/>
    <n v="1760"/>
    <n v="0.52380952380952395"/>
    <n v="0"/>
    <n v="0"/>
    <n v="2"/>
    <n v="3360"/>
  </r>
  <r>
    <s v="S1258"/>
    <d v="2024-11-14T00:00:00"/>
    <x v="45"/>
    <n v="11"/>
    <x v="10"/>
    <s v="P025"/>
    <x v="1"/>
    <n v="1"/>
    <n v="940"/>
    <n v="0"/>
    <x v="19"/>
    <n v="450"/>
    <n v="940"/>
    <n v="450"/>
    <n v="490"/>
    <n v="0.52127659574468099"/>
    <n v="0"/>
    <n v="0"/>
    <n v="1"/>
    <n v="940"/>
  </r>
  <r>
    <s v="S1197"/>
    <d v="2024-11-14T00:00:00"/>
    <x v="45"/>
    <n v="11"/>
    <x v="10"/>
    <s v="P015"/>
    <x v="2"/>
    <n v="4"/>
    <n v="630"/>
    <n v="0"/>
    <x v="24"/>
    <n v="350"/>
    <n v="2520"/>
    <n v="1400"/>
    <n v="1120"/>
    <n v="0.44444444444444398"/>
    <n v="1"/>
    <n v="1"/>
    <n v="3"/>
    <n v="1890"/>
  </r>
  <r>
    <s v="S1339"/>
    <d v="2024-11-14T00:00:00"/>
    <x v="45"/>
    <n v="11"/>
    <x v="10"/>
    <s v="P003"/>
    <x v="0"/>
    <n v="5"/>
    <n v="360"/>
    <n v="10"/>
    <x v="17"/>
    <n v="180"/>
    <n v="1800"/>
    <n v="900"/>
    <n v="900"/>
    <n v="0.5"/>
    <n v="0"/>
    <n v="0"/>
    <n v="5"/>
    <n v="1800"/>
  </r>
  <r>
    <s v="S1241"/>
    <d v="2024-11-14T00:00:00"/>
    <x v="45"/>
    <n v="11"/>
    <x v="10"/>
    <s v="P023"/>
    <x v="1"/>
    <n v="5"/>
    <n v="2992.5"/>
    <n v="5"/>
    <x v="12"/>
    <n v="1500"/>
    <n v="14962.5"/>
    <n v="7500"/>
    <n v="7462.5"/>
    <n v="0.49874686716791999"/>
    <n v="4"/>
    <n v="4"/>
    <n v="1"/>
    <n v="2992.5"/>
  </r>
  <r>
    <s v="S1222"/>
    <d v="2024-11-15T00:00:00"/>
    <x v="45"/>
    <n v="11"/>
    <x v="10"/>
    <s v="P025"/>
    <x v="1"/>
    <n v="3"/>
    <n v="799"/>
    <n v="15"/>
    <x v="19"/>
    <n v="450"/>
    <n v="2397"/>
    <n v="1350"/>
    <n v="1047"/>
    <n v="0.436795994993742"/>
    <n v="0"/>
    <n v="0"/>
    <n v="3"/>
    <n v="2397"/>
  </r>
  <r>
    <s v="S1281"/>
    <d v="2024-11-15T00:00:00"/>
    <x v="45"/>
    <n v="11"/>
    <x v="10"/>
    <s v="P014"/>
    <x v="2"/>
    <n v="2"/>
    <n v="900"/>
    <n v="0"/>
    <x v="18"/>
    <n v="500"/>
    <n v="1800"/>
    <n v="1000"/>
    <n v="800"/>
    <n v="0.44444444444444398"/>
    <n v="0"/>
    <n v="0"/>
    <n v="2"/>
    <n v="1800"/>
  </r>
  <r>
    <s v="S1334"/>
    <d v="2024-11-15T00:00:00"/>
    <x v="45"/>
    <n v="11"/>
    <x v="10"/>
    <s v="P026"/>
    <x v="1"/>
    <n v="3"/>
    <n v="442"/>
    <n v="15"/>
    <x v="1"/>
    <n v="250"/>
    <n v="1326"/>
    <n v="750"/>
    <n v="576"/>
    <n v="0.434389140271493"/>
    <n v="0"/>
    <n v="0"/>
    <n v="3"/>
    <n v="1326"/>
  </r>
  <r>
    <s v="S1301"/>
    <d v="2024-11-15T00:00:00"/>
    <x v="45"/>
    <n v="11"/>
    <x v="10"/>
    <s v="P012"/>
    <x v="2"/>
    <n v="3"/>
    <n v="1620"/>
    <n v="0"/>
    <x v="3"/>
    <n v="900"/>
    <n v="4860"/>
    <n v="2700"/>
    <n v="2160"/>
    <n v="0.44444444444444398"/>
    <n v="0"/>
    <n v="0"/>
    <n v="3"/>
    <n v="4860"/>
  </r>
  <r>
    <s v="S1303"/>
    <d v="2024-11-15T00:00:00"/>
    <x v="45"/>
    <n v="11"/>
    <x v="10"/>
    <s v="P025"/>
    <x v="1"/>
    <n v="4"/>
    <n v="940"/>
    <n v="0"/>
    <x v="19"/>
    <n v="450"/>
    <n v="3760"/>
    <n v="1800"/>
    <n v="1960"/>
    <n v="0.52127659574468099"/>
    <n v="0"/>
    <n v="0"/>
    <n v="4"/>
    <n v="3760"/>
  </r>
  <r>
    <s v="S1190"/>
    <d v="2024-11-15T00:00:00"/>
    <x v="45"/>
    <n v="11"/>
    <x v="10"/>
    <s v="P016"/>
    <x v="2"/>
    <n v="1"/>
    <n v="2340"/>
    <n v="0"/>
    <x v="13"/>
    <n v="1300"/>
    <n v="2340"/>
    <n v="1300"/>
    <n v="1040"/>
    <n v="0.44444444444444398"/>
    <n v="0"/>
    <n v="0"/>
    <n v="1"/>
    <n v="2340"/>
  </r>
  <r>
    <s v="S1234"/>
    <d v="2024-11-16T00:00:00"/>
    <x v="45"/>
    <n v="11"/>
    <x v="10"/>
    <s v="P026"/>
    <x v="1"/>
    <n v="1"/>
    <n v="520"/>
    <n v="0"/>
    <x v="1"/>
    <n v="250"/>
    <n v="520"/>
    <n v="250"/>
    <n v="270"/>
    <n v="0.51923076923076905"/>
    <n v="0"/>
    <n v="0"/>
    <n v="1"/>
    <n v="520"/>
  </r>
  <r>
    <s v="S1246"/>
    <d v="2024-11-16T00:00:00"/>
    <x v="45"/>
    <n v="11"/>
    <x v="10"/>
    <s v="P020"/>
    <x v="4"/>
    <n v="1"/>
    <n v="1500"/>
    <n v="0"/>
    <x v="8"/>
    <n v="600"/>
    <n v="1500"/>
    <n v="600"/>
    <n v="900"/>
    <n v="0.6"/>
    <n v="0"/>
    <n v="0"/>
    <n v="1"/>
    <n v="1500"/>
  </r>
  <r>
    <s v="S1245"/>
    <d v="2024-11-16T00:00:00"/>
    <x v="45"/>
    <n v="11"/>
    <x v="10"/>
    <s v="P024"/>
    <x v="1"/>
    <n v="2"/>
    <n v="1428"/>
    <n v="15"/>
    <x v="20"/>
    <n v="800"/>
    <n v="2856"/>
    <n v="1600"/>
    <n v="1256"/>
    <n v="0.43977591036414598"/>
    <n v="0"/>
    <n v="0"/>
    <n v="2"/>
    <n v="2856"/>
  </r>
  <r>
    <s v="S1223"/>
    <d v="2024-11-16T00:00:00"/>
    <x v="45"/>
    <n v="11"/>
    <x v="10"/>
    <s v="P025"/>
    <x v="1"/>
    <n v="3"/>
    <n v="799"/>
    <n v="15"/>
    <x v="19"/>
    <n v="450"/>
    <n v="2397"/>
    <n v="1350"/>
    <n v="1047"/>
    <n v="0.436795994993742"/>
    <n v="0"/>
    <n v="0"/>
    <n v="3"/>
    <n v="2397"/>
  </r>
  <r>
    <s v="S1177"/>
    <d v="2024-11-16T00:00:00"/>
    <x v="45"/>
    <n v="11"/>
    <x v="10"/>
    <s v="P012"/>
    <x v="2"/>
    <n v="3"/>
    <n v="1539"/>
    <n v="5"/>
    <x v="3"/>
    <n v="900"/>
    <n v="4617"/>
    <n v="2700"/>
    <n v="1917"/>
    <n v="0.41520467836257302"/>
    <n v="0"/>
    <n v="0"/>
    <n v="3"/>
    <n v="4617"/>
  </r>
  <r>
    <s v="S1204"/>
    <d v="2024-11-17T00:00:00"/>
    <x v="45"/>
    <n v="11"/>
    <x v="10"/>
    <s v="P025"/>
    <x v="1"/>
    <n v="3"/>
    <n v="846"/>
    <n v="10"/>
    <x v="19"/>
    <n v="450"/>
    <n v="2538"/>
    <n v="1350"/>
    <n v="1188"/>
    <n v="0.46808510638297901"/>
    <n v="0"/>
    <n v="0"/>
    <n v="3"/>
    <n v="2538"/>
  </r>
  <r>
    <s v="S1291"/>
    <d v="2024-11-17T00:00:00"/>
    <x v="45"/>
    <n v="11"/>
    <x v="10"/>
    <s v="P021"/>
    <x v="4"/>
    <n v="5"/>
    <n v="950"/>
    <n v="5"/>
    <x v="6"/>
    <n v="400"/>
    <n v="4750"/>
    <n v="2000"/>
    <n v="2750"/>
    <n v="0.57894736842105299"/>
    <n v="0"/>
    <n v="0"/>
    <n v="5"/>
    <n v="4750"/>
  </r>
  <r>
    <s v="S1194"/>
    <d v="2024-11-17T00:00:00"/>
    <x v="45"/>
    <n v="11"/>
    <x v="10"/>
    <s v="P024"/>
    <x v="1"/>
    <n v="4"/>
    <n v="1512"/>
    <n v="10"/>
    <x v="20"/>
    <n v="800"/>
    <n v="6048"/>
    <n v="3200"/>
    <n v="2848"/>
    <n v="0.47089947089947098"/>
    <n v="0"/>
    <n v="0"/>
    <n v="4"/>
    <n v="6048"/>
  </r>
  <r>
    <s v="S1232"/>
    <d v="2024-11-17T00:00:00"/>
    <x v="45"/>
    <n v="11"/>
    <x v="10"/>
    <s v="P023"/>
    <x v="1"/>
    <n v="3"/>
    <n v="2992.5"/>
    <n v="5"/>
    <x v="12"/>
    <n v="1500"/>
    <n v="8977.5"/>
    <n v="4500"/>
    <n v="4477.5"/>
    <n v="0.49874686716791999"/>
    <n v="0"/>
    <n v="0"/>
    <n v="3"/>
    <n v="8977.5"/>
  </r>
  <r>
    <s v="S1285"/>
    <d v="2024-11-17T00:00:00"/>
    <x v="45"/>
    <n v="11"/>
    <x v="10"/>
    <s v="P003"/>
    <x v="0"/>
    <n v="3"/>
    <n v="400"/>
    <n v="0"/>
    <x v="17"/>
    <n v="180"/>
    <n v="1200"/>
    <n v="540"/>
    <n v="660"/>
    <n v="0.55000000000000004"/>
    <n v="0"/>
    <n v="0"/>
    <n v="3"/>
    <n v="1200"/>
  </r>
  <r>
    <s v="S1342"/>
    <d v="2024-11-17T00:00:00"/>
    <x v="45"/>
    <n v="11"/>
    <x v="10"/>
    <s v="P003"/>
    <x v="0"/>
    <n v="1"/>
    <n v="400"/>
    <n v="0"/>
    <x v="17"/>
    <n v="180"/>
    <n v="400"/>
    <n v="180"/>
    <n v="220"/>
    <n v="0.55000000000000004"/>
    <n v="0"/>
    <n v="0"/>
    <n v="1"/>
    <n v="400"/>
  </r>
  <r>
    <s v="S1315"/>
    <d v="2024-11-17T00:00:00"/>
    <x v="45"/>
    <n v="11"/>
    <x v="10"/>
    <s v="P009"/>
    <x v="3"/>
    <n v="1"/>
    <n v="600"/>
    <n v="0"/>
    <x v="7"/>
    <n v="300"/>
    <n v="600"/>
    <n v="300"/>
    <n v="300"/>
    <n v="0.5"/>
    <n v="0"/>
    <n v="0"/>
    <n v="1"/>
    <n v="600"/>
  </r>
  <r>
    <s v="S1335"/>
    <d v="2024-11-17T00:00:00"/>
    <x v="45"/>
    <n v="11"/>
    <x v="10"/>
    <s v="P001"/>
    <x v="0"/>
    <n v="4"/>
    <n v="770"/>
    <n v="0"/>
    <x v="23"/>
    <n v="350"/>
    <n v="3080"/>
    <n v="1400"/>
    <n v="1680"/>
    <n v="0.54545454545454497"/>
    <n v="4"/>
    <n v="4"/>
    <n v="0"/>
    <n v="0"/>
  </r>
  <r>
    <s v="S1347"/>
    <d v="2024-11-17T00:00:00"/>
    <x v="45"/>
    <n v="11"/>
    <x v="10"/>
    <s v="P006"/>
    <x v="0"/>
    <n v="3"/>
    <n v="480"/>
    <n v="0"/>
    <x v="0"/>
    <n v="220"/>
    <n v="1440"/>
    <n v="660"/>
    <n v="780"/>
    <n v="0.54166666666666696"/>
    <n v="0"/>
    <n v="0"/>
    <n v="3"/>
    <n v="1440"/>
  </r>
  <r>
    <s v="S1328"/>
    <d v="2024-11-17T00:00:00"/>
    <x v="45"/>
    <n v="11"/>
    <x v="10"/>
    <s v="P018"/>
    <x v="4"/>
    <n v="2"/>
    <n v="361"/>
    <n v="5"/>
    <x v="16"/>
    <n v="150"/>
    <n v="722"/>
    <n v="300"/>
    <n v="422"/>
    <n v="0.58448753462603897"/>
    <n v="0"/>
    <n v="0"/>
    <n v="2"/>
    <n v="722"/>
  </r>
  <r>
    <s v="S1205"/>
    <d v="2024-11-17T00:00:00"/>
    <x v="45"/>
    <n v="11"/>
    <x v="10"/>
    <s v="P014"/>
    <x v="2"/>
    <n v="2"/>
    <n v="810"/>
    <n v="10"/>
    <x v="18"/>
    <n v="500"/>
    <n v="1620"/>
    <n v="1000"/>
    <n v="620"/>
    <n v="0.38271604938271597"/>
    <n v="0"/>
    <n v="0"/>
    <n v="2"/>
    <n v="1620"/>
  </r>
  <r>
    <s v="S1308"/>
    <d v="2024-11-18T00:00:00"/>
    <x v="46"/>
    <n v="11"/>
    <x v="10"/>
    <s v="P001"/>
    <x v="0"/>
    <n v="2"/>
    <n v="693"/>
    <n v="10"/>
    <x v="23"/>
    <n v="350"/>
    <n v="1386"/>
    <n v="700"/>
    <n v="686"/>
    <n v="0.49494949494949497"/>
    <n v="1"/>
    <n v="1"/>
    <n v="1"/>
    <n v="693"/>
  </r>
  <r>
    <s v="S1206"/>
    <d v="2024-11-18T00:00:00"/>
    <x v="46"/>
    <n v="11"/>
    <x v="10"/>
    <s v="P018"/>
    <x v="4"/>
    <n v="1"/>
    <n v="380"/>
    <n v="0"/>
    <x v="16"/>
    <n v="150"/>
    <n v="380"/>
    <n v="150"/>
    <n v="230"/>
    <n v="0.60526315789473695"/>
    <n v="0"/>
    <n v="0"/>
    <n v="1"/>
    <n v="380"/>
  </r>
  <r>
    <s v="S1252"/>
    <d v="2024-11-18T00:00:00"/>
    <x v="46"/>
    <n v="11"/>
    <x v="10"/>
    <s v="P006"/>
    <x v="0"/>
    <n v="4"/>
    <n v="480"/>
    <n v="0"/>
    <x v="0"/>
    <n v="220"/>
    <n v="1920"/>
    <n v="880"/>
    <n v="1040"/>
    <n v="0.54166666666666696"/>
    <n v="0"/>
    <n v="0"/>
    <n v="4"/>
    <n v="1920"/>
  </r>
  <r>
    <s v="S1320"/>
    <d v="2024-11-18T00:00:00"/>
    <x v="46"/>
    <n v="11"/>
    <x v="10"/>
    <s v="P002"/>
    <x v="0"/>
    <n v="5"/>
    <n v="792"/>
    <n v="10"/>
    <x v="2"/>
    <n v="400"/>
    <n v="3960"/>
    <n v="2000"/>
    <n v="1960"/>
    <n v="0.49494949494949497"/>
    <n v="0"/>
    <n v="0"/>
    <n v="5"/>
    <n v="3960"/>
  </r>
  <r>
    <s v="S1182"/>
    <d v="2024-11-18T00:00:00"/>
    <x v="46"/>
    <n v="11"/>
    <x v="10"/>
    <s v="P024"/>
    <x v="1"/>
    <n v="4"/>
    <n v="1428"/>
    <n v="15"/>
    <x v="20"/>
    <n v="800"/>
    <n v="5712"/>
    <n v="3200"/>
    <n v="2512"/>
    <n v="0.43977591036414598"/>
    <n v="0"/>
    <n v="0"/>
    <n v="4"/>
    <n v="5712"/>
  </r>
  <r>
    <s v="S1284"/>
    <d v="2024-11-19T00:00:00"/>
    <x v="46"/>
    <n v="11"/>
    <x v="10"/>
    <s v="P009"/>
    <x v="3"/>
    <n v="1"/>
    <n v="600"/>
    <n v="0"/>
    <x v="7"/>
    <n v="300"/>
    <n v="600"/>
    <n v="300"/>
    <n v="300"/>
    <n v="0.5"/>
    <n v="0"/>
    <n v="0"/>
    <n v="1"/>
    <n v="600"/>
  </r>
  <r>
    <s v="S1192"/>
    <d v="2024-11-20T00:00:00"/>
    <x v="46"/>
    <n v="11"/>
    <x v="10"/>
    <s v="P003"/>
    <x v="0"/>
    <n v="5"/>
    <n v="360"/>
    <n v="10"/>
    <x v="17"/>
    <n v="180"/>
    <n v="1800"/>
    <n v="900"/>
    <n v="900"/>
    <n v="0.5"/>
    <n v="0"/>
    <n v="0"/>
    <n v="5"/>
    <n v="1800"/>
  </r>
  <r>
    <s v="S1263"/>
    <d v="2024-11-20T00:00:00"/>
    <x v="46"/>
    <n v="11"/>
    <x v="10"/>
    <s v="P007"/>
    <x v="3"/>
    <n v="4"/>
    <n v="1140"/>
    <n v="5"/>
    <x v="22"/>
    <n v="600"/>
    <n v="4560"/>
    <n v="2400"/>
    <n v="2160"/>
    <n v="0.47368421052631599"/>
    <n v="0"/>
    <n v="0"/>
    <n v="4"/>
    <n v="4560"/>
  </r>
  <r>
    <s v="S1257"/>
    <d v="2024-11-20T00:00:00"/>
    <x v="46"/>
    <n v="11"/>
    <x v="10"/>
    <s v="P001"/>
    <x v="0"/>
    <n v="4"/>
    <n v="654.5"/>
    <n v="15"/>
    <x v="23"/>
    <n v="350"/>
    <n v="2618"/>
    <n v="1400"/>
    <n v="1218"/>
    <n v="0.46524064171122997"/>
    <n v="0"/>
    <n v="0"/>
    <n v="4"/>
    <n v="2618"/>
  </r>
  <r>
    <s v="S1178"/>
    <d v="2024-11-20T00:00:00"/>
    <x v="46"/>
    <n v="11"/>
    <x v="10"/>
    <s v="P008"/>
    <x v="3"/>
    <n v="1"/>
    <n v="1000"/>
    <n v="0"/>
    <x v="10"/>
    <n v="500"/>
    <n v="1000"/>
    <n v="500"/>
    <n v="500"/>
    <n v="0.5"/>
    <n v="1"/>
    <n v="1"/>
    <n v="0"/>
    <n v="0"/>
  </r>
  <r>
    <s v="S1251"/>
    <d v="2024-11-20T00:00:00"/>
    <x v="46"/>
    <n v="11"/>
    <x v="10"/>
    <s v="P002"/>
    <x v="0"/>
    <n v="4"/>
    <n v="880"/>
    <n v="0"/>
    <x v="2"/>
    <n v="400"/>
    <n v="3520"/>
    <n v="1600"/>
    <n v="1920"/>
    <n v="0.54545454545454497"/>
    <n v="0"/>
    <n v="0"/>
    <n v="4"/>
    <n v="3520"/>
  </r>
  <r>
    <s v="S1198"/>
    <d v="2024-11-20T00:00:00"/>
    <x v="46"/>
    <n v="11"/>
    <x v="10"/>
    <s v="P014"/>
    <x v="2"/>
    <n v="5"/>
    <n v="900"/>
    <n v="0"/>
    <x v="18"/>
    <n v="500"/>
    <n v="4500"/>
    <n v="2500"/>
    <n v="2000"/>
    <n v="0.44444444444444398"/>
    <n v="0"/>
    <n v="0"/>
    <n v="5"/>
    <n v="4500"/>
  </r>
  <r>
    <s v="S1183"/>
    <d v="2024-11-20T00:00:00"/>
    <x v="46"/>
    <n v="11"/>
    <x v="10"/>
    <s v="P022"/>
    <x v="1"/>
    <n v="1"/>
    <n v="1323"/>
    <n v="10"/>
    <x v="11"/>
    <n v="700"/>
    <n v="1323"/>
    <n v="700"/>
    <n v="623"/>
    <n v="0.47089947089947098"/>
    <n v="1"/>
    <n v="1"/>
    <n v="0"/>
    <n v="0"/>
  </r>
  <r>
    <s v="S1267"/>
    <d v="2024-11-21T00:00:00"/>
    <x v="46"/>
    <n v="11"/>
    <x v="10"/>
    <s v="P015"/>
    <x v="2"/>
    <n v="1"/>
    <n v="598.5"/>
    <n v="5"/>
    <x v="24"/>
    <n v="350"/>
    <n v="598.5"/>
    <n v="350"/>
    <n v="248.5"/>
    <n v="0.41520467836257302"/>
    <n v="0"/>
    <n v="0"/>
    <n v="1"/>
    <n v="598.5"/>
  </r>
  <r>
    <s v="S1189"/>
    <d v="2024-11-21T00:00:00"/>
    <x v="46"/>
    <n v="11"/>
    <x v="10"/>
    <s v="P020"/>
    <x v="4"/>
    <n v="3"/>
    <n v="1350"/>
    <n v="10"/>
    <x v="8"/>
    <n v="600"/>
    <n v="4050"/>
    <n v="1800"/>
    <n v="2250"/>
    <n v="0.55555555555555602"/>
    <n v="0"/>
    <n v="0"/>
    <n v="3"/>
    <n v="4050"/>
  </r>
  <r>
    <s v="S1313"/>
    <d v="2024-11-21T00:00:00"/>
    <x v="46"/>
    <n v="11"/>
    <x v="10"/>
    <s v="P002"/>
    <x v="0"/>
    <n v="2"/>
    <n v="880"/>
    <n v="0"/>
    <x v="2"/>
    <n v="400"/>
    <n v="1760"/>
    <n v="800"/>
    <n v="960"/>
    <n v="0.54545454545454497"/>
    <n v="0"/>
    <n v="0"/>
    <n v="2"/>
    <n v="1760"/>
  </r>
  <r>
    <s v="S1287"/>
    <d v="2024-11-21T00:00:00"/>
    <x v="46"/>
    <n v="11"/>
    <x v="10"/>
    <s v="P001"/>
    <x v="0"/>
    <n v="3"/>
    <n v="770"/>
    <n v="0"/>
    <x v="23"/>
    <n v="350"/>
    <n v="2310"/>
    <n v="1050"/>
    <n v="1260"/>
    <n v="0.54545454545454497"/>
    <n v="0"/>
    <n v="0"/>
    <n v="3"/>
    <n v="2310"/>
  </r>
  <r>
    <s v="S1215"/>
    <d v="2024-11-21T00:00:00"/>
    <x v="46"/>
    <n v="11"/>
    <x v="10"/>
    <s v="P020"/>
    <x v="4"/>
    <n v="1"/>
    <n v="1500"/>
    <n v="0"/>
    <x v="8"/>
    <n v="600"/>
    <n v="1500"/>
    <n v="600"/>
    <n v="900"/>
    <n v="0.6"/>
    <n v="0"/>
    <n v="0"/>
    <n v="1"/>
    <n v="1500"/>
  </r>
  <r>
    <s v="S1337"/>
    <d v="2024-11-21T00:00:00"/>
    <x v="46"/>
    <n v="11"/>
    <x v="10"/>
    <s v="P011"/>
    <x v="3"/>
    <n v="3"/>
    <n v="1260"/>
    <n v="10"/>
    <x v="9"/>
    <n v="700"/>
    <n v="3780"/>
    <n v="2100"/>
    <n v="1680"/>
    <n v="0.44444444444444398"/>
    <n v="0"/>
    <n v="0"/>
    <n v="3"/>
    <n v="3780"/>
  </r>
  <r>
    <s v="S1171"/>
    <d v="2024-11-21T00:00:00"/>
    <x v="46"/>
    <n v="11"/>
    <x v="10"/>
    <s v="P023"/>
    <x v="1"/>
    <n v="4"/>
    <n v="3150"/>
    <n v="0"/>
    <x v="12"/>
    <n v="1500"/>
    <n v="12600"/>
    <n v="6000"/>
    <n v="6600"/>
    <n v="0.52380952380952395"/>
    <n v="0"/>
    <n v="0"/>
    <n v="4"/>
    <n v="12600"/>
  </r>
  <r>
    <s v="S1306"/>
    <d v="2024-11-22T00:00:00"/>
    <x v="46"/>
    <n v="11"/>
    <x v="10"/>
    <s v="P020"/>
    <x v="4"/>
    <n v="2"/>
    <n v="1500"/>
    <n v="0"/>
    <x v="8"/>
    <n v="600"/>
    <n v="3000"/>
    <n v="1200"/>
    <n v="1800"/>
    <n v="0.6"/>
    <n v="0"/>
    <n v="0"/>
    <n v="2"/>
    <n v="3000"/>
  </r>
  <r>
    <s v="S1201"/>
    <d v="2024-11-22T00:00:00"/>
    <x v="46"/>
    <n v="11"/>
    <x v="10"/>
    <s v="P007"/>
    <x v="3"/>
    <n v="4"/>
    <n v="1020"/>
    <n v="15"/>
    <x v="22"/>
    <n v="600"/>
    <n v="4080"/>
    <n v="2400"/>
    <n v="1680"/>
    <n v="0.41176470588235298"/>
    <n v="0"/>
    <n v="0"/>
    <n v="4"/>
    <n v="4080"/>
  </r>
  <r>
    <s v="S1273"/>
    <d v="2024-11-22T00:00:00"/>
    <x v="46"/>
    <n v="11"/>
    <x v="10"/>
    <s v="P014"/>
    <x v="2"/>
    <n v="5"/>
    <n v="855"/>
    <n v="5"/>
    <x v="18"/>
    <n v="500"/>
    <n v="4275"/>
    <n v="2500"/>
    <n v="1775"/>
    <n v="0.41520467836257302"/>
    <n v="0"/>
    <n v="0"/>
    <n v="5"/>
    <n v="4275"/>
  </r>
  <r>
    <s v="S1270"/>
    <d v="2024-11-22T00:00:00"/>
    <x v="46"/>
    <n v="11"/>
    <x v="10"/>
    <s v="P015"/>
    <x v="2"/>
    <n v="2"/>
    <n v="630"/>
    <n v="0"/>
    <x v="24"/>
    <n v="350"/>
    <n v="1260"/>
    <n v="700"/>
    <n v="560"/>
    <n v="0.44444444444444398"/>
    <n v="0"/>
    <n v="0"/>
    <n v="2"/>
    <n v="1260"/>
  </r>
  <r>
    <s v="S1255"/>
    <d v="2024-11-22T00:00:00"/>
    <x v="46"/>
    <n v="11"/>
    <x v="10"/>
    <s v="P020"/>
    <x v="4"/>
    <n v="1"/>
    <n v="1500"/>
    <n v="0"/>
    <x v="8"/>
    <n v="600"/>
    <n v="1500"/>
    <n v="600"/>
    <n v="900"/>
    <n v="0.6"/>
    <n v="1"/>
    <n v="1"/>
    <n v="0"/>
    <n v="0"/>
  </r>
  <r>
    <s v="S1295"/>
    <d v="2024-11-23T00:00:00"/>
    <x v="46"/>
    <n v="11"/>
    <x v="10"/>
    <s v="P023"/>
    <x v="1"/>
    <n v="1"/>
    <n v="2992.5"/>
    <n v="5"/>
    <x v="12"/>
    <n v="1500"/>
    <n v="2992.5"/>
    <n v="1500"/>
    <n v="1492.5"/>
    <n v="0.49874686716791999"/>
    <n v="0"/>
    <n v="0"/>
    <n v="1"/>
    <n v="2992.5"/>
  </r>
  <r>
    <s v="S1175"/>
    <d v="2024-11-23T00:00:00"/>
    <x v="46"/>
    <n v="11"/>
    <x v="10"/>
    <s v="P017"/>
    <x v="4"/>
    <n v="2"/>
    <n v="500"/>
    <n v="0"/>
    <x v="15"/>
    <n v="200"/>
    <n v="1000"/>
    <n v="400"/>
    <n v="600"/>
    <n v="0.6"/>
    <n v="0"/>
    <n v="0"/>
    <n v="2"/>
    <n v="1000"/>
  </r>
  <r>
    <s v="S1307"/>
    <d v="2024-11-23T00:00:00"/>
    <x v="46"/>
    <n v="11"/>
    <x v="10"/>
    <s v="P024"/>
    <x v="1"/>
    <n v="5"/>
    <n v="1680"/>
    <n v="0"/>
    <x v="20"/>
    <n v="800"/>
    <n v="8400"/>
    <n v="4000"/>
    <n v="4400"/>
    <n v="0.52380952380952395"/>
    <n v="0"/>
    <n v="0"/>
    <n v="5"/>
    <n v="8400"/>
  </r>
  <r>
    <s v="S1311"/>
    <d v="2024-11-23T00:00:00"/>
    <x v="46"/>
    <n v="11"/>
    <x v="10"/>
    <s v="P005"/>
    <x v="0"/>
    <n v="3"/>
    <n v="3740"/>
    <n v="15"/>
    <x v="25"/>
    <n v="2000"/>
    <n v="11220"/>
    <n v="6000"/>
    <n v="5220"/>
    <n v="0.46524064171122997"/>
    <n v="0"/>
    <n v="0"/>
    <n v="3"/>
    <n v="11220"/>
  </r>
  <r>
    <s v="S1259"/>
    <d v="2024-11-23T00:00:00"/>
    <x v="46"/>
    <n v="11"/>
    <x v="10"/>
    <s v="P011"/>
    <x v="3"/>
    <n v="4"/>
    <n v="1330"/>
    <n v="5"/>
    <x v="9"/>
    <n v="700"/>
    <n v="5320"/>
    <n v="2800"/>
    <n v="2520"/>
    <n v="0.47368421052631599"/>
    <n v="0"/>
    <n v="0"/>
    <n v="4"/>
    <n v="5320"/>
  </r>
  <r>
    <s v="S1327"/>
    <d v="2024-11-24T00:00:00"/>
    <x v="46"/>
    <n v="11"/>
    <x v="10"/>
    <s v="P025"/>
    <x v="1"/>
    <n v="3"/>
    <n v="893"/>
    <n v="5"/>
    <x v="19"/>
    <n v="450"/>
    <n v="2679"/>
    <n v="1350"/>
    <n v="1329"/>
    <n v="0.496080627099664"/>
    <n v="0"/>
    <n v="0"/>
    <n v="3"/>
    <n v="2679"/>
  </r>
  <r>
    <s v="S1217"/>
    <d v="2024-11-24T00:00:00"/>
    <x v="46"/>
    <n v="11"/>
    <x v="10"/>
    <s v="P001"/>
    <x v="0"/>
    <n v="5"/>
    <n v="770"/>
    <n v="0"/>
    <x v="23"/>
    <n v="350"/>
    <n v="3850"/>
    <n v="1750"/>
    <n v="2100"/>
    <n v="0.54545454545454497"/>
    <n v="0"/>
    <n v="0"/>
    <n v="5"/>
    <n v="3850"/>
  </r>
  <r>
    <s v="S1242"/>
    <d v="2024-11-24T00:00:00"/>
    <x v="46"/>
    <n v="11"/>
    <x v="10"/>
    <s v="P009"/>
    <x v="3"/>
    <n v="3"/>
    <n v="570"/>
    <n v="5"/>
    <x v="7"/>
    <n v="300"/>
    <n v="1710"/>
    <n v="900"/>
    <n v="810"/>
    <n v="0.47368421052631599"/>
    <n v="0"/>
    <n v="0"/>
    <n v="3"/>
    <n v="1710"/>
  </r>
  <r>
    <s v="S1214"/>
    <d v="2024-11-24T00:00:00"/>
    <x v="46"/>
    <n v="11"/>
    <x v="10"/>
    <s v="P023"/>
    <x v="1"/>
    <n v="3"/>
    <n v="2677.5"/>
    <n v="15"/>
    <x v="12"/>
    <n v="1500"/>
    <n v="8032.5"/>
    <n v="4500"/>
    <n v="3532.5"/>
    <n v="0.43977591036414598"/>
    <n v="0"/>
    <n v="0"/>
    <n v="3"/>
    <n v="8032.5"/>
  </r>
  <r>
    <s v="S1249"/>
    <d v="2024-11-24T00:00:00"/>
    <x v="46"/>
    <n v="11"/>
    <x v="10"/>
    <s v="P018"/>
    <x v="4"/>
    <n v="2"/>
    <n v="361"/>
    <n v="5"/>
    <x v="16"/>
    <n v="150"/>
    <n v="722"/>
    <n v="300"/>
    <n v="422"/>
    <n v="0.58448753462603897"/>
    <n v="0"/>
    <n v="0"/>
    <n v="2"/>
    <n v="722"/>
  </r>
  <r>
    <s v="S1329"/>
    <d v="2024-11-25T00:00:00"/>
    <x v="47"/>
    <n v="11"/>
    <x v="10"/>
    <s v="P012"/>
    <x v="2"/>
    <n v="4"/>
    <n v="1539"/>
    <n v="5"/>
    <x v="3"/>
    <n v="900"/>
    <n v="6156"/>
    <n v="3600"/>
    <n v="2556"/>
    <n v="0.41520467836257302"/>
    <n v="0"/>
    <n v="0"/>
    <n v="4"/>
    <n v="6156"/>
  </r>
  <r>
    <s v="S1216"/>
    <d v="2024-11-25T00:00:00"/>
    <x v="47"/>
    <n v="11"/>
    <x v="10"/>
    <s v="P006"/>
    <x v="0"/>
    <n v="5"/>
    <n v="432"/>
    <n v="10"/>
    <x v="0"/>
    <n v="220"/>
    <n v="2160"/>
    <n v="1100"/>
    <n v="1060"/>
    <n v="0.49074074074074098"/>
    <n v="0"/>
    <n v="0"/>
    <n v="5"/>
    <n v="2160"/>
  </r>
  <r>
    <s v="S1294"/>
    <d v="2024-11-25T00:00:00"/>
    <x v="47"/>
    <n v="11"/>
    <x v="10"/>
    <s v="P023"/>
    <x v="1"/>
    <n v="4"/>
    <n v="3150"/>
    <n v="0"/>
    <x v="12"/>
    <n v="1500"/>
    <n v="12600"/>
    <n v="6000"/>
    <n v="6600"/>
    <n v="0.52380952380952395"/>
    <n v="0"/>
    <n v="0"/>
    <n v="4"/>
    <n v="12600"/>
  </r>
  <r>
    <s v="S1185"/>
    <d v="2024-11-25T00:00:00"/>
    <x v="47"/>
    <n v="11"/>
    <x v="10"/>
    <s v="P020"/>
    <x v="4"/>
    <n v="5"/>
    <n v="1500"/>
    <n v="0"/>
    <x v="8"/>
    <n v="600"/>
    <n v="7500"/>
    <n v="3000"/>
    <n v="4500"/>
    <n v="0.6"/>
    <n v="0"/>
    <n v="0"/>
    <n v="5"/>
    <n v="7500"/>
  </r>
  <r>
    <s v="S1176"/>
    <d v="2024-11-25T00:00:00"/>
    <x v="47"/>
    <n v="11"/>
    <x v="10"/>
    <s v="P010"/>
    <x v="3"/>
    <n v="3"/>
    <n v="425"/>
    <n v="15"/>
    <x v="4"/>
    <n v="250"/>
    <n v="1275"/>
    <n v="750"/>
    <n v="525"/>
    <n v="0.41176470588235298"/>
    <n v="0"/>
    <n v="0"/>
    <n v="3"/>
    <n v="1275"/>
  </r>
  <r>
    <s v="S1276"/>
    <d v="2024-11-25T00:00:00"/>
    <x v="47"/>
    <n v="11"/>
    <x v="10"/>
    <s v="P006"/>
    <x v="0"/>
    <n v="5"/>
    <n v="408"/>
    <n v="15"/>
    <x v="0"/>
    <n v="220"/>
    <n v="2040"/>
    <n v="1100"/>
    <n v="940"/>
    <n v="0.46078431372549"/>
    <n v="0"/>
    <n v="0"/>
    <n v="5"/>
    <n v="2040"/>
  </r>
  <r>
    <s v="S1283"/>
    <d v="2024-11-25T00:00:00"/>
    <x v="47"/>
    <n v="11"/>
    <x v="10"/>
    <s v="P013"/>
    <x v="2"/>
    <n v="5"/>
    <n v="1980"/>
    <n v="0"/>
    <x v="21"/>
    <n v="1100"/>
    <n v="9900"/>
    <n v="5500"/>
    <n v="4400"/>
    <n v="0.44444444444444398"/>
    <n v="0"/>
    <n v="0"/>
    <n v="5"/>
    <n v="9900"/>
  </r>
  <r>
    <s v="S1226"/>
    <d v="2024-11-25T00:00:00"/>
    <x v="47"/>
    <n v="11"/>
    <x v="10"/>
    <s v="P012"/>
    <x v="2"/>
    <n v="3"/>
    <n v="1539"/>
    <n v="5"/>
    <x v="3"/>
    <n v="900"/>
    <n v="4617"/>
    <n v="2700"/>
    <n v="1917"/>
    <n v="0.41520467836257302"/>
    <n v="0"/>
    <n v="0"/>
    <n v="3"/>
    <n v="4617"/>
  </r>
  <r>
    <s v="S1212"/>
    <d v="2024-11-26T00:00:00"/>
    <x v="47"/>
    <n v="11"/>
    <x v="10"/>
    <s v="P020"/>
    <x v="4"/>
    <n v="1"/>
    <n v="1500"/>
    <n v="0"/>
    <x v="8"/>
    <n v="600"/>
    <n v="1500"/>
    <n v="600"/>
    <n v="900"/>
    <n v="0.6"/>
    <n v="0"/>
    <n v="0"/>
    <n v="1"/>
    <n v="1500"/>
  </r>
  <r>
    <s v="S1265"/>
    <d v="2024-11-26T00:00:00"/>
    <x v="47"/>
    <n v="11"/>
    <x v="10"/>
    <s v="P015"/>
    <x v="2"/>
    <n v="4"/>
    <n v="630"/>
    <n v="0"/>
    <x v="24"/>
    <n v="350"/>
    <n v="2520"/>
    <n v="1400"/>
    <n v="1120"/>
    <n v="0.44444444444444398"/>
    <n v="0"/>
    <n v="0"/>
    <n v="4"/>
    <n v="2520"/>
  </r>
  <r>
    <s v="S1314"/>
    <d v="2024-11-26T00:00:00"/>
    <x v="47"/>
    <n v="11"/>
    <x v="10"/>
    <s v="P001"/>
    <x v="0"/>
    <n v="4"/>
    <n v="770"/>
    <n v="0"/>
    <x v="23"/>
    <n v="350"/>
    <n v="3080"/>
    <n v="1400"/>
    <n v="1680"/>
    <n v="0.54545454545454497"/>
    <n v="0"/>
    <n v="0"/>
    <n v="4"/>
    <n v="3080"/>
  </r>
  <r>
    <s v="S1304"/>
    <d v="2024-11-26T00:00:00"/>
    <x v="47"/>
    <n v="11"/>
    <x v="10"/>
    <s v="P003"/>
    <x v="0"/>
    <n v="1"/>
    <n v="340"/>
    <n v="15"/>
    <x v="17"/>
    <n v="180"/>
    <n v="340"/>
    <n v="180"/>
    <n v="160"/>
    <n v="0.47058823529411797"/>
    <n v="0"/>
    <n v="0"/>
    <n v="1"/>
    <n v="340"/>
  </r>
  <r>
    <s v="S1317"/>
    <d v="2024-11-26T00:00:00"/>
    <x v="47"/>
    <n v="11"/>
    <x v="10"/>
    <s v="P025"/>
    <x v="1"/>
    <n v="1"/>
    <n v="940"/>
    <n v="0"/>
    <x v="19"/>
    <n v="450"/>
    <n v="940"/>
    <n v="450"/>
    <n v="490"/>
    <n v="0.52127659574468099"/>
    <n v="0"/>
    <n v="0"/>
    <n v="1"/>
    <n v="940"/>
  </r>
  <r>
    <s v="S1269"/>
    <d v="2024-11-26T00:00:00"/>
    <x v="47"/>
    <n v="11"/>
    <x v="10"/>
    <s v="P001"/>
    <x v="0"/>
    <n v="5"/>
    <n v="654.5"/>
    <n v="15"/>
    <x v="23"/>
    <n v="350"/>
    <n v="3272.5"/>
    <n v="1750"/>
    <n v="1522.5"/>
    <n v="0.46524064171122997"/>
    <n v="0"/>
    <n v="0"/>
    <n v="5"/>
    <n v="3272.5"/>
  </r>
  <r>
    <s v="S1172"/>
    <d v="2024-11-26T00:00:00"/>
    <x v="47"/>
    <n v="11"/>
    <x v="10"/>
    <s v="P008"/>
    <x v="3"/>
    <n v="1"/>
    <n v="1000"/>
    <n v="0"/>
    <x v="10"/>
    <n v="500"/>
    <n v="1000"/>
    <n v="500"/>
    <n v="500"/>
    <n v="0.5"/>
    <n v="0"/>
    <n v="0"/>
    <n v="1"/>
    <n v="1000"/>
  </r>
  <r>
    <s v="S1322"/>
    <d v="2024-11-26T00:00:00"/>
    <x v="47"/>
    <n v="11"/>
    <x v="10"/>
    <s v="P013"/>
    <x v="2"/>
    <n v="5"/>
    <n v="1782"/>
    <n v="10"/>
    <x v="21"/>
    <n v="1100"/>
    <n v="8910"/>
    <n v="5500"/>
    <n v="3410"/>
    <n v="0.38271604938271597"/>
    <n v="0"/>
    <n v="0"/>
    <n v="5"/>
    <n v="8910"/>
  </r>
  <r>
    <s v="S1229"/>
    <d v="2024-11-26T00:00:00"/>
    <x v="47"/>
    <n v="11"/>
    <x v="10"/>
    <s v="P013"/>
    <x v="2"/>
    <n v="2"/>
    <n v="1980"/>
    <n v="0"/>
    <x v="21"/>
    <n v="1100"/>
    <n v="3960"/>
    <n v="2200"/>
    <n v="1760"/>
    <n v="0.44444444444444398"/>
    <n v="0"/>
    <n v="0"/>
    <n v="2"/>
    <n v="3960"/>
  </r>
  <r>
    <s v="S1330"/>
    <d v="2024-11-27T00:00:00"/>
    <x v="47"/>
    <n v="11"/>
    <x v="10"/>
    <s v="P013"/>
    <x v="2"/>
    <n v="2"/>
    <n v="1782"/>
    <n v="10"/>
    <x v="21"/>
    <n v="1100"/>
    <n v="3564"/>
    <n v="2200"/>
    <n v="1364"/>
    <n v="0.38271604938271597"/>
    <n v="0"/>
    <n v="0"/>
    <n v="2"/>
    <n v="3564"/>
  </r>
  <r>
    <s v="S1170"/>
    <d v="2024-11-27T00:00:00"/>
    <x v="47"/>
    <n v="11"/>
    <x v="10"/>
    <s v="P003"/>
    <x v="0"/>
    <n v="4"/>
    <n v="340"/>
    <n v="15"/>
    <x v="17"/>
    <n v="180"/>
    <n v="1360"/>
    <n v="720"/>
    <n v="640"/>
    <n v="0.47058823529411797"/>
    <n v="0"/>
    <n v="0"/>
    <n v="4"/>
    <n v="1360"/>
  </r>
  <r>
    <s v="S1341"/>
    <d v="2024-11-27T00:00:00"/>
    <x v="47"/>
    <n v="11"/>
    <x v="10"/>
    <s v="P018"/>
    <x v="4"/>
    <n v="1"/>
    <n v="380"/>
    <n v="0"/>
    <x v="16"/>
    <n v="150"/>
    <n v="380"/>
    <n v="150"/>
    <n v="230"/>
    <n v="0.60526315789473695"/>
    <n v="0"/>
    <n v="0"/>
    <n v="1"/>
    <n v="380"/>
  </r>
  <r>
    <s v="S1233"/>
    <d v="2024-11-27T00:00:00"/>
    <x v="47"/>
    <n v="11"/>
    <x v="10"/>
    <s v="P023"/>
    <x v="1"/>
    <n v="4"/>
    <n v="2835"/>
    <n v="10"/>
    <x v="12"/>
    <n v="1500"/>
    <n v="11340"/>
    <n v="6000"/>
    <n v="5340"/>
    <n v="0.47089947089947098"/>
    <n v="0"/>
    <n v="0"/>
    <n v="4"/>
    <n v="11340"/>
  </r>
  <r>
    <s v="S1238"/>
    <d v="2024-11-28T00:00:00"/>
    <x v="47"/>
    <n v="11"/>
    <x v="10"/>
    <s v="P017"/>
    <x v="4"/>
    <n v="1"/>
    <n v="425"/>
    <n v="15"/>
    <x v="15"/>
    <n v="200"/>
    <n v="425"/>
    <n v="200"/>
    <n v="225"/>
    <n v="0.52941176470588203"/>
    <n v="0"/>
    <n v="0"/>
    <n v="1"/>
    <n v="425"/>
  </r>
  <r>
    <s v="S1310"/>
    <d v="2024-11-28T00:00:00"/>
    <x v="47"/>
    <n v="11"/>
    <x v="10"/>
    <s v="P018"/>
    <x v="4"/>
    <n v="4"/>
    <n v="380"/>
    <n v="0"/>
    <x v="16"/>
    <n v="150"/>
    <n v="1520"/>
    <n v="600"/>
    <n v="920"/>
    <n v="0.60526315789473695"/>
    <n v="2"/>
    <n v="2"/>
    <n v="2"/>
    <n v="760"/>
  </r>
  <r>
    <s v="S1262"/>
    <d v="2024-11-28T00:00:00"/>
    <x v="47"/>
    <n v="11"/>
    <x v="10"/>
    <s v="P023"/>
    <x v="1"/>
    <n v="3"/>
    <n v="3150"/>
    <n v="0"/>
    <x v="12"/>
    <n v="1500"/>
    <n v="9450"/>
    <n v="4500"/>
    <n v="4950"/>
    <n v="0.52380952380952395"/>
    <n v="0"/>
    <n v="0"/>
    <n v="3"/>
    <n v="9450"/>
  </r>
  <r>
    <s v="S1305"/>
    <d v="2024-11-28T00:00:00"/>
    <x v="47"/>
    <n v="11"/>
    <x v="10"/>
    <s v="P026"/>
    <x v="1"/>
    <n v="5"/>
    <n v="520"/>
    <n v="0"/>
    <x v="1"/>
    <n v="250"/>
    <n v="2600"/>
    <n v="1250"/>
    <n v="1350"/>
    <n v="0.51923076923076905"/>
    <n v="0"/>
    <n v="0"/>
    <n v="5"/>
    <n v="2600"/>
  </r>
  <r>
    <s v="S1272"/>
    <d v="2024-11-28T00:00:00"/>
    <x v="47"/>
    <n v="11"/>
    <x v="10"/>
    <s v="P008"/>
    <x v="3"/>
    <n v="1"/>
    <n v="900"/>
    <n v="10"/>
    <x v="10"/>
    <n v="500"/>
    <n v="900"/>
    <n v="500"/>
    <n v="400"/>
    <n v="0.44444444444444398"/>
    <n v="0"/>
    <n v="0"/>
    <n v="1"/>
    <n v="900"/>
  </r>
  <r>
    <s v="S1230"/>
    <d v="2024-11-29T00:00:00"/>
    <x v="47"/>
    <n v="11"/>
    <x v="10"/>
    <s v="P026"/>
    <x v="1"/>
    <n v="1"/>
    <n v="520"/>
    <n v="0"/>
    <x v="1"/>
    <n v="250"/>
    <n v="520"/>
    <n v="250"/>
    <n v="270"/>
    <n v="0.51923076923076905"/>
    <n v="0"/>
    <n v="0"/>
    <n v="1"/>
    <n v="520"/>
  </r>
  <r>
    <s v="S1243"/>
    <d v="2024-11-29T00:00:00"/>
    <x v="47"/>
    <n v="11"/>
    <x v="10"/>
    <s v="P021"/>
    <x v="4"/>
    <n v="1"/>
    <n v="950"/>
    <n v="5"/>
    <x v="6"/>
    <n v="400"/>
    <n v="950"/>
    <n v="400"/>
    <n v="550"/>
    <n v="0.57894736842105299"/>
    <n v="0"/>
    <n v="0"/>
    <n v="1"/>
    <n v="950"/>
  </r>
  <r>
    <s v="S1324"/>
    <d v="2024-11-29T00:00:00"/>
    <x v="47"/>
    <n v="11"/>
    <x v="10"/>
    <s v="P024"/>
    <x v="1"/>
    <n v="4"/>
    <n v="1680"/>
    <n v="0"/>
    <x v="20"/>
    <n v="800"/>
    <n v="6720"/>
    <n v="3200"/>
    <n v="3520"/>
    <n v="0.52380952380952395"/>
    <n v="0"/>
    <n v="0"/>
    <n v="4"/>
    <n v="6720"/>
  </r>
  <r>
    <s v="S1161"/>
    <d v="2024-11-29T00:00:00"/>
    <x v="47"/>
    <n v="11"/>
    <x v="10"/>
    <s v="P001"/>
    <x v="0"/>
    <n v="1"/>
    <n v="770"/>
    <n v="0"/>
    <x v="23"/>
    <n v="350"/>
    <n v="770"/>
    <n v="350"/>
    <n v="420"/>
    <n v="0.54545454545454497"/>
    <n v="1"/>
    <n v="1"/>
    <n v="0"/>
    <n v="0"/>
  </r>
  <r>
    <s v="S1179"/>
    <d v="2024-11-29T00:00:00"/>
    <x v="47"/>
    <n v="11"/>
    <x v="10"/>
    <s v="P018"/>
    <x v="4"/>
    <n v="5"/>
    <n v="380"/>
    <n v="0"/>
    <x v="16"/>
    <n v="150"/>
    <n v="1900"/>
    <n v="750"/>
    <n v="1150"/>
    <n v="0.60526315789473695"/>
    <n v="0"/>
    <n v="0"/>
    <n v="5"/>
    <n v="1900"/>
  </r>
  <r>
    <s v="S1302"/>
    <d v="2024-11-29T00:00:00"/>
    <x v="47"/>
    <n v="11"/>
    <x v="10"/>
    <s v="P018"/>
    <x v="4"/>
    <n v="4"/>
    <n v="323"/>
    <n v="15"/>
    <x v="16"/>
    <n v="150"/>
    <n v="1292"/>
    <n v="600"/>
    <n v="692"/>
    <n v="0.53560371517027905"/>
    <n v="0"/>
    <n v="0"/>
    <n v="4"/>
    <n v="1292"/>
  </r>
  <r>
    <s v="S1345"/>
    <d v="2024-11-30T00:00:00"/>
    <x v="47"/>
    <n v="11"/>
    <x v="10"/>
    <s v="P016"/>
    <x v="2"/>
    <n v="5"/>
    <n v="1989"/>
    <n v="15"/>
    <x v="13"/>
    <n v="1300"/>
    <n v="9945"/>
    <n v="6500"/>
    <n v="3445"/>
    <n v="0.34640522875816998"/>
    <n v="0"/>
    <n v="0"/>
    <n v="5"/>
    <n v="9945"/>
  </r>
  <r>
    <s v="S1162"/>
    <d v="2024-11-30T00:00:00"/>
    <x v="47"/>
    <n v="11"/>
    <x v="10"/>
    <s v="P003"/>
    <x v="0"/>
    <n v="3"/>
    <n v="400"/>
    <n v="0"/>
    <x v="17"/>
    <n v="180"/>
    <n v="1200"/>
    <n v="540"/>
    <n v="660"/>
    <n v="0.55000000000000004"/>
    <n v="0"/>
    <n v="0"/>
    <n v="3"/>
    <n v="1200"/>
  </r>
  <r>
    <s v="S1169"/>
    <d v="2024-11-30T00:00:00"/>
    <x v="47"/>
    <n v="11"/>
    <x v="10"/>
    <s v="P006"/>
    <x v="0"/>
    <n v="2"/>
    <n v="480"/>
    <n v="0"/>
    <x v="0"/>
    <n v="220"/>
    <n v="960"/>
    <n v="440"/>
    <n v="520"/>
    <n v="0.54166666666666696"/>
    <n v="0"/>
    <n v="0"/>
    <n v="2"/>
    <n v="960"/>
  </r>
  <r>
    <s v="S1340"/>
    <d v="2024-11-30T00:00:00"/>
    <x v="47"/>
    <n v="11"/>
    <x v="10"/>
    <s v="P016"/>
    <x v="2"/>
    <n v="4"/>
    <n v="2340"/>
    <n v="0"/>
    <x v="13"/>
    <n v="1300"/>
    <n v="9360"/>
    <n v="5200"/>
    <n v="4160"/>
    <n v="0.44444444444444398"/>
    <n v="0"/>
    <n v="0"/>
    <n v="4"/>
    <n v="9360"/>
  </r>
  <r>
    <s v="S1292"/>
    <d v="2024-11-30T00:00:00"/>
    <x v="47"/>
    <n v="11"/>
    <x v="10"/>
    <s v="P021"/>
    <x v="4"/>
    <n v="4"/>
    <n v="900"/>
    <n v="10"/>
    <x v="6"/>
    <n v="400"/>
    <n v="3600"/>
    <n v="1600"/>
    <n v="2000"/>
    <n v="0.55555555555555602"/>
    <n v="0"/>
    <n v="0"/>
    <n v="4"/>
    <n v="3600"/>
  </r>
  <r>
    <s v="S1312"/>
    <d v="2024-11-30T00:00:00"/>
    <x v="47"/>
    <n v="11"/>
    <x v="10"/>
    <s v="P022"/>
    <x v="1"/>
    <n v="5"/>
    <n v="1249.5"/>
    <n v="15"/>
    <x v="11"/>
    <n v="700"/>
    <n v="6247.5"/>
    <n v="3500"/>
    <n v="2747.5"/>
    <n v="0.43977591036414598"/>
    <n v="0"/>
    <n v="0"/>
    <n v="5"/>
    <n v="6247.5"/>
  </r>
  <r>
    <s v="S1247"/>
    <d v="2024-11-30T00:00:00"/>
    <x v="47"/>
    <n v="11"/>
    <x v="10"/>
    <s v="P026"/>
    <x v="1"/>
    <n v="5"/>
    <n v="468"/>
    <n v="10"/>
    <x v="1"/>
    <n v="250"/>
    <n v="2340"/>
    <n v="1250"/>
    <n v="1090"/>
    <n v="0.46581196581196599"/>
    <n v="0"/>
    <n v="0"/>
    <n v="5"/>
    <n v="2340"/>
  </r>
  <r>
    <s v="S1298"/>
    <d v="2024-11-30T00:00:00"/>
    <x v="47"/>
    <n v="11"/>
    <x v="10"/>
    <s v="P018"/>
    <x v="4"/>
    <n v="2"/>
    <n v="361"/>
    <n v="5"/>
    <x v="16"/>
    <n v="150"/>
    <n v="722"/>
    <n v="300"/>
    <n v="422"/>
    <n v="0.58448753462603897"/>
    <n v="0"/>
    <n v="0"/>
    <n v="2"/>
    <n v="722"/>
  </r>
  <r>
    <s v="S1416"/>
    <d v="2024-12-01T00:00:00"/>
    <x v="47"/>
    <n v="12"/>
    <x v="11"/>
    <s v="P021"/>
    <x v="4"/>
    <n v="5"/>
    <n v="1000"/>
    <n v="0"/>
    <x v="6"/>
    <n v="400"/>
    <n v="5000"/>
    <n v="2000"/>
    <n v="3000"/>
    <n v="0.6"/>
    <n v="0"/>
    <n v="0"/>
    <n v="5"/>
    <n v="5000"/>
  </r>
  <r>
    <s v="S1475"/>
    <d v="2024-12-01T00:00:00"/>
    <x v="47"/>
    <n v="12"/>
    <x v="11"/>
    <s v="P002"/>
    <x v="0"/>
    <n v="5"/>
    <n v="836"/>
    <n v="5"/>
    <x v="2"/>
    <n v="400"/>
    <n v="4180"/>
    <n v="2000"/>
    <n v="2180"/>
    <n v="0.52153110047846896"/>
    <n v="0"/>
    <n v="0"/>
    <n v="5"/>
    <n v="4180"/>
  </r>
  <r>
    <s v="S1439"/>
    <d v="2024-12-02T00:00:00"/>
    <x v="48"/>
    <n v="12"/>
    <x v="11"/>
    <s v="P023"/>
    <x v="1"/>
    <n v="1"/>
    <n v="3150"/>
    <n v="0"/>
    <x v="12"/>
    <n v="1500"/>
    <n v="3150"/>
    <n v="1500"/>
    <n v="1650"/>
    <n v="0.52380952380952395"/>
    <n v="0"/>
    <n v="0"/>
    <n v="1"/>
    <n v="3150"/>
  </r>
  <r>
    <s v="S1361"/>
    <d v="2024-12-02T00:00:00"/>
    <x v="48"/>
    <n v="12"/>
    <x v="11"/>
    <s v="P007"/>
    <x v="3"/>
    <n v="5"/>
    <n v="1200"/>
    <n v="0"/>
    <x v="22"/>
    <n v="600"/>
    <n v="6000"/>
    <n v="3000"/>
    <n v="3000"/>
    <n v="0.5"/>
    <n v="0"/>
    <n v="0"/>
    <n v="5"/>
    <n v="6000"/>
  </r>
  <r>
    <s v="S1411"/>
    <d v="2024-12-02T00:00:00"/>
    <x v="48"/>
    <n v="12"/>
    <x v="11"/>
    <s v="P008"/>
    <x v="3"/>
    <n v="1"/>
    <n v="1000"/>
    <n v="0"/>
    <x v="10"/>
    <n v="500"/>
    <n v="1000"/>
    <n v="500"/>
    <n v="500"/>
    <n v="0.5"/>
    <n v="0"/>
    <n v="0"/>
    <n v="1"/>
    <n v="1000"/>
  </r>
  <r>
    <s v="S1393"/>
    <d v="2024-12-02T00:00:00"/>
    <x v="48"/>
    <n v="12"/>
    <x v="11"/>
    <s v="P025"/>
    <x v="1"/>
    <n v="3"/>
    <n v="940"/>
    <n v="0"/>
    <x v="19"/>
    <n v="450"/>
    <n v="2820"/>
    <n v="1350"/>
    <n v="1470"/>
    <n v="0.52127659574468099"/>
    <n v="0"/>
    <n v="0"/>
    <n v="3"/>
    <n v="2820"/>
  </r>
  <r>
    <s v="S1354"/>
    <d v="2024-12-03T00:00:00"/>
    <x v="48"/>
    <n v="12"/>
    <x v="11"/>
    <s v="P017"/>
    <x v="4"/>
    <n v="4"/>
    <n v="450"/>
    <n v="10"/>
    <x v="15"/>
    <n v="200"/>
    <n v="1800"/>
    <n v="800"/>
    <n v="1000"/>
    <n v="0.55555555555555602"/>
    <n v="0"/>
    <n v="0"/>
    <n v="4"/>
    <n v="1800"/>
  </r>
  <r>
    <s v="S1426"/>
    <d v="2024-12-03T00:00:00"/>
    <x v="48"/>
    <n v="12"/>
    <x v="11"/>
    <s v="P001"/>
    <x v="0"/>
    <n v="3"/>
    <n v="731.5"/>
    <n v="5"/>
    <x v="23"/>
    <n v="350"/>
    <n v="2194.5"/>
    <n v="1050"/>
    <n v="1144.5"/>
    <n v="0.52153110047846896"/>
    <n v="0"/>
    <n v="0"/>
    <n v="3"/>
    <n v="2194.5"/>
  </r>
  <r>
    <s v="S1362"/>
    <d v="2024-12-03T00:00:00"/>
    <x v="48"/>
    <n v="12"/>
    <x v="11"/>
    <s v="P024"/>
    <x v="1"/>
    <n v="3"/>
    <n v="1680"/>
    <n v="0"/>
    <x v="20"/>
    <n v="800"/>
    <n v="5040"/>
    <n v="2400"/>
    <n v="2640"/>
    <n v="0.52380952380952395"/>
    <n v="0"/>
    <n v="0"/>
    <n v="3"/>
    <n v="5040"/>
  </r>
  <r>
    <s v="S1406"/>
    <d v="2024-12-03T00:00:00"/>
    <x v="48"/>
    <n v="12"/>
    <x v="11"/>
    <s v="P002"/>
    <x v="0"/>
    <n v="3"/>
    <n v="836"/>
    <n v="5"/>
    <x v="2"/>
    <n v="400"/>
    <n v="2508"/>
    <n v="1200"/>
    <n v="1308"/>
    <n v="0.52153110047846896"/>
    <n v="0"/>
    <n v="0"/>
    <n v="3"/>
    <n v="2508"/>
  </r>
  <r>
    <s v="S1431"/>
    <d v="2024-12-04T00:00:00"/>
    <x v="48"/>
    <n v="12"/>
    <x v="11"/>
    <s v="P015"/>
    <x v="2"/>
    <n v="4"/>
    <n v="630"/>
    <n v="0"/>
    <x v="24"/>
    <n v="350"/>
    <n v="2520"/>
    <n v="1400"/>
    <n v="1120"/>
    <n v="0.44444444444444398"/>
    <n v="0"/>
    <n v="0"/>
    <n v="4"/>
    <n v="2520"/>
  </r>
  <r>
    <s v="S1474"/>
    <d v="2024-12-04T00:00:00"/>
    <x v="48"/>
    <n v="12"/>
    <x v="11"/>
    <s v="P021"/>
    <x v="4"/>
    <n v="5"/>
    <n v="1000"/>
    <n v="0"/>
    <x v="6"/>
    <n v="400"/>
    <n v="5000"/>
    <n v="2000"/>
    <n v="3000"/>
    <n v="0.6"/>
    <n v="0"/>
    <n v="0"/>
    <n v="5"/>
    <n v="5000"/>
  </r>
  <r>
    <s v="S1390"/>
    <d v="2024-12-04T00:00:00"/>
    <x v="48"/>
    <n v="12"/>
    <x v="11"/>
    <s v="P008"/>
    <x v="3"/>
    <n v="3"/>
    <n v="1000"/>
    <n v="0"/>
    <x v="10"/>
    <n v="500"/>
    <n v="3000"/>
    <n v="1500"/>
    <n v="1500"/>
    <n v="0.5"/>
    <n v="0"/>
    <n v="0"/>
    <n v="3"/>
    <n v="3000"/>
  </r>
  <r>
    <s v="S1388"/>
    <d v="2024-12-04T00:00:00"/>
    <x v="48"/>
    <n v="12"/>
    <x v="11"/>
    <s v="P023"/>
    <x v="1"/>
    <n v="2"/>
    <n v="3150"/>
    <n v="0"/>
    <x v="12"/>
    <n v="1500"/>
    <n v="6300"/>
    <n v="3000"/>
    <n v="3300"/>
    <n v="0.52380952380952395"/>
    <n v="0"/>
    <n v="0"/>
    <n v="2"/>
    <n v="6300"/>
  </r>
  <r>
    <s v="S1432"/>
    <d v="2024-12-04T00:00:00"/>
    <x v="48"/>
    <n v="12"/>
    <x v="11"/>
    <s v="P025"/>
    <x v="1"/>
    <n v="3"/>
    <n v="893"/>
    <n v="5"/>
    <x v="19"/>
    <n v="450"/>
    <n v="2679"/>
    <n v="1350"/>
    <n v="1329"/>
    <n v="0.496080627099664"/>
    <n v="0"/>
    <n v="0"/>
    <n v="3"/>
    <n v="2679"/>
  </r>
  <r>
    <s v="S1357"/>
    <d v="2024-12-05T00:00:00"/>
    <x v="48"/>
    <n v="12"/>
    <x v="11"/>
    <s v="P021"/>
    <x v="4"/>
    <n v="4"/>
    <n v="1000"/>
    <n v="0"/>
    <x v="6"/>
    <n v="400"/>
    <n v="4000"/>
    <n v="1600"/>
    <n v="2400"/>
    <n v="0.6"/>
    <n v="0"/>
    <n v="0"/>
    <n v="4"/>
    <n v="4000"/>
  </r>
  <r>
    <s v="S1477"/>
    <d v="2024-12-05T00:00:00"/>
    <x v="48"/>
    <n v="12"/>
    <x v="11"/>
    <s v="P025"/>
    <x v="1"/>
    <n v="3"/>
    <n v="893"/>
    <n v="5"/>
    <x v="19"/>
    <n v="450"/>
    <n v="2679"/>
    <n v="1350"/>
    <n v="1329"/>
    <n v="0.496080627099664"/>
    <n v="0"/>
    <n v="0"/>
    <n v="3"/>
    <n v="2679"/>
  </r>
  <r>
    <s v="S1381"/>
    <d v="2024-12-05T00:00:00"/>
    <x v="48"/>
    <n v="12"/>
    <x v="11"/>
    <s v="P002"/>
    <x v="0"/>
    <n v="3"/>
    <n v="880"/>
    <n v="0"/>
    <x v="2"/>
    <n v="400"/>
    <n v="2640"/>
    <n v="1200"/>
    <n v="1440"/>
    <n v="0.54545454545454497"/>
    <n v="0"/>
    <n v="0"/>
    <n v="3"/>
    <n v="2640"/>
  </r>
  <r>
    <s v="S1392"/>
    <d v="2024-12-05T00:00:00"/>
    <x v="48"/>
    <n v="12"/>
    <x v="11"/>
    <s v="P014"/>
    <x v="2"/>
    <n v="1"/>
    <n v="900"/>
    <n v="0"/>
    <x v="18"/>
    <n v="500"/>
    <n v="900"/>
    <n v="500"/>
    <n v="400"/>
    <n v="0.44444444444444398"/>
    <n v="0"/>
    <n v="0"/>
    <n v="1"/>
    <n v="900"/>
  </r>
  <r>
    <s v="S1445"/>
    <d v="2024-12-05T00:00:00"/>
    <x v="48"/>
    <n v="12"/>
    <x v="11"/>
    <s v="P024"/>
    <x v="1"/>
    <n v="4"/>
    <n v="1680"/>
    <n v="0"/>
    <x v="20"/>
    <n v="800"/>
    <n v="6720"/>
    <n v="3200"/>
    <n v="3520"/>
    <n v="0.52380952380952395"/>
    <n v="0"/>
    <n v="0"/>
    <n v="4"/>
    <n v="6720"/>
  </r>
  <r>
    <s v="S1443"/>
    <d v="2024-12-05T00:00:00"/>
    <x v="48"/>
    <n v="12"/>
    <x v="11"/>
    <s v="P009"/>
    <x v="3"/>
    <n v="4"/>
    <n v="540"/>
    <n v="10"/>
    <x v="7"/>
    <n v="300"/>
    <n v="2160"/>
    <n v="1200"/>
    <n v="960"/>
    <n v="0.44444444444444398"/>
    <n v="0"/>
    <n v="0"/>
    <n v="4"/>
    <n v="2160"/>
  </r>
  <r>
    <s v="S1440"/>
    <d v="2024-12-05T00:00:00"/>
    <x v="48"/>
    <n v="12"/>
    <x v="11"/>
    <s v="P023"/>
    <x v="1"/>
    <n v="2"/>
    <n v="2677.5"/>
    <n v="15"/>
    <x v="12"/>
    <n v="1500"/>
    <n v="5355"/>
    <n v="3000"/>
    <n v="2355"/>
    <n v="0.43977591036414598"/>
    <n v="2"/>
    <n v="2"/>
    <n v="0"/>
    <n v="0"/>
  </r>
  <r>
    <s v="S1471"/>
    <d v="2024-12-05T00:00:00"/>
    <x v="48"/>
    <n v="12"/>
    <x v="11"/>
    <s v="P005"/>
    <x v="0"/>
    <n v="4"/>
    <n v="3740"/>
    <n v="15"/>
    <x v="25"/>
    <n v="2000"/>
    <n v="14960"/>
    <n v="8000"/>
    <n v="6960"/>
    <n v="0.46524064171122997"/>
    <n v="0"/>
    <n v="0"/>
    <n v="4"/>
    <n v="14960"/>
  </r>
  <r>
    <s v="S1377"/>
    <d v="2024-12-06T00:00:00"/>
    <x v="48"/>
    <n v="12"/>
    <x v="11"/>
    <s v="P017"/>
    <x v="4"/>
    <n v="4"/>
    <n v="475"/>
    <n v="5"/>
    <x v="15"/>
    <n v="200"/>
    <n v="1900"/>
    <n v="800"/>
    <n v="1100"/>
    <n v="0.57894736842105299"/>
    <n v="0"/>
    <n v="0"/>
    <n v="4"/>
    <n v="1900"/>
  </r>
  <r>
    <s v="S1468"/>
    <d v="2024-12-06T00:00:00"/>
    <x v="48"/>
    <n v="12"/>
    <x v="11"/>
    <s v="P006"/>
    <x v="0"/>
    <n v="5"/>
    <n v="432"/>
    <n v="10"/>
    <x v="0"/>
    <n v="220"/>
    <n v="2160"/>
    <n v="1100"/>
    <n v="1060"/>
    <n v="0.49074074074074098"/>
    <n v="0"/>
    <n v="0"/>
    <n v="5"/>
    <n v="2160"/>
  </r>
  <r>
    <s v="S1366"/>
    <d v="2024-12-07T00:00:00"/>
    <x v="48"/>
    <n v="12"/>
    <x v="11"/>
    <s v="P013"/>
    <x v="2"/>
    <n v="4"/>
    <n v="1782"/>
    <n v="10"/>
    <x v="21"/>
    <n v="1100"/>
    <n v="7128"/>
    <n v="4400"/>
    <n v="2728"/>
    <n v="0.38271604938271597"/>
    <n v="0"/>
    <n v="0"/>
    <n v="4"/>
    <n v="7128"/>
  </r>
  <r>
    <s v="S1424"/>
    <d v="2024-12-07T00:00:00"/>
    <x v="48"/>
    <n v="12"/>
    <x v="11"/>
    <s v="P021"/>
    <x v="4"/>
    <n v="5"/>
    <n v="1000"/>
    <n v="0"/>
    <x v="6"/>
    <n v="400"/>
    <n v="5000"/>
    <n v="2000"/>
    <n v="3000"/>
    <n v="0.6"/>
    <n v="0"/>
    <n v="0"/>
    <n v="5"/>
    <n v="5000"/>
  </r>
  <r>
    <s v="S1409"/>
    <d v="2024-12-07T00:00:00"/>
    <x v="48"/>
    <n v="12"/>
    <x v="11"/>
    <s v="P014"/>
    <x v="2"/>
    <n v="2"/>
    <n v="810"/>
    <n v="10"/>
    <x v="18"/>
    <n v="500"/>
    <n v="1620"/>
    <n v="1000"/>
    <n v="620"/>
    <n v="0.38271604938271597"/>
    <n v="0"/>
    <n v="0"/>
    <n v="2"/>
    <n v="1620"/>
  </r>
  <r>
    <s v="S1436"/>
    <d v="2024-12-07T00:00:00"/>
    <x v="48"/>
    <n v="12"/>
    <x v="11"/>
    <s v="P021"/>
    <x v="4"/>
    <n v="5"/>
    <n v="900"/>
    <n v="10"/>
    <x v="6"/>
    <n v="400"/>
    <n v="4500"/>
    <n v="2000"/>
    <n v="2500"/>
    <n v="0.55555555555555602"/>
    <n v="0"/>
    <n v="0"/>
    <n v="5"/>
    <n v="4500"/>
  </r>
  <r>
    <s v="S1401"/>
    <d v="2024-12-07T00:00:00"/>
    <x v="48"/>
    <n v="12"/>
    <x v="11"/>
    <s v="P012"/>
    <x v="2"/>
    <n v="3"/>
    <n v="1620"/>
    <n v="0"/>
    <x v="3"/>
    <n v="900"/>
    <n v="4860"/>
    <n v="2700"/>
    <n v="2160"/>
    <n v="0.44444444444444398"/>
    <n v="0"/>
    <n v="0"/>
    <n v="3"/>
    <n v="4860"/>
  </r>
  <r>
    <s v="S1389"/>
    <d v="2024-12-08T00:00:00"/>
    <x v="48"/>
    <n v="12"/>
    <x v="11"/>
    <s v="P018"/>
    <x v="4"/>
    <n v="3"/>
    <n v="361"/>
    <n v="5"/>
    <x v="16"/>
    <n v="150"/>
    <n v="1083"/>
    <n v="450"/>
    <n v="633"/>
    <n v="0.58448753462603897"/>
    <n v="0"/>
    <n v="0"/>
    <n v="3"/>
    <n v="1083"/>
  </r>
  <r>
    <s v="S1472"/>
    <d v="2024-12-08T00:00:00"/>
    <x v="48"/>
    <n v="12"/>
    <x v="11"/>
    <s v="P022"/>
    <x v="1"/>
    <n v="1"/>
    <n v="1470"/>
    <n v="0"/>
    <x v="11"/>
    <n v="700"/>
    <n v="1470"/>
    <n v="700"/>
    <n v="770"/>
    <n v="0.52380952380952395"/>
    <n v="0"/>
    <n v="0"/>
    <n v="1"/>
    <n v="1470"/>
  </r>
  <r>
    <s v="S1499"/>
    <d v="2024-12-09T00:00:00"/>
    <x v="49"/>
    <n v="12"/>
    <x v="11"/>
    <s v="P026"/>
    <x v="1"/>
    <n v="3"/>
    <n v="468"/>
    <n v="10"/>
    <x v="1"/>
    <n v="250"/>
    <n v="1404"/>
    <n v="750"/>
    <n v="654"/>
    <n v="0.46581196581196599"/>
    <n v="0"/>
    <n v="0"/>
    <n v="3"/>
    <n v="1404"/>
  </r>
  <r>
    <s v="S1496"/>
    <d v="2024-12-09T00:00:00"/>
    <x v="49"/>
    <n v="12"/>
    <x v="11"/>
    <s v="P022"/>
    <x v="1"/>
    <n v="5"/>
    <n v="1323"/>
    <n v="10"/>
    <x v="11"/>
    <n v="700"/>
    <n v="6615"/>
    <n v="3500"/>
    <n v="3115"/>
    <n v="0.47089947089947098"/>
    <n v="0"/>
    <n v="0"/>
    <n v="5"/>
    <n v="6615"/>
  </r>
  <r>
    <s v="S1349"/>
    <d v="2024-12-09T00:00:00"/>
    <x v="49"/>
    <n v="12"/>
    <x v="11"/>
    <s v="P015"/>
    <x v="2"/>
    <n v="3"/>
    <n v="630"/>
    <n v="0"/>
    <x v="24"/>
    <n v="350"/>
    <n v="1890"/>
    <n v="1050"/>
    <n v="840"/>
    <n v="0.44444444444444398"/>
    <n v="0"/>
    <n v="0"/>
    <n v="3"/>
    <n v="1890"/>
  </r>
  <r>
    <s v="S1351"/>
    <d v="2024-12-09T00:00:00"/>
    <x v="49"/>
    <n v="12"/>
    <x v="11"/>
    <s v="P011"/>
    <x v="3"/>
    <n v="5"/>
    <n v="1400"/>
    <n v="0"/>
    <x v="9"/>
    <n v="700"/>
    <n v="7000"/>
    <n v="3500"/>
    <n v="3500"/>
    <n v="0.5"/>
    <n v="2"/>
    <n v="2"/>
    <n v="3"/>
    <n v="4200"/>
  </r>
  <r>
    <s v="S1429"/>
    <d v="2024-12-09T00:00:00"/>
    <x v="49"/>
    <n v="12"/>
    <x v="11"/>
    <s v="P024"/>
    <x v="1"/>
    <n v="4"/>
    <n v="1512"/>
    <n v="10"/>
    <x v="20"/>
    <n v="800"/>
    <n v="6048"/>
    <n v="3200"/>
    <n v="2848"/>
    <n v="0.47089947089947098"/>
    <n v="0"/>
    <n v="0"/>
    <n v="4"/>
    <n v="6048"/>
  </r>
  <r>
    <s v="S1365"/>
    <d v="2024-12-09T00:00:00"/>
    <x v="49"/>
    <n v="12"/>
    <x v="11"/>
    <s v="P007"/>
    <x v="3"/>
    <n v="5"/>
    <n v="1020"/>
    <n v="15"/>
    <x v="22"/>
    <n v="600"/>
    <n v="5100"/>
    <n v="3000"/>
    <n v="2100"/>
    <n v="0.41176470588235298"/>
    <n v="0"/>
    <n v="0"/>
    <n v="5"/>
    <n v="5100"/>
  </r>
  <r>
    <s v="S1463"/>
    <d v="2024-12-09T00:00:00"/>
    <x v="49"/>
    <n v="12"/>
    <x v="11"/>
    <s v="P014"/>
    <x v="2"/>
    <n v="4"/>
    <n v="765"/>
    <n v="15"/>
    <x v="18"/>
    <n v="500"/>
    <n v="3060"/>
    <n v="2000"/>
    <n v="1060"/>
    <n v="0.34640522875816998"/>
    <n v="0"/>
    <n v="0"/>
    <n v="4"/>
    <n v="3060"/>
  </r>
  <r>
    <s v="S1415"/>
    <d v="2024-12-10T00:00:00"/>
    <x v="49"/>
    <n v="12"/>
    <x v="11"/>
    <s v="P023"/>
    <x v="1"/>
    <n v="1"/>
    <n v="2835"/>
    <n v="10"/>
    <x v="12"/>
    <n v="1500"/>
    <n v="2835"/>
    <n v="1500"/>
    <n v="1335"/>
    <n v="0.47089947089947098"/>
    <n v="0"/>
    <n v="0"/>
    <n v="1"/>
    <n v="2835"/>
  </r>
  <r>
    <s v="S1454"/>
    <d v="2024-12-10T00:00:00"/>
    <x v="49"/>
    <n v="12"/>
    <x v="11"/>
    <s v="P003"/>
    <x v="0"/>
    <n v="2"/>
    <n v="380"/>
    <n v="5"/>
    <x v="17"/>
    <n v="180"/>
    <n v="760"/>
    <n v="360"/>
    <n v="400"/>
    <n v="0.52631578947368396"/>
    <n v="0"/>
    <n v="0"/>
    <n v="2"/>
    <n v="760"/>
  </r>
  <r>
    <s v="S1459"/>
    <d v="2024-12-10T00:00:00"/>
    <x v="49"/>
    <n v="12"/>
    <x v="11"/>
    <s v="P020"/>
    <x v="4"/>
    <n v="2"/>
    <n v="1275"/>
    <n v="15"/>
    <x v="8"/>
    <n v="600"/>
    <n v="2550"/>
    <n v="1200"/>
    <n v="1350"/>
    <n v="0.52941176470588203"/>
    <n v="0"/>
    <n v="0"/>
    <n v="2"/>
    <n v="2550"/>
  </r>
  <r>
    <s v="S1500"/>
    <d v="2024-12-10T00:00:00"/>
    <x v="49"/>
    <n v="12"/>
    <x v="11"/>
    <s v="P018"/>
    <x v="4"/>
    <n v="1"/>
    <n v="380"/>
    <n v="0"/>
    <x v="16"/>
    <n v="150"/>
    <n v="380"/>
    <n v="150"/>
    <n v="230"/>
    <n v="0.60526315789473695"/>
    <n v="0"/>
    <n v="0"/>
    <n v="1"/>
    <n v="380"/>
  </r>
  <r>
    <s v="S1447"/>
    <d v="2024-12-11T00:00:00"/>
    <x v="49"/>
    <n v="12"/>
    <x v="11"/>
    <s v="P015"/>
    <x v="2"/>
    <n v="2"/>
    <n v="630"/>
    <n v="0"/>
    <x v="24"/>
    <n v="350"/>
    <n v="1260"/>
    <n v="700"/>
    <n v="560"/>
    <n v="0.44444444444444398"/>
    <n v="0"/>
    <n v="0"/>
    <n v="2"/>
    <n v="1260"/>
  </r>
  <r>
    <s v="S1360"/>
    <d v="2024-12-11T00:00:00"/>
    <x v="49"/>
    <n v="12"/>
    <x v="11"/>
    <s v="P019"/>
    <x v="4"/>
    <n v="2"/>
    <n v="4050"/>
    <n v="10"/>
    <x v="14"/>
    <n v="1800"/>
    <n v="8100"/>
    <n v="3600"/>
    <n v="4500"/>
    <n v="0.55555555555555602"/>
    <n v="2"/>
    <n v="2"/>
    <n v="0"/>
    <n v="0"/>
  </r>
  <r>
    <s v="S1380"/>
    <d v="2024-12-11T00:00:00"/>
    <x v="49"/>
    <n v="12"/>
    <x v="11"/>
    <s v="P013"/>
    <x v="2"/>
    <n v="4"/>
    <n v="1782"/>
    <n v="10"/>
    <x v="21"/>
    <n v="1100"/>
    <n v="7128"/>
    <n v="4400"/>
    <n v="2728"/>
    <n v="0.38271604938271597"/>
    <n v="0"/>
    <n v="0"/>
    <n v="4"/>
    <n v="7128"/>
  </r>
  <r>
    <s v="S1441"/>
    <d v="2024-12-11T00:00:00"/>
    <x v="49"/>
    <n v="12"/>
    <x v="11"/>
    <s v="P020"/>
    <x v="4"/>
    <n v="4"/>
    <n v="1425"/>
    <n v="5"/>
    <x v="8"/>
    <n v="600"/>
    <n v="5700"/>
    <n v="2400"/>
    <n v="3300"/>
    <n v="0.57894736842105299"/>
    <n v="0"/>
    <n v="0"/>
    <n v="4"/>
    <n v="5700"/>
  </r>
  <r>
    <s v="S1489"/>
    <d v="2024-12-11T00:00:00"/>
    <x v="49"/>
    <n v="12"/>
    <x v="11"/>
    <s v="P023"/>
    <x v="1"/>
    <n v="4"/>
    <n v="3150"/>
    <n v="0"/>
    <x v="12"/>
    <n v="1500"/>
    <n v="12600"/>
    <n v="6000"/>
    <n v="6600"/>
    <n v="0.52380952380952395"/>
    <n v="0"/>
    <n v="0"/>
    <n v="4"/>
    <n v="12600"/>
  </r>
  <r>
    <s v="S1491"/>
    <d v="2024-12-11T00:00:00"/>
    <x v="49"/>
    <n v="12"/>
    <x v="11"/>
    <s v="P015"/>
    <x v="2"/>
    <n v="1"/>
    <n v="567"/>
    <n v="10"/>
    <x v="24"/>
    <n v="350"/>
    <n v="567"/>
    <n v="350"/>
    <n v="217"/>
    <n v="0.38271604938271597"/>
    <n v="0"/>
    <n v="0"/>
    <n v="1"/>
    <n v="567"/>
  </r>
  <r>
    <s v="S1383"/>
    <d v="2024-12-11T00:00:00"/>
    <x v="49"/>
    <n v="12"/>
    <x v="11"/>
    <s v="P024"/>
    <x v="1"/>
    <n v="4"/>
    <n v="1428"/>
    <n v="15"/>
    <x v="20"/>
    <n v="800"/>
    <n v="5712"/>
    <n v="3200"/>
    <n v="2512"/>
    <n v="0.43977591036414598"/>
    <n v="0"/>
    <n v="0"/>
    <n v="4"/>
    <n v="5712"/>
  </r>
  <r>
    <s v="S1476"/>
    <d v="2024-12-11T00:00:00"/>
    <x v="49"/>
    <n v="12"/>
    <x v="11"/>
    <s v="P018"/>
    <x v="4"/>
    <n v="4"/>
    <n v="361"/>
    <n v="5"/>
    <x v="16"/>
    <n v="150"/>
    <n v="1444"/>
    <n v="600"/>
    <n v="844"/>
    <n v="0.58448753462603897"/>
    <n v="0"/>
    <n v="0"/>
    <n v="4"/>
    <n v="1444"/>
  </r>
  <r>
    <s v="S1433"/>
    <d v="2024-12-12T00:00:00"/>
    <x v="49"/>
    <n v="12"/>
    <x v="11"/>
    <s v="P024"/>
    <x v="1"/>
    <n v="3"/>
    <n v="1680"/>
    <n v="0"/>
    <x v="20"/>
    <n v="800"/>
    <n v="5040"/>
    <n v="2400"/>
    <n v="2640"/>
    <n v="0.52380952380952395"/>
    <n v="0"/>
    <n v="0"/>
    <n v="3"/>
    <n v="5040"/>
  </r>
  <r>
    <s v="S1410"/>
    <d v="2024-12-12T00:00:00"/>
    <x v="49"/>
    <n v="12"/>
    <x v="11"/>
    <s v="P013"/>
    <x v="2"/>
    <n v="3"/>
    <n v="1980"/>
    <n v="0"/>
    <x v="21"/>
    <n v="1100"/>
    <n v="5940"/>
    <n v="3300"/>
    <n v="2640"/>
    <n v="0.44444444444444398"/>
    <n v="0"/>
    <n v="0"/>
    <n v="3"/>
    <n v="5940"/>
  </r>
  <r>
    <s v="S1421"/>
    <d v="2024-12-12T00:00:00"/>
    <x v="49"/>
    <n v="12"/>
    <x v="11"/>
    <s v="P023"/>
    <x v="1"/>
    <n v="4"/>
    <n v="3150"/>
    <n v="0"/>
    <x v="12"/>
    <n v="1500"/>
    <n v="12600"/>
    <n v="6000"/>
    <n v="6600"/>
    <n v="0.52380952380952395"/>
    <n v="0"/>
    <n v="0"/>
    <n v="4"/>
    <n v="12600"/>
  </r>
  <r>
    <s v="S1492"/>
    <d v="2024-12-12T00:00:00"/>
    <x v="49"/>
    <n v="12"/>
    <x v="11"/>
    <s v="P025"/>
    <x v="1"/>
    <n v="4"/>
    <n v="799"/>
    <n v="15"/>
    <x v="19"/>
    <n v="450"/>
    <n v="3196"/>
    <n v="1800"/>
    <n v="1396"/>
    <n v="0.436795994993742"/>
    <n v="0"/>
    <n v="0"/>
    <n v="4"/>
    <n v="3196"/>
  </r>
  <r>
    <s v="S1456"/>
    <d v="2024-12-12T00:00:00"/>
    <x v="49"/>
    <n v="12"/>
    <x v="11"/>
    <s v="P026"/>
    <x v="1"/>
    <n v="5"/>
    <n v="520"/>
    <n v="0"/>
    <x v="1"/>
    <n v="250"/>
    <n v="2600"/>
    <n v="1250"/>
    <n v="1350"/>
    <n v="0.51923076923076905"/>
    <n v="3"/>
    <n v="3"/>
    <n v="2"/>
    <n v="1040"/>
  </r>
  <r>
    <s v="S1448"/>
    <d v="2024-12-13T00:00:00"/>
    <x v="49"/>
    <n v="12"/>
    <x v="11"/>
    <s v="P005"/>
    <x v="0"/>
    <n v="2"/>
    <n v="3960"/>
    <n v="10"/>
    <x v="25"/>
    <n v="2000"/>
    <n v="7920"/>
    <n v="4000"/>
    <n v="3920"/>
    <n v="0.49494949494949497"/>
    <n v="0"/>
    <n v="0"/>
    <n v="2"/>
    <n v="7920"/>
  </r>
  <r>
    <s v="S1422"/>
    <d v="2024-12-13T00:00:00"/>
    <x v="49"/>
    <n v="12"/>
    <x v="11"/>
    <s v="P015"/>
    <x v="2"/>
    <n v="3"/>
    <n v="630"/>
    <n v="0"/>
    <x v="24"/>
    <n v="350"/>
    <n v="1890"/>
    <n v="1050"/>
    <n v="840"/>
    <n v="0.44444444444444398"/>
    <n v="0"/>
    <n v="0"/>
    <n v="3"/>
    <n v="1890"/>
  </r>
  <r>
    <s v="S1374"/>
    <d v="2024-12-13T00:00:00"/>
    <x v="49"/>
    <n v="12"/>
    <x v="11"/>
    <s v="P024"/>
    <x v="1"/>
    <n v="3"/>
    <n v="1680"/>
    <n v="0"/>
    <x v="20"/>
    <n v="800"/>
    <n v="5040"/>
    <n v="2400"/>
    <n v="2640"/>
    <n v="0.52380952380952395"/>
    <n v="0"/>
    <n v="0"/>
    <n v="3"/>
    <n v="5040"/>
  </r>
  <r>
    <s v="S1385"/>
    <d v="2024-12-13T00:00:00"/>
    <x v="49"/>
    <n v="12"/>
    <x v="11"/>
    <s v="P026"/>
    <x v="1"/>
    <n v="1"/>
    <n v="520"/>
    <n v="0"/>
    <x v="1"/>
    <n v="250"/>
    <n v="520"/>
    <n v="250"/>
    <n v="270"/>
    <n v="0.51923076923076905"/>
    <n v="0"/>
    <n v="0"/>
    <n v="1"/>
    <n v="520"/>
  </r>
  <r>
    <s v="S1417"/>
    <d v="2024-12-14T00:00:00"/>
    <x v="49"/>
    <n v="12"/>
    <x v="11"/>
    <s v="P001"/>
    <x v="0"/>
    <n v="5"/>
    <n v="770"/>
    <n v="0"/>
    <x v="23"/>
    <n v="350"/>
    <n v="3850"/>
    <n v="1750"/>
    <n v="2100"/>
    <n v="0.54545454545454497"/>
    <n v="0"/>
    <n v="0"/>
    <n v="5"/>
    <n v="3850"/>
  </r>
  <r>
    <s v="S1378"/>
    <d v="2024-12-14T00:00:00"/>
    <x v="49"/>
    <n v="12"/>
    <x v="11"/>
    <s v="P025"/>
    <x v="1"/>
    <n v="3"/>
    <n v="893"/>
    <n v="5"/>
    <x v="19"/>
    <n v="450"/>
    <n v="2679"/>
    <n v="1350"/>
    <n v="1329"/>
    <n v="0.496080627099664"/>
    <n v="0"/>
    <n v="0"/>
    <n v="3"/>
    <n v="2679"/>
  </r>
  <r>
    <s v="S1479"/>
    <d v="2024-12-14T00:00:00"/>
    <x v="49"/>
    <n v="12"/>
    <x v="11"/>
    <s v="P021"/>
    <x v="4"/>
    <n v="3"/>
    <n v="900"/>
    <n v="10"/>
    <x v="6"/>
    <n v="400"/>
    <n v="2700"/>
    <n v="1200"/>
    <n v="1500"/>
    <n v="0.55555555555555602"/>
    <n v="0"/>
    <n v="0"/>
    <n v="3"/>
    <n v="2700"/>
  </r>
  <r>
    <s v="S1458"/>
    <d v="2024-12-14T00:00:00"/>
    <x v="49"/>
    <n v="12"/>
    <x v="11"/>
    <s v="P014"/>
    <x v="2"/>
    <n v="3"/>
    <n v="810"/>
    <n v="10"/>
    <x v="18"/>
    <n v="500"/>
    <n v="2430"/>
    <n v="1500"/>
    <n v="930"/>
    <n v="0.38271604938271597"/>
    <n v="0"/>
    <n v="0"/>
    <n v="3"/>
    <n v="2430"/>
  </r>
  <r>
    <s v="S1396"/>
    <d v="2024-12-14T00:00:00"/>
    <x v="49"/>
    <n v="12"/>
    <x v="11"/>
    <s v="P024"/>
    <x v="1"/>
    <n v="3"/>
    <n v="1680"/>
    <n v="0"/>
    <x v="20"/>
    <n v="800"/>
    <n v="5040"/>
    <n v="2400"/>
    <n v="2640"/>
    <n v="0.52380952380952395"/>
    <n v="0"/>
    <n v="0"/>
    <n v="3"/>
    <n v="5040"/>
  </r>
  <r>
    <s v="S1367"/>
    <d v="2024-12-14T00:00:00"/>
    <x v="49"/>
    <n v="12"/>
    <x v="11"/>
    <s v="P009"/>
    <x v="3"/>
    <n v="3"/>
    <n v="540"/>
    <n v="10"/>
    <x v="7"/>
    <n v="300"/>
    <n v="1620"/>
    <n v="900"/>
    <n v="720"/>
    <n v="0.44444444444444398"/>
    <n v="0"/>
    <n v="0"/>
    <n v="3"/>
    <n v="1620"/>
  </r>
  <r>
    <s v="S1490"/>
    <d v="2024-12-15T00:00:00"/>
    <x v="49"/>
    <n v="12"/>
    <x v="11"/>
    <s v="P026"/>
    <x v="1"/>
    <n v="4"/>
    <n v="468"/>
    <n v="10"/>
    <x v="1"/>
    <n v="250"/>
    <n v="1872"/>
    <n v="1000"/>
    <n v="872"/>
    <n v="0.46581196581196599"/>
    <n v="0"/>
    <n v="0"/>
    <n v="4"/>
    <n v="1872"/>
  </r>
  <r>
    <s v="S1375"/>
    <d v="2024-12-15T00:00:00"/>
    <x v="49"/>
    <n v="12"/>
    <x v="11"/>
    <s v="P008"/>
    <x v="3"/>
    <n v="5"/>
    <n v="1000"/>
    <n v="0"/>
    <x v="10"/>
    <n v="500"/>
    <n v="5000"/>
    <n v="2500"/>
    <n v="2500"/>
    <n v="0.5"/>
    <n v="0"/>
    <n v="0"/>
    <n v="5"/>
    <n v="5000"/>
  </r>
  <r>
    <s v="S1403"/>
    <d v="2024-12-15T00:00:00"/>
    <x v="49"/>
    <n v="12"/>
    <x v="11"/>
    <s v="P026"/>
    <x v="1"/>
    <n v="5"/>
    <n v="494"/>
    <n v="5"/>
    <x v="1"/>
    <n v="250"/>
    <n v="2470"/>
    <n v="1250"/>
    <n v="1220"/>
    <n v="0.49392712550607298"/>
    <n v="0"/>
    <n v="0"/>
    <n v="5"/>
    <n v="2470"/>
  </r>
  <r>
    <s v="S1379"/>
    <d v="2024-12-15T00:00:00"/>
    <x v="49"/>
    <n v="12"/>
    <x v="11"/>
    <s v="P025"/>
    <x v="1"/>
    <n v="3"/>
    <n v="940"/>
    <n v="0"/>
    <x v="19"/>
    <n v="450"/>
    <n v="2820"/>
    <n v="1350"/>
    <n v="1470"/>
    <n v="0.52127659574468099"/>
    <n v="0"/>
    <n v="0"/>
    <n v="3"/>
    <n v="2820"/>
  </r>
  <r>
    <s v="S1391"/>
    <d v="2024-12-15T00:00:00"/>
    <x v="49"/>
    <n v="12"/>
    <x v="11"/>
    <s v="P018"/>
    <x v="4"/>
    <n v="1"/>
    <n v="380"/>
    <n v="0"/>
    <x v="16"/>
    <n v="150"/>
    <n v="380"/>
    <n v="150"/>
    <n v="230"/>
    <n v="0.60526315789473695"/>
    <n v="0"/>
    <n v="0"/>
    <n v="1"/>
    <n v="380"/>
  </r>
  <r>
    <s v="S1369"/>
    <d v="2024-12-16T00:00:00"/>
    <x v="50"/>
    <n v="12"/>
    <x v="11"/>
    <s v="P007"/>
    <x v="3"/>
    <n v="5"/>
    <n v="1020"/>
    <n v="15"/>
    <x v="22"/>
    <n v="600"/>
    <n v="5100"/>
    <n v="3000"/>
    <n v="2100"/>
    <n v="0.41176470588235298"/>
    <n v="0"/>
    <n v="0"/>
    <n v="5"/>
    <n v="5100"/>
  </r>
  <r>
    <s v="S1372"/>
    <d v="2024-12-16T00:00:00"/>
    <x v="50"/>
    <n v="12"/>
    <x v="11"/>
    <s v="P023"/>
    <x v="1"/>
    <n v="3"/>
    <n v="3150"/>
    <n v="0"/>
    <x v="12"/>
    <n v="1500"/>
    <n v="9450"/>
    <n v="4500"/>
    <n v="4950"/>
    <n v="0.52380952380952395"/>
    <n v="3"/>
    <n v="3"/>
    <n v="0"/>
    <n v="0"/>
  </r>
  <r>
    <s v="S1402"/>
    <d v="2024-12-16T00:00:00"/>
    <x v="50"/>
    <n v="12"/>
    <x v="11"/>
    <s v="P017"/>
    <x v="4"/>
    <n v="5"/>
    <n v="450"/>
    <n v="10"/>
    <x v="15"/>
    <n v="200"/>
    <n v="2250"/>
    <n v="1000"/>
    <n v="1250"/>
    <n v="0.55555555555555602"/>
    <n v="0"/>
    <n v="0"/>
    <n v="5"/>
    <n v="2250"/>
  </r>
  <r>
    <s v="S1405"/>
    <d v="2024-12-16T00:00:00"/>
    <x v="50"/>
    <n v="12"/>
    <x v="11"/>
    <s v="P017"/>
    <x v="4"/>
    <n v="5"/>
    <n v="500"/>
    <n v="0"/>
    <x v="15"/>
    <n v="200"/>
    <n v="2500"/>
    <n v="1000"/>
    <n v="1500"/>
    <n v="0.6"/>
    <n v="0"/>
    <n v="0"/>
    <n v="5"/>
    <n v="2500"/>
  </r>
  <r>
    <s v="S1497"/>
    <d v="2024-12-16T00:00:00"/>
    <x v="50"/>
    <n v="12"/>
    <x v="11"/>
    <s v="P014"/>
    <x v="2"/>
    <n v="2"/>
    <n v="900"/>
    <n v="0"/>
    <x v="18"/>
    <n v="500"/>
    <n v="1800"/>
    <n v="1000"/>
    <n v="800"/>
    <n v="0.44444444444444398"/>
    <n v="0"/>
    <n v="0"/>
    <n v="2"/>
    <n v="1800"/>
  </r>
  <r>
    <s v="S1412"/>
    <d v="2024-12-16T00:00:00"/>
    <x v="50"/>
    <n v="12"/>
    <x v="11"/>
    <s v="P024"/>
    <x v="1"/>
    <n v="3"/>
    <n v="1512"/>
    <n v="10"/>
    <x v="20"/>
    <n v="800"/>
    <n v="4536"/>
    <n v="2400"/>
    <n v="2136"/>
    <n v="0.47089947089947098"/>
    <n v="0"/>
    <n v="0"/>
    <n v="3"/>
    <n v="4536"/>
  </r>
  <r>
    <s v="S1451"/>
    <d v="2024-12-17T00:00:00"/>
    <x v="50"/>
    <n v="12"/>
    <x v="11"/>
    <s v="P001"/>
    <x v="0"/>
    <n v="2"/>
    <n v="693"/>
    <n v="10"/>
    <x v="23"/>
    <n v="350"/>
    <n v="1386"/>
    <n v="700"/>
    <n v="686"/>
    <n v="0.49494949494949497"/>
    <n v="0"/>
    <n v="0"/>
    <n v="2"/>
    <n v="1386"/>
  </r>
  <r>
    <s v="S1485"/>
    <d v="2024-12-17T00:00:00"/>
    <x v="50"/>
    <n v="12"/>
    <x v="11"/>
    <s v="P025"/>
    <x v="1"/>
    <n v="1"/>
    <n v="940"/>
    <n v="0"/>
    <x v="19"/>
    <n v="450"/>
    <n v="940"/>
    <n v="450"/>
    <n v="490"/>
    <n v="0.52127659574468099"/>
    <n v="0"/>
    <n v="0"/>
    <n v="1"/>
    <n v="940"/>
  </r>
  <r>
    <s v="S1387"/>
    <d v="2024-12-17T00:00:00"/>
    <x v="50"/>
    <n v="12"/>
    <x v="11"/>
    <s v="P026"/>
    <x v="1"/>
    <n v="4"/>
    <n v="468"/>
    <n v="10"/>
    <x v="1"/>
    <n v="250"/>
    <n v="1872"/>
    <n v="1000"/>
    <n v="872"/>
    <n v="0.46581196581196599"/>
    <n v="0"/>
    <n v="0"/>
    <n v="4"/>
    <n v="1872"/>
  </r>
  <r>
    <s v="S1427"/>
    <d v="2024-12-17T00:00:00"/>
    <x v="50"/>
    <n v="12"/>
    <x v="11"/>
    <s v="P019"/>
    <x v="4"/>
    <n v="2"/>
    <n v="4275"/>
    <n v="5"/>
    <x v="14"/>
    <n v="1800"/>
    <n v="8550"/>
    <n v="3600"/>
    <n v="4950"/>
    <n v="0.57894736842105299"/>
    <n v="0"/>
    <n v="0"/>
    <n v="2"/>
    <n v="8550"/>
  </r>
  <r>
    <s v="S1488"/>
    <d v="2024-12-17T00:00:00"/>
    <x v="50"/>
    <n v="12"/>
    <x v="11"/>
    <s v="P005"/>
    <x v="0"/>
    <n v="4"/>
    <n v="4180"/>
    <n v="5"/>
    <x v="25"/>
    <n v="2000"/>
    <n v="16720"/>
    <n v="8000"/>
    <n v="8720"/>
    <n v="0.52153110047846896"/>
    <n v="0"/>
    <n v="0"/>
    <n v="4"/>
    <n v="16720"/>
  </r>
  <r>
    <s v="S1442"/>
    <d v="2024-12-17T00:00:00"/>
    <x v="50"/>
    <n v="12"/>
    <x v="11"/>
    <s v="P021"/>
    <x v="4"/>
    <n v="2"/>
    <n v="950"/>
    <n v="5"/>
    <x v="6"/>
    <n v="400"/>
    <n v="1900"/>
    <n v="800"/>
    <n v="1100"/>
    <n v="0.57894736842105299"/>
    <n v="0"/>
    <n v="0"/>
    <n v="2"/>
    <n v="1900"/>
  </r>
  <r>
    <s v="S1407"/>
    <d v="2024-12-17T00:00:00"/>
    <x v="50"/>
    <n v="12"/>
    <x v="11"/>
    <s v="P022"/>
    <x v="1"/>
    <n v="2"/>
    <n v="1396.5"/>
    <n v="5"/>
    <x v="11"/>
    <n v="700"/>
    <n v="2793"/>
    <n v="1400"/>
    <n v="1393"/>
    <n v="0.49874686716791999"/>
    <n v="0"/>
    <n v="0"/>
    <n v="2"/>
    <n v="2793"/>
  </r>
  <r>
    <s v="S1438"/>
    <d v="2024-12-17T00:00:00"/>
    <x v="50"/>
    <n v="12"/>
    <x v="11"/>
    <s v="P014"/>
    <x v="2"/>
    <n v="1"/>
    <n v="900"/>
    <n v="0"/>
    <x v="18"/>
    <n v="500"/>
    <n v="900"/>
    <n v="500"/>
    <n v="400"/>
    <n v="0.44444444444444398"/>
    <n v="0"/>
    <n v="0"/>
    <n v="1"/>
    <n v="900"/>
  </r>
  <r>
    <s v="S1437"/>
    <d v="2024-12-17T00:00:00"/>
    <x v="50"/>
    <n v="12"/>
    <x v="11"/>
    <s v="P002"/>
    <x v="0"/>
    <n v="3"/>
    <n v="836"/>
    <n v="5"/>
    <x v="2"/>
    <n v="400"/>
    <n v="2508"/>
    <n v="1200"/>
    <n v="1308"/>
    <n v="0.52153110047846896"/>
    <n v="3"/>
    <n v="3"/>
    <n v="0"/>
    <n v="0"/>
  </r>
  <r>
    <s v="S1452"/>
    <d v="2024-12-18T00:00:00"/>
    <x v="50"/>
    <n v="12"/>
    <x v="11"/>
    <s v="P024"/>
    <x v="1"/>
    <n v="2"/>
    <n v="1596"/>
    <n v="5"/>
    <x v="20"/>
    <n v="800"/>
    <n v="3192"/>
    <n v="1600"/>
    <n v="1592"/>
    <n v="0.49874686716791999"/>
    <n v="0"/>
    <n v="0"/>
    <n v="2"/>
    <n v="3192"/>
  </r>
  <r>
    <s v="S1370"/>
    <d v="2024-12-18T00:00:00"/>
    <x v="50"/>
    <n v="12"/>
    <x v="11"/>
    <s v="P017"/>
    <x v="4"/>
    <n v="2"/>
    <n v="500"/>
    <n v="0"/>
    <x v="15"/>
    <n v="200"/>
    <n v="1000"/>
    <n v="400"/>
    <n v="600"/>
    <n v="0.6"/>
    <n v="0"/>
    <n v="0"/>
    <n v="2"/>
    <n v="1000"/>
  </r>
  <r>
    <s v="S1486"/>
    <d v="2024-12-18T00:00:00"/>
    <x v="50"/>
    <n v="12"/>
    <x v="11"/>
    <s v="P024"/>
    <x v="1"/>
    <n v="5"/>
    <n v="1680"/>
    <n v="0"/>
    <x v="20"/>
    <n v="800"/>
    <n v="8400"/>
    <n v="4000"/>
    <n v="4400"/>
    <n v="0.52380952380952395"/>
    <n v="0"/>
    <n v="0"/>
    <n v="5"/>
    <n v="8400"/>
  </r>
  <r>
    <s v="S1425"/>
    <d v="2024-12-18T00:00:00"/>
    <x v="50"/>
    <n v="12"/>
    <x v="11"/>
    <s v="P026"/>
    <x v="1"/>
    <n v="2"/>
    <n v="520"/>
    <n v="0"/>
    <x v="1"/>
    <n v="250"/>
    <n v="1040"/>
    <n v="500"/>
    <n v="540"/>
    <n v="0.51923076923076905"/>
    <n v="0"/>
    <n v="0"/>
    <n v="2"/>
    <n v="1040"/>
  </r>
  <r>
    <s v="S1434"/>
    <d v="2024-12-18T00:00:00"/>
    <x v="50"/>
    <n v="12"/>
    <x v="11"/>
    <s v="P001"/>
    <x v="0"/>
    <n v="5"/>
    <n v="770"/>
    <n v="0"/>
    <x v="23"/>
    <n v="350"/>
    <n v="3850"/>
    <n v="1750"/>
    <n v="2100"/>
    <n v="0.54545454545454497"/>
    <n v="0"/>
    <n v="0"/>
    <n v="5"/>
    <n v="3850"/>
  </r>
  <r>
    <s v="S1450"/>
    <d v="2024-12-19T00:00:00"/>
    <x v="50"/>
    <n v="12"/>
    <x v="11"/>
    <s v="P023"/>
    <x v="1"/>
    <n v="1"/>
    <n v="3150"/>
    <n v="0"/>
    <x v="12"/>
    <n v="1500"/>
    <n v="3150"/>
    <n v="1500"/>
    <n v="1650"/>
    <n v="0.52380952380952395"/>
    <n v="0"/>
    <n v="0"/>
    <n v="1"/>
    <n v="3150"/>
  </r>
  <r>
    <s v="S1356"/>
    <d v="2024-12-19T00:00:00"/>
    <x v="50"/>
    <n v="12"/>
    <x v="11"/>
    <s v="P026"/>
    <x v="1"/>
    <n v="5"/>
    <n v="468"/>
    <n v="10"/>
    <x v="1"/>
    <n v="250"/>
    <n v="2340"/>
    <n v="1250"/>
    <n v="1090"/>
    <n v="0.46581196581196599"/>
    <n v="0"/>
    <n v="0"/>
    <n v="5"/>
    <n v="2340"/>
  </r>
  <r>
    <s v="S1473"/>
    <d v="2024-12-19T00:00:00"/>
    <x v="50"/>
    <n v="12"/>
    <x v="11"/>
    <s v="P004"/>
    <x v="0"/>
    <n v="3"/>
    <n v="2244"/>
    <n v="15"/>
    <x v="5"/>
    <n v="1200"/>
    <n v="6732"/>
    <n v="3600"/>
    <n v="3132"/>
    <n v="0.46524064171122997"/>
    <n v="0"/>
    <n v="0"/>
    <n v="3"/>
    <n v="6732"/>
  </r>
  <r>
    <s v="S1465"/>
    <d v="2024-12-19T00:00:00"/>
    <x v="50"/>
    <n v="12"/>
    <x v="11"/>
    <s v="P022"/>
    <x v="1"/>
    <n v="2"/>
    <n v="1470"/>
    <n v="0"/>
    <x v="11"/>
    <n v="700"/>
    <n v="2940"/>
    <n v="1400"/>
    <n v="1540"/>
    <n v="0.52380952380952395"/>
    <n v="0"/>
    <n v="0"/>
    <n v="2"/>
    <n v="2940"/>
  </r>
  <r>
    <s v="S1467"/>
    <d v="2024-12-19T00:00:00"/>
    <x v="50"/>
    <n v="12"/>
    <x v="11"/>
    <s v="P021"/>
    <x v="4"/>
    <n v="2"/>
    <n v="950"/>
    <n v="5"/>
    <x v="6"/>
    <n v="400"/>
    <n v="1900"/>
    <n v="800"/>
    <n v="1100"/>
    <n v="0.57894736842105299"/>
    <n v="0"/>
    <n v="0"/>
    <n v="2"/>
    <n v="1900"/>
  </r>
  <r>
    <s v="S1423"/>
    <d v="2024-12-19T00:00:00"/>
    <x v="50"/>
    <n v="12"/>
    <x v="11"/>
    <s v="P013"/>
    <x v="2"/>
    <n v="3"/>
    <n v="1782"/>
    <n v="10"/>
    <x v="21"/>
    <n v="1100"/>
    <n v="5346"/>
    <n v="3300"/>
    <n v="2046"/>
    <n v="0.38271604938271597"/>
    <n v="0"/>
    <n v="0"/>
    <n v="3"/>
    <n v="5346"/>
  </r>
  <r>
    <s v="S1462"/>
    <d v="2024-12-20T00:00:00"/>
    <x v="50"/>
    <n v="12"/>
    <x v="11"/>
    <s v="P016"/>
    <x v="2"/>
    <n v="1"/>
    <n v="2223"/>
    <n v="5"/>
    <x v="13"/>
    <n v="1300"/>
    <n v="2223"/>
    <n v="1300"/>
    <n v="923"/>
    <n v="0.41520467836257302"/>
    <n v="0"/>
    <n v="0"/>
    <n v="1"/>
    <n v="2223"/>
  </r>
  <r>
    <s v="S1353"/>
    <d v="2024-12-20T00:00:00"/>
    <x v="50"/>
    <n v="12"/>
    <x v="11"/>
    <s v="P026"/>
    <x v="1"/>
    <n v="5"/>
    <n v="468"/>
    <n v="10"/>
    <x v="1"/>
    <n v="250"/>
    <n v="2340"/>
    <n v="1250"/>
    <n v="1090"/>
    <n v="0.46581196581196599"/>
    <n v="0"/>
    <n v="0"/>
    <n v="5"/>
    <n v="2340"/>
  </r>
  <r>
    <s v="S1470"/>
    <d v="2024-12-20T00:00:00"/>
    <x v="50"/>
    <n v="12"/>
    <x v="11"/>
    <s v="P007"/>
    <x v="3"/>
    <n v="4"/>
    <n v="1140"/>
    <n v="5"/>
    <x v="22"/>
    <n v="600"/>
    <n v="4560"/>
    <n v="2400"/>
    <n v="2160"/>
    <n v="0.47368421052631599"/>
    <n v="0"/>
    <n v="0"/>
    <n v="4"/>
    <n v="4560"/>
  </r>
  <r>
    <s v="S1461"/>
    <d v="2024-12-21T00:00:00"/>
    <x v="50"/>
    <n v="12"/>
    <x v="11"/>
    <s v="P025"/>
    <x v="1"/>
    <n v="3"/>
    <n v="940"/>
    <n v="0"/>
    <x v="19"/>
    <n v="450"/>
    <n v="2820"/>
    <n v="1350"/>
    <n v="1470"/>
    <n v="0.52127659574468099"/>
    <n v="0"/>
    <n v="0"/>
    <n v="3"/>
    <n v="2820"/>
  </r>
  <r>
    <s v="S1469"/>
    <d v="2024-12-21T00:00:00"/>
    <x v="50"/>
    <n v="12"/>
    <x v="11"/>
    <s v="P022"/>
    <x v="1"/>
    <n v="5"/>
    <n v="1249.5"/>
    <n v="15"/>
    <x v="11"/>
    <n v="700"/>
    <n v="6247.5"/>
    <n v="3500"/>
    <n v="2747.5"/>
    <n v="0.43977591036414598"/>
    <n v="0"/>
    <n v="0"/>
    <n v="5"/>
    <n v="6247.5"/>
  </r>
  <r>
    <s v="S1352"/>
    <d v="2024-12-21T00:00:00"/>
    <x v="50"/>
    <n v="12"/>
    <x v="11"/>
    <s v="P024"/>
    <x v="1"/>
    <n v="5"/>
    <n v="1680"/>
    <n v="0"/>
    <x v="20"/>
    <n v="800"/>
    <n v="8400"/>
    <n v="4000"/>
    <n v="4400"/>
    <n v="0.52380952380952395"/>
    <n v="0"/>
    <n v="0"/>
    <n v="5"/>
    <n v="8400"/>
  </r>
  <r>
    <s v="S1350"/>
    <d v="2024-12-21T00:00:00"/>
    <x v="50"/>
    <n v="12"/>
    <x v="11"/>
    <s v="P006"/>
    <x v="0"/>
    <n v="5"/>
    <n v="432"/>
    <n v="10"/>
    <x v="0"/>
    <n v="220"/>
    <n v="2160"/>
    <n v="1100"/>
    <n v="1060"/>
    <n v="0.49074074074074098"/>
    <n v="0"/>
    <n v="0"/>
    <n v="5"/>
    <n v="2160"/>
  </r>
  <r>
    <s v="S1355"/>
    <d v="2024-12-21T00:00:00"/>
    <x v="50"/>
    <n v="12"/>
    <x v="11"/>
    <s v="P029"/>
    <x v="5"/>
    <n v="1"/>
    <n v="400"/>
    <n v="0"/>
    <x v="27"/>
    <n v="200"/>
    <n v="400"/>
    <n v="200"/>
    <n v="200"/>
    <n v="0.5"/>
    <n v="0"/>
    <n v="0"/>
    <n v="1"/>
    <n v="400"/>
  </r>
  <r>
    <s v="S1371"/>
    <d v="2024-12-21T00:00:00"/>
    <x v="50"/>
    <n v="12"/>
    <x v="11"/>
    <s v="P018"/>
    <x v="4"/>
    <n v="3"/>
    <n v="380"/>
    <n v="0"/>
    <x v="16"/>
    <n v="150"/>
    <n v="1140"/>
    <n v="450"/>
    <n v="690"/>
    <n v="0.60526315789473695"/>
    <n v="3"/>
    <n v="3"/>
    <n v="0"/>
    <n v="0"/>
  </r>
  <r>
    <s v="S1368"/>
    <d v="2024-12-21T00:00:00"/>
    <x v="50"/>
    <n v="12"/>
    <x v="11"/>
    <s v="P019"/>
    <x v="4"/>
    <n v="3"/>
    <n v="4500"/>
    <n v="0"/>
    <x v="14"/>
    <n v="1800"/>
    <n v="13500"/>
    <n v="5400"/>
    <n v="8100"/>
    <n v="0.6"/>
    <n v="0"/>
    <n v="0"/>
    <n v="3"/>
    <n v="13500"/>
  </r>
  <r>
    <s v="S1414"/>
    <d v="2024-12-22T00:00:00"/>
    <x v="50"/>
    <n v="12"/>
    <x v="11"/>
    <s v="P024"/>
    <x v="1"/>
    <n v="3"/>
    <n v="1596"/>
    <n v="5"/>
    <x v="20"/>
    <n v="800"/>
    <n v="4788"/>
    <n v="2400"/>
    <n v="2388"/>
    <n v="0.49874686716791999"/>
    <n v="0"/>
    <n v="0"/>
    <n v="3"/>
    <n v="4788"/>
  </r>
  <r>
    <s v="S1358"/>
    <d v="2024-12-22T00:00:00"/>
    <x v="50"/>
    <n v="12"/>
    <x v="11"/>
    <s v="P002"/>
    <x v="0"/>
    <n v="4"/>
    <n v="792"/>
    <n v="10"/>
    <x v="2"/>
    <n v="400"/>
    <n v="3168"/>
    <n v="1600"/>
    <n v="1568"/>
    <n v="0.49494949494949497"/>
    <n v="0"/>
    <n v="0"/>
    <n v="4"/>
    <n v="3168"/>
  </r>
  <r>
    <s v="S1457"/>
    <d v="2024-12-22T00:00:00"/>
    <x v="50"/>
    <n v="12"/>
    <x v="11"/>
    <s v="P026"/>
    <x v="1"/>
    <n v="1"/>
    <n v="520"/>
    <n v="0"/>
    <x v="1"/>
    <n v="250"/>
    <n v="520"/>
    <n v="250"/>
    <n v="270"/>
    <n v="0.51923076923076905"/>
    <n v="0"/>
    <n v="0"/>
    <n v="1"/>
    <n v="520"/>
  </r>
  <r>
    <s v="S1494"/>
    <d v="2024-12-22T00:00:00"/>
    <x v="50"/>
    <n v="12"/>
    <x v="11"/>
    <s v="P003"/>
    <x v="0"/>
    <n v="2"/>
    <n v="340"/>
    <n v="15"/>
    <x v="17"/>
    <n v="180"/>
    <n v="680"/>
    <n v="360"/>
    <n v="320"/>
    <n v="0.47058823529411797"/>
    <n v="0"/>
    <n v="0"/>
    <n v="2"/>
    <n v="680"/>
  </r>
  <r>
    <s v="S1430"/>
    <d v="2024-12-22T00:00:00"/>
    <x v="50"/>
    <n v="12"/>
    <x v="11"/>
    <s v="P006"/>
    <x v="0"/>
    <n v="2"/>
    <n v="432"/>
    <n v="10"/>
    <x v="0"/>
    <n v="220"/>
    <n v="864"/>
    <n v="440"/>
    <n v="424"/>
    <n v="0.49074074074074098"/>
    <n v="0"/>
    <n v="0"/>
    <n v="2"/>
    <n v="864"/>
  </r>
  <r>
    <s v="S1487"/>
    <d v="2024-12-22T00:00:00"/>
    <x v="50"/>
    <n v="12"/>
    <x v="11"/>
    <s v="P002"/>
    <x v="0"/>
    <n v="1"/>
    <n v="836"/>
    <n v="5"/>
    <x v="2"/>
    <n v="400"/>
    <n v="836"/>
    <n v="400"/>
    <n v="436"/>
    <n v="0.52153110047846896"/>
    <n v="0"/>
    <n v="0"/>
    <n v="1"/>
    <n v="836"/>
  </r>
  <r>
    <s v="S1376"/>
    <d v="2024-12-23T00:00:00"/>
    <x v="51"/>
    <n v="12"/>
    <x v="11"/>
    <s v="P006"/>
    <x v="0"/>
    <n v="5"/>
    <n v="480"/>
    <n v="0"/>
    <x v="0"/>
    <n v="220"/>
    <n v="2400"/>
    <n v="1100"/>
    <n v="1300"/>
    <n v="0.54166666666666696"/>
    <n v="0"/>
    <n v="0"/>
    <n v="5"/>
    <n v="2400"/>
  </r>
  <r>
    <s v="S1453"/>
    <d v="2024-12-23T00:00:00"/>
    <x v="51"/>
    <n v="12"/>
    <x v="11"/>
    <s v="P011"/>
    <x v="3"/>
    <n v="1"/>
    <n v="1260"/>
    <n v="10"/>
    <x v="9"/>
    <n v="700"/>
    <n v="1260"/>
    <n v="700"/>
    <n v="560"/>
    <n v="0.44444444444444398"/>
    <n v="0"/>
    <n v="0"/>
    <n v="1"/>
    <n v="1260"/>
  </r>
  <r>
    <s v="S1478"/>
    <d v="2024-12-23T00:00:00"/>
    <x v="51"/>
    <n v="12"/>
    <x v="11"/>
    <s v="P017"/>
    <x v="4"/>
    <n v="2"/>
    <n v="500"/>
    <n v="0"/>
    <x v="15"/>
    <n v="200"/>
    <n v="1000"/>
    <n v="400"/>
    <n v="600"/>
    <n v="0.6"/>
    <n v="0"/>
    <n v="0"/>
    <n v="2"/>
    <n v="1000"/>
  </r>
  <r>
    <s v="S1484"/>
    <d v="2024-12-23T00:00:00"/>
    <x v="51"/>
    <n v="12"/>
    <x v="11"/>
    <s v="P008"/>
    <x v="3"/>
    <n v="1"/>
    <n v="1000"/>
    <n v="0"/>
    <x v="10"/>
    <n v="500"/>
    <n v="1000"/>
    <n v="500"/>
    <n v="500"/>
    <n v="0.5"/>
    <n v="0"/>
    <n v="0"/>
    <n v="1"/>
    <n v="1000"/>
  </r>
  <r>
    <s v="S1359"/>
    <d v="2024-12-24T00:00:00"/>
    <x v="51"/>
    <n v="12"/>
    <x v="11"/>
    <s v="P026"/>
    <x v="1"/>
    <n v="1"/>
    <n v="468"/>
    <n v="10"/>
    <x v="1"/>
    <n v="250"/>
    <n v="468"/>
    <n v="250"/>
    <n v="218"/>
    <n v="0.46581196581196599"/>
    <n v="0"/>
    <n v="0"/>
    <n v="1"/>
    <n v="468"/>
  </r>
  <r>
    <s v="S1466"/>
    <d v="2024-12-24T00:00:00"/>
    <x v="51"/>
    <n v="12"/>
    <x v="11"/>
    <s v="P020"/>
    <x v="4"/>
    <n v="4"/>
    <n v="1500"/>
    <n v="0"/>
    <x v="8"/>
    <n v="600"/>
    <n v="6000"/>
    <n v="2400"/>
    <n v="3600"/>
    <n v="0.6"/>
    <n v="0"/>
    <n v="0"/>
    <n v="4"/>
    <n v="6000"/>
  </r>
  <r>
    <s v="S1483"/>
    <d v="2024-12-24T00:00:00"/>
    <x v="51"/>
    <n v="12"/>
    <x v="11"/>
    <s v="P016"/>
    <x v="2"/>
    <n v="2"/>
    <n v="2340"/>
    <n v="0"/>
    <x v="13"/>
    <n v="1300"/>
    <n v="4680"/>
    <n v="2600"/>
    <n v="2080"/>
    <n v="0.44444444444444398"/>
    <n v="0"/>
    <n v="0"/>
    <n v="2"/>
    <n v="4680"/>
  </r>
  <r>
    <s v="S1400"/>
    <d v="2024-12-24T00:00:00"/>
    <x v="51"/>
    <n v="12"/>
    <x v="11"/>
    <s v="P011"/>
    <x v="3"/>
    <n v="3"/>
    <n v="1400"/>
    <n v="0"/>
    <x v="9"/>
    <n v="700"/>
    <n v="4200"/>
    <n v="2100"/>
    <n v="2100"/>
    <n v="0.5"/>
    <n v="0"/>
    <n v="0"/>
    <n v="3"/>
    <n v="4200"/>
  </r>
  <r>
    <s v="S1449"/>
    <d v="2024-12-24T00:00:00"/>
    <x v="51"/>
    <n v="12"/>
    <x v="11"/>
    <s v="P023"/>
    <x v="1"/>
    <n v="1"/>
    <n v="3150"/>
    <n v="0"/>
    <x v="12"/>
    <n v="1500"/>
    <n v="3150"/>
    <n v="1500"/>
    <n v="1650"/>
    <n v="0.52380952380952395"/>
    <n v="0"/>
    <n v="0"/>
    <n v="1"/>
    <n v="3150"/>
  </r>
  <r>
    <s v="S1419"/>
    <d v="2024-12-24T00:00:00"/>
    <x v="51"/>
    <n v="12"/>
    <x v="11"/>
    <s v="P023"/>
    <x v="1"/>
    <n v="4"/>
    <n v="3150"/>
    <n v="0"/>
    <x v="12"/>
    <n v="1500"/>
    <n v="12600"/>
    <n v="6000"/>
    <n v="6600"/>
    <n v="0.52380952380952395"/>
    <n v="0"/>
    <n v="0"/>
    <n v="4"/>
    <n v="12600"/>
  </r>
  <r>
    <s v="S1480"/>
    <d v="2024-12-25T00:00:00"/>
    <x v="51"/>
    <n v="12"/>
    <x v="11"/>
    <s v="P014"/>
    <x v="2"/>
    <n v="4"/>
    <n v="810"/>
    <n v="10"/>
    <x v="18"/>
    <n v="500"/>
    <n v="3240"/>
    <n v="2000"/>
    <n v="1240"/>
    <n v="0.38271604938271597"/>
    <n v="3"/>
    <n v="3"/>
    <n v="1"/>
    <n v="810"/>
  </r>
  <r>
    <s v="S1493"/>
    <d v="2024-12-25T00:00:00"/>
    <x v="51"/>
    <n v="12"/>
    <x v="11"/>
    <s v="P002"/>
    <x v="0"/>
    <n v="5"/>
    <n v="748"/>
    <n v="15"/>
    <x v="2"/>
    <n v="400"/>
    <n v="3740"/>
    <n v="2000"/>
    <n v="1740"/>
    <n v="0.46524064171122997"/>
    <n v="0"/>
    <n v="0"/>
    <n v="5"/>
    <n v="3740"/>
  </r>
  <r>
    <s v="S1364"/>
    <d v="2024-12-25T00:00:00"/>
    <x v="51"/>
    <n v="12"/>
    <x v="11"/>
    <s v="P010"/>
    <x v="3"/>
    <n v="3"/>
    <n v="450"/>
    <n v="10"/>
    <x v="4"/>
    <n v="250"/>
    <n v="1350"/>
    <n v="750"/>
    <n v="600"/>
    <n v="0.44444444444444398"/>
    <n v="0"/>
    <n v="0"/>
    <n v="3"/>
    <n v="1350"/>
  </r>
  <r>
    <s v="S1386"/>
    <d v="2024-12-25T00:00:00"/>
    <x v="51"/>
    <n v="12"/>
    <x v="11"/>
    <s v="P026"/>
    <x v="1"/>
    <n v="2"/>
    <n v="520"/>
    <n v="0"/>
    <x v="1"/>
    <n v="250"/>
    <n v="1040"/>
    <n v="500"/>
    <n v="540"/>
    <n v="0.51923076923076905"/>
    <n v="0"/>
    <n v="0"/>
    <n v="2"/>
    <n v="1040"/>
  </r>
  <r>
    <s v="S1435"/>
    <d v="2024-12-25T00:00:00"/>
    <x v="51"/>
    <n v="12"/>
    <x v="11"/>
    <s v="P024"/>
    <x v="1"/>
    <n v="1"/>
    <n v="1680"/>
    <n v="0"/>
    <x v="20"/>
    <n v="800"/>
    <n v="1680"/>
    <n v="800"/>
    <n v="880"/>
    <n v="0.52380952380952395"/>
    <n v="0"/>
    <n v="0"/>
    <n v="1"/>
    <n v="1680"/>
  </r>
  <r>
    <s v="S1428"/>
    <d v="2024-12-25T00:00:00"/>
    <x v="51"/>
    <n v="12"/>
    <x v="11"/>
    <s v="P003"/>
    <x v="0"/>
    <n v="2"/>
    <n v="360"/>
    <n v="10"/>
    <x v="17"/>
    <n v="180"/>
    <n v="720"/>
    <n v="360"/>
    <n v="360"/>
    <n v="0.5"/>
    <n v="0"/>
    <n v="0"/>
    <n v="2"/>
    <n v="720"/>
  </r>
  <r>
    <s v="S1420"/>
    <d v="2024-12-25T00:00:00"/>
    <x v="51"/>
    <n v="12"/>
    <x v="11"/>
    <s v="P022"/>
    <x v="1"/>
    <n v="1"/>
    <n v="1396.5"/>
    <n v="5"/>
    <x v="11"/>
    <n v="700"/>
    <n v="1396.5"/>
    <n v="700"/>
    <n v="696.5"/>
    <n v="0.49874686716791999"/>
    <n v="0"/>
    <n v="0"/>
    <n v="1"/>
    <n v="1396.5"/>
  </r>
  <r>
    <s v="S1373"/>
    <d v="2024-12-26T00:00:00"/>
    <x v="51"/>
    <n v="12"/>
    <x v="11"/>
    <s v="P025"/>
    <x v="1"/>
    <n v="1"/>
    <n v="799"/>
    <n v="15"/>
    <x v="19"/>
    <n v="450"/>
    <n v="799"/>
    <n v="450"/>
    <n v="349"/>
    <n v="0.436795994993742"/>
    <n v="0"/>
    <n v="0"/>
    <n v="1"/>
    <n v="799"/>
  </r>
  <r>
    <s v="S1495"/>
    <d v="2024-12-26T00:00:00"/>
    <x v="51"/>
    <n v="12"/>
    <x v="11"/>
    <s v="P019"/>
    <x v="4"/>
    <n v="5"/>
    <n v="3825"/>
    <n v="15"/>
    <x v="14"/>
    <n v="1800"/>
    <n v="19125"/>
    <n v="9000"/>
    <n v="10125"/>
    <n v="0.52941176470588203"/>
    <n v="0"/>
    <n v="0"/>
    <n v="5"/>
    <n v="19125"/>
  </r>
  <r>
    <s v="S1464"/>
    <d v="2024-12-26T00:00:00"/>
    <x v="51"/>
    <n v="12"/>
    <x v="11"/>
    <s v="P022"/>
    <x v="1"/>
    <n v="1"/>
    <n v="1323"/>
    <n v="10"/>
    <x v="11"/>
    <n v="700"/>
    <n v="1323"/>
    <n v="700"/>
    <n v="623"/>
    <n v="0.47089947089947098"/>
    <n v="0"/>
    <n v="0"/>
    <n v="1"/>
    <n v="1323"/>
  </r>
  <r>
    <s v="S1455"/>
    <d v="2024-12-27T00:00:00"/>
    <x v="51"/>
    <n v="12"/>
    <x v="11"/>
    <s v="P017"/>
    <x v="4"/>
    <n v="5"/>
    <n v="500"/>
    <n v="0"/>
    <x v="15"/>
    <n v="200"/>
    <n v="2500"/>
    <n v="1000"/>
    <n v="1500"/>
    <n v="0.6"/>
    <n v="0"/>
    <n v="0"/>
    <n v="5"/>
    <n v="2500"/>
  </r>
  <r>
    <s v="S1398"/>
    <d v="2024-12-27T00:00:00"/>
    <x v="51"/>
    <n v="12"/>
    <x v="11"/>
    <s v="P003"/>
    <x v="0"/>
    <n v="5"/>
    <n v="400"/>
    <n v="0"/>
    <x v="17"/>
    <n v="180"/>
    <n v="2000"/>
    <n v="900"/>
    <n v="1100"/>
    <n v="0.55000000000000004"/>
    <n v="0"/>
    <n v="0"/>
    <n v="5"/>
    <n v="2000"/>
  </r>
  <r>
    <s v="S1460"/>
    <d v="2024-12-28T00:00:00"/>
    <x v="51"/>
    <n v="12"/>
    <x v="11"/>
    <s v="P012"/>
    <x v="2"/>
    <n v="4"/>
    <n v="1377"/>
    <n v="15"/>
    <x v="3"/>
    <n v="900"/>
    <n v="5508"/>
    <n v="3600"/>
    <n v="1908"/>
    <n v="0.34640522875816998"/>
    <n v="0"/>
    <n v="0"/>
    <n v="4"/>
    <n v="5508"/>
  </r>
  <r>
    <s v="S1395"/>
    <d v="2024-12-28T00:00:00"/>
    <x v="51"/>
    <n v="12"/>
    <x v="11"/>
    <s v="P020"/>
    <x v="4"/>
    <n v="4"/>
    <n v="1350"/>
    <n v="10"/>
    <x v="8"/>
    <n v="600"/>
    <n v="5400"/>
    <n v="2400"/>
    <n v="3000"/>
    <n v="0.55555555555555602"/>
    <n v="0"/>
    <n v="0"/>
    <n v="4"/>
    <n v="5400"/>
  </r>
  <r>
    <s v="S1384"/>
    <d v="2024-12-28T00:00:00"/>
    <x v="51"/>
    <n v="12"/>
    <x v="11"/>
    <s v="P017"/>
    <x v="4"/>
    <n v="2"/>
    <n v="500"/>
    <n v="0"/>
    <x v="15"/>
    <n v="200"/>
    <n v="1000"/>
    <n v="400"/>
    <n v="600"/>
    <n v="0.6"/>
    <n v="0"/>
    <n v="0"/>
    <n v="2"/>
    <n v="1000"/>
  </r>
  <r>
    <s v="S1382"/>
    <d v="2024-12-28T00:00:00"/>
    <x v="51"/>
    <n v="12"/>
    <x v="11"/>
    <s v="P019"/>
    <x v="4"/>
    <n v="5"/>
    <n v="3825"/>
    <n v="15"/>
    <x v="14"/>
    <n v="1800"/>
    <n v="19125"/>
    <n v="9000"/>
    <n v="10125"/>
    <n v="0.52941176470588203"/>
    <n v="0"/>
    <n v="0"/>
    <n v="5"/>
    <n v="19125"/>
  </r>
  <r>
    <s v="S1348"/>
    <d v="2024-12-28T00:00:00"/>
    <x v="51"/>
    <n v="12"/>
    <x v="11"/>
    <s v="P015"/>
    <x v="2"/>
    <n v="2"/>
    <n v="630"/>
    <n v="0"/>
    <x v="24"/>
    <n v="350"/>
    <n v="1260"/>
    <n v="700"/>
    <n v="560"/>
    <n v="0.44444444444444398"/>
    <n v="0"/>
    <n v="0"/>
    <n v="2"/>
    <n v="1260"/>
  </r>
  <r>
    <s v="S1482"/>
    <d v="2024-12-28T00:00:00"/>
    <x v="51"/>
    <n v="12"/>
    <x v="11"/>
    <s v="P016"/>
    <x v="2"/>
    <n v="5"/>
    <n v="1989"/>
    <n v="15"/>
    <x v="13"/>
    <n v="1300"/>
    <n v="9945"/>
    <n v="6500"/>
    <n v="3445"/>
    <n v="0.34640522875816998"/>
    <n v="0"/>
    <n v="0"/>
    <n v="5"/>
    <n v="9945"/>
  </r>
  <r>
    <s v="S1404"/>
    <d v="2024-12-29T00:00:00"/>
    <x v="51"/>
    <n v="12"/>
    <x v="11"/>
    <s v="P026"/>
    <x v="1"/>
    <n v="2"/>
    <n v="520"/>
    <n v="0"/>
    <x v="1"/>
    <n v="250"/>
    <n v="1040"/>
    <n v="500"/>
    <n v="540"/>
    <n v="0.51923076923076905"/>
    <n v="0"/>
    <n v="0"/>
    <n v="2"/>
    <n v="1040"/>
  </r>
  <r>
    <s v="S1444"/>
    <d v="2024-12-29T00:00:00"/>
    <x v="51"/>
    <n v="12"/>
    <x v="11"/>
    <s v="P009"/>
    <x v="3"/>
    <n v="5"/>
    <n v="540"/>
    <n v="10"/>
    <x v="7"/>
    <n v="300"/>
    <n v="2700"/>
    <n v="1500"/>
    <n v="1200"/>
    <n v="0.44444444444444398"/>
    <n v="0"/>
    <n v="0"/>
    <n v="5"/>
    <n v="2700"/>
  </r>
  <r>
    <s v="S1413"/>
    <d v="2024-12-29T00:00:00"/>
    <x v="51"/>
    <n v="12"/>
    <x v="11"/>
    <s v="P030"/>
    <x v="5"/>
    <n v="2"/>
    <n v="595"/>
    <n v="15"/>
    <x v="29"/>
    <n v="350"/>
    <n v="1190"/>
    <n v="700"/>
    <n v="490"/>
    <n v="0.41176470588235298"/>
    <n v="0"/>
    <n v="0"/>
    <n v="2"/>
    <n v="1190"/>
  </r>
  <r>
    <s v="S1418"/>
    <d v="2024-12-29T00:00:00"/>
    <x v="51"/>
    <n v="12"/>
    <x v="11"/>
    <s v="P024"/>
    <x v="1"/>
    <n v="1"/>
    <n v="1680"/>
    <n v="0"/>
    <x v="20"/>
    <n v="800"/>
    <n v="1680"/>
    <n v="800"/>
    <n v="880"/>
    <n v="0.52380952380952395"/>
    <n v="0"/>
    <n v="0"/>
    <n v="1"/>
    <n v="1680"/>
  </r>
  <r>
    <s v="S1399"/>
    <d v="2024-12-30T00:00:00"/>
    <x v="0"/>
    <n v="12"/>
    <x v="11"/>
    <s v="P016"/>
    <x v="2"/>
    <n v="1"/>
    <n v="2106"/>
    <n v="10"/>
    <x v="13"/>
    <n v="1300"/>
    <n v="2106"/>
    <n v="1300"/>
    <n v="806"/>
    <n v="0.38271604938271597"/>
    <n v="0"/>
    <n v="0"/>
    <n v="1"/>
    <n v="2106"/>
  </r>
  <r>
    <s v="S1481"/>
    <d v="2024-12-30T00:00:00"/>
    <x v="0"/>
    <n v="12"/>
    <x v="11"/>
    <s v="P025"/>
    <x v="1"/>
    <n v="5"/>
    <n v="893"/>
    <n v="5"/>
    <x v="19"/>
    <n v="450"/>
    <n v="4465"/>
    <n v="2250"/>
    <n v="2215"/>
    <n v="0.496080627099664"/>
    <n v="0"/>
    <n v="0"/>
    <n v="5"/>
    <n v="4465"/>
  </r>
  <r>
    <s v="S1446"/>
    <d v="2024-12-30T00:00:00"/>
    <x v="0"/>
    <n v="12"/>
    <x v="11"/>
    <s v="P006"/>
    <x v="0"/>
    <n v="2"/>
    <n v="432"/>
    <n v="10"/>
    <x v="0"/>
    <n v="220"/>
    <n v="864"/>
    <n v="440"/>
    <n v="424"/>
    <n v="0.49074074074074098"/>
    <n v="0"/>
    <n v="0"/>
    <n v="2"/>
    <n v="864"/>
  </r>
  <r>
    <s v="S1498"/>
    <d v="2024-12-31T00:00:00"/>
    <x v="0"/>
    <n v="12"/>
    <x v="11"/>
    <s v="P001"/>
    <x v="0"/>
    <n v="4"/>
    <n v="770"/>
    <n v="0"/>
    <x v="23"/>
    <n v="350"/>
    <n v="3080"/>
    <n v="1400"/>
    <n v="1680"/>
    <n v="0.54545454545454497"/>
    <n v="0"/>
    <n v="0"/>
    <n v="4"/>
    <n v="3080"/>
  </r>
  <r>
    <s v="S1408"/>
    <d v="2024-12-31T00:00:00"/>
    <x v="0"/>
    <n v="12"/>
    <x v="11"/>
    <s v="P021"/>
    <x v="4"/>
    <n v="5"/>
    <n v="1000"/>
    <n v="0"/>
    <x v="6"/>
    <n v="400"/>
    <n v="5000"/>
    <n v="2000"/>
    <n v="3000"/>
    <n v="0.6"/>
    <n v="0"/>
    <n v="0"/>
    <n v="5"/>
    <n v="5000"/>
  </r>
  <r>
    <s v="S1363"/>
    <d v="2024-12-31T00:00:00"/>
    <x v="0"/>
    <n v="12"/>
    <x v="11"/>
    <s v="P013"/>
    <x v="2"/>
    <n v="2"/>
    <n v="1683"/>
    <n v="15"/>
    <x v="21"/>
    <n v="1100"/>
    <n v="3366"/>
    <n v="2200"/>
    <n v="1166"/>
    <n v="0.34640522875816998"/>
    <n v="0"/>
    <n v="0"/>
    <n v="2"/>
    <n v="3366"/>
  </r>
  <r>
    <s v="S1394"/>
    <d v="2024-12-31T00:00:00"/>
    <x v="0"/>
    <n v="12"/>
    <x v="11"/>
    <s v="P015"/>
    <x v="2"/>
    <n v="3"/>
    <n v="598.5"/>
    <n v="5"/>
    <x v="24"/>
    <n v="350"/>
    <n v="1795.5"/>
    <n v="1050"/>
    <n v="745.5"/>
    <n v="0.41520467836257302"/>
    <n v="0"/>
    <n v="0"/>
    <n v="3"/>
    <n v="1795.5"/>
  </r>
  <r>
    <s v="S1397"/>
    <d v="2024-12-31T00:00:00"/>
    <x v="0"/>
    <n v="12"/>
    <x v="11"/>
    <s v="P008"/>
    <x v="3"/>
    <n v="1"/>
    <n v="1000"/>
    <n v="0"/>
    <x v="10"/>
    <n v="500"/>
    <n v="1000"/>
    <n v="500"/>
    <n v="500"/>
    <n v="0.5"/>
    <n v="0"/>
    <n v="0"/>
    <n v="1"/>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569BAD-5FF0-4651-BDC8-C956AD4A5C8D}" name="PT1 - Monthly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15" firstHeaderRow="1" firstDataRow="1" firstDataCol="1"/>
  <pivotFields count="22">
    <pivotField showAll="0"/>
    <pivotField numFmtId="14" showAll="0"/>
    <pivotField showAll="0"/>
    <pivotField showAll="0"/>
    <pivotField axis="axisRow" showAll="0">
      <items count="13">
        <item x="0"/>
        <item x="1"/>
        <item x="2"/>
        <item x="3"/>
        <item x="4"/>
        <item x="5"/>
        <item x="6"/>
        <item x="7"/>
        <item x="8"/>
        <item x="9"/>
        <item x="10"/>
        <item x="11"/>
        <item t="default"/>
      </items>
    </pivotField>
    <pivotField showAll="0"/>
    <pivotField showAll="0">
      <items count="7">
        <item x="4"/>
        <item x="3"/>
        <item x="2"/>
        <item x="5"/>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4"/>
  </rowFields>
  <rowItems count="13">
    <i>
      <x/>
    </i>
    <i>
      <x v="1"/>
    </i>
    <i>
      <x v="2"/>
    </i>
    <i>
      <x v="3"/>
    </i>
    <i>
      <x v="4"/>
    </i>
    <i>
      <x v="5"/>
    </i>
    <i>
      <x v="6"/>
    </i>
    <i>
      <x v="7"/>
    </i>
    <i>
      <x v="8"/>
    </i>
    <i>
      <x v="9"/>
    </i>
    <i>
      <x v="10"/>
    </i>
    <i>
      <x v="11"/>
    </i>
    <i t="grand">
      <x/>
    </i>
  </rowItems>
  <colItems count="1">
    <i/>
  </colItems>
  <dataFields count="1">
    <dataField name="Total Revenue" fld="19" baseField="4"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28BEB3-E7CE-4CA4-8646-B9D425631FF6}" name="PT6 — Category x Month 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1:H155" firstHeaderRow="1" firstDataRow="2" firstDataCol="1"/>
  <pivotFields count="22">
    <pivotField showAll="0"/>
    <pivotField numFmtId="14" showAll="0"/>
    <pivotField showAll="0"/>
    <pivotField showAll="0"/>
    <pivotField axis="axisRow" showAll="0">
      <items count="13">
        <item x="0"/>
        <item x="1"/>
        <item x="2"/>
        <item x="3"/>
        <item x="4"/>
        <item x="5"/>
        <item x="6"/>
        <item x="7"/>
        <item x="8"/>
        <item x="9"/>
        <item x="10"/>
        <item x="11"/>
        <item t="default"/>
      </items>
    </pivotField>
    <pivotField showAll="0"/>
    <pivotField axis="axisCol" showAll="0">
      <items count="7">
        <item x="4"/>
        <item x="3"/>
        <item x="2"/>
        <item x="5"/>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4"/>
  </rowFields>
  <rowItems count="13">
    <i>
      <x/>
    </i>
    <i>
      <x v="1"/>
    </i>
    <i>
      <x v="2"/>
    </i>
    <i>
      <x v="3"/>
    </i>
    <i>
      <x v="4"/>
    </i>
    <i>
      <x v="5"/>
    </i>
    <i>
      <x v="6"/>
    </i>
    <i>
      <x v="7"/>
    </i>
    <i>
      <x v="8"/>
    </i>
    <i>
      <x v="9"/>
    </i>
    <i>
      <x v="10"/>
    </i>
    <i>
      <x v="11"/>
    </i>
    <i t="grand">
      <x/>
    </i>
  </rowItems>
  <colFields count="1">
    <field x="6"/>
  </colFields>
  <colItems count="7">
    <i>
      <x/>
    </i>
    <i>
      <x v="1"/>
    </i>
    <i>
      <x v="2"/>
    </i>
    <i>
      <x v="3"/>
    </i>
    <i>
      <x v="4"/>
    </i>
    <i>
      <x v="5"/>
    </i>
    <i t="grand">
      <x/>
    </i>
  </colItems>
  <dataFields count="1">
    <dataField name="Sum of Net_Revenue_INR" fld="19" baseField="0" baseItem="0"/>
  </dataField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8859F5-61A9-4E5B-86EB-A9D8E0214F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21:I28" firstHeaderRow="1" firstDataRow="1" firstDataCol="1"/>
  <pivotFields count="22">
    <pivotField showAll="0"/>
    <pivotField numFmtId="14" showAll="0"/>
    <pivotField showAll="0"/>
    <pivotField showAll="0"/>
    <pivotField showAll="0">
      <items count="13">
        <item x="0"/>
        <item x="1"/>
        <item x="2"/>
        <item x="3"/>
        <item x="4"/>
        <item x="5"/>
        <item x="6"/>
        <item x="7"/>
        <item x="8"/>
        <item x="9"/>
        <item x="10"/>
        <item x="11"/>
        <item t="default"/>
      </items>
    </pivotField>
    <pivotField showAll="0"/>
    <pivotField axis="axisRow" showAll="0" sortType="descending">
      <items count="7">
        <item x="4"/>
        <item x="3"/>
        <item x="2"/>
        <item x="5"/>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6"/>
  </rowFields>
  <rowItems count="7">
    <i>
      <x v="4"/>
    </i>
    <i>
      <x/>
    </i>
    <i>
      <x v="2"/>
    </i>
    <i>
      <x v="5"/>
    </i>
    <i>
      <x v="1"/>
    </i>
    <i>
      <x v="3"/>
    </i>
    <i t="grand">
      <x/>
    </i>
  </rowItems>
  <colItems count="1">
    <i/>
  </colItems>
  <dataFields count="1">
    <dataField name="Total_Revenue" fld="19" baseField="6" baseItem="0"/>
  </dataFields>
  <chartFormats count="7">
    <chartFormat chart="19" format="127" series="1">
      <pivotArea type="data" outline="0" fieldPosition="0">
        <references count="1">
          <reference field="4294967294" count="1" selected="0">
            <x v="0"/>
          </reference>
        </references>
      </pivotArea>
    </chartFormat>
    <chartFormat chart="19" format="128">
      <pivotArea type="data" outline="0" fieldPosition="0">
        <references count="2">
          <reference field="4294967294" count="1" selected="0">
            <x v="0"/>
          </reference>
          <reference field="6" count="1" selected="0">
            <x v="4"/>
          </reference>
        </references>
      </pivotArea>
    </chartFormat>
    <chartFormat chart="19" format="129">
      <pivotArea type="data" outline="0" fieldPosition="0">
        <references count="2">
          <reference field="4294967294" count="1" selected="0">
            <x v="0"/>
          </reference>
          <reference field="6" count="1" selected="0">
            <x v="0"/>
          </reference>
        </references>
      </pivotArea>
    </chartFormat>
    <chartFormat chart="19" format="130">
      <pivotArea type="data" outline="0" fieldPosition="0">
        <references count="2">
          <reference field="4294967294" count="1" selected="0">
            <x v="0"/>
          </reference>
          <reference field="6" count="1" selected="0">
            <x v="2"/>
          </reference>
        </references>
      </pivotArea>
    </chartFormat>
    <chartFormat chart="19" format="131">
      <pivotArea type="data" outline="0" fieldPosition="0">
        <references count="2">
          <reference field="4294967294" count="1" selected="0">
            <x v="0"/>
          </reference>
          <reference field="6" count="1" selected="0">
            <x v="5"/>
          </reference>
        </references>
      </pivotArea>
    </chartFormat>
    <chartFormat chart="19" format="132">
      <pivotArea type="data" outline="0" fieldPosition="0">
        <references count="2">
          <reference field="4294967294" count="1" selected="0">
            <x v="0"/>
          </reference>
          <reference field="6" count="1" selected="0">
            <x v="1"/>
          </reference>
        </references>
      </pivotArea>
    </chartFormat>
    <chartFormat chart="19" format="133">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159545-DFF1-4E37-8D55-757F306C548B}" name="PT5 — Weekl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1:B134" firstHeaderRow="1" firstDataRow="1" firstDataCol="1"/>
  <pivotFields count="22">
    <pivotField showAll="0"/>
    <pivotField numFmtId="14" showAll="0"/>
    <pivotField axis="axisRow" showAll="0">
      <items count="53">
        <item x="0"/>
        <item x="2"/>
        <item x="1"/>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items count="13">
        <item x="0"/>
        <item x="1"/>
        <item x="2"/>
        <item x="3"/>
        <item x="4"/>
        <item x="5"/>
        <item x="6"/>
        <item x="7"/>
        <item x="8"/>
        <item x="9"/>
        <item x="10"/>
        <item x="11"/>
        <item t="default"/>
      </items>
    </pivotField>
    <pivotField showAll="0"/>
    <pivotField showAll="0">
      <items count="7">
        <item x="4"/>
        <item x="3"/>
        <item x="2"/>
        <item x="5"/>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2"/>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Sum of Net_Revenue_INR" fld="19" baseField="0" baseItem="0"/>
  </dataField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F072CB-01C0-4B94-8EBD-F93AA854A7BD}" name="PT7 — Returns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66:D173" firstHeaderRow="0" firstDataRow="1" firstDataCol="1"/>
  <pivotFields count="22">
    <pivotField showAll="0"/>
    <pivotField numFmtId="14" showAll="0"/>
    <pivotField showAll="0"/>
    <pivotField showAll="0"/>
    <pivotField showAll="0">
      <items count="13">
        <item x="0"/>
        <item x="1"/>
        <item x="2"/>
        <item x="3"/>
        <item x="4"/>
        <item x="5"/>
        <item x="6"/>
        <item x="7"/>
        <item x="8"/>
        <item x="9"/>
        <item x="10"/>
        <item x="11"/>
        <item t="default"/>
      </items>
    </pivotField>
    <pivotField showAll="0"/>
    <pivotField axis="axisRow" showAll="0" sortType="descending">
      <items count="7">
        <item x="4"/>
        <item x="3"/>
        <item x="2"/>
        <item x="5"/>
        <item x="0"/>
        <item x="1"/>
        <item t="default"/>
      </items>
      <autoSortScope>
        <pivotArea dataOnly="0" outline="0" fieldPosition="0">
          <references count="1">
            <reference field="4294967294" count="1" selected="0">
              <x v="2"/>
            </reference>
          </references>
        </pivotArea>
      </autoSortScope>
    </pivotField>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dataField="1" dragToRow="0" dragToCol="0" dragToPage="0" showAll="0" defaultSubtotal="0"/>
  </pivotFields>
  <rowFields count="1">
    <field x="6"/>
  </rowFields>
  <rowItems count="7">
    <i>
      <x v="1"/>
    </i>
    <i>
      <x v="4"/>
    </i>
    <i>
      <x v="3"/>
    </i>
    <i>
      <x/>
    </i>
    <i>
      <x v="2"/>
    </i>
    <i>
      <x v="5"/>
    </i>
    <i t="grand">
      <x/>
    </i>
  </rowItems>
  <colFields count="1">
    <field x="-2"/>
  </colFields>
  <colItems count="3">
    <i>
      <x/>
    </i>
    <i i="1">
      <x v="1"/>
    </i>
    <i i="2">
      <x v="2"/>
    </i>
  </colItems>
  <dataFields count="3">
    <dataField name="Total_Returns" fld="17" baseField="6" baseItem="0"/>
    <dataField name="Total_Sold" fld="7" baseField="6" baseItem="0"/>
    <dataField name="Sum of Return_Rate_%" fld="21" baseField="0" baseItem="0" numFmtId="10"/>
  </dataFields>
  <formats count="1">
    <format dxfId="35">
      <pivotArea outline="0" collapsedLevelsAreSubtotals="1" fieldPosition="0">
        <references count="1">
          <reference field="4294967294" count="1" selected="0">
            <x v="2"/>
          </reference>
        </references>
      </pivotArea>
    </format>
  </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2DD1C6-5AB0-4F52-9C2E-7C9F60F448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66:H173" firstHeaderRow="1" firstDataRow="1" firstDataCol="1"/>
  <pivotFields count="22">
    <pivotField showAll="0"/>
    <pivotField numFmtId="14" showAll="0"/>
    <pivotField showAll="0"/>
    <pivotField showAll="0"/>
    <pivotField showAll="0">
      <items count="13">
        <item x="0"/>
        <item x="1"/>
        <item x="2"/>
        <item x="3"/>
        <item x="4"/>
        <item x="5"/>
        <item x="6"/>
        <item x="7"/>
        <item x="8"/>
        <item x="9"/>
        <item x="10"/>
        <item x="11"/>
        <item t="default"/>
      </items>
    </pivotField>
    <pivotField showAll="0"/>
    <pivotField axis="axisRow" showAll="0" sortType="ascending">
      <items count="7">
        <item x="4"/>
        <item x="3"/>
        <item x="2"/>
        <item x="5"/>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6"/>
  </rowFields>
  <rowItems count="7">
    <i>
      <x v="5"/>
    </i>
    <i>
      <x v="2"/>
    </i>
    <i>
      <x/>
    </i>
    <i>
      <x v="3"/>
    </i>
    <i>
      <x v="4"/>
    </i>
    <i>
      <x v="1"/>
    </i>
    <i t="grand">
      <x/>
    </i>
  </rowItems>
  <colItems count="1">
    <i/>
  </colItems>
  <dataFields count="1">
    <dataField name="Sum of Return_Rate_%" fld="21" baseField="0" baseItem="0" numFmtId="10"/>
  </dataFields>
  <formats count="1">
    <format dxfId="36">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7FADED-7F8C-4982-B6D0-5FB951B71C8B}" name="PT3 — Top 10 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C47" firstHeaderRow="0" firstDataRow="1" firstDataCol="1"/>
  <pivotFields count="22">
    <pivotField showAll="0"/>
    <pivotField numFmtId="14" showAll="0"/>
    <pivotField showAll="0"/>
    <pivotField showAll="0"/>
    <pivotField showAll="0">
      <items count="13">
        <item x="0"/>
        <item x="1"/>
        <item x="2"/>
        <item x="3"/>
        <item x="4"/>
        <item x="5"/>
        <item x="6"/>
        <item x="7"/>
        <item x="8"/>
        <item x="9"/>
        <item x="10"/>
        <item x="11"/>
        <item t="default"/>
      </items>
    </pivotField>
    <pivotField showAll="0"/>
    <pivotField showAll="0">
      <items count="7">
        <item x="4"/>
        <item x="3"/>
        <item x="2"/>
        <item x="5"/>
        <item x="0"/>
        <item x="1"/>
        <item t="default"/>
      </items>
    </pivotField>
    <pivotField dataField="1" showAll="0"/>
    <pivotField showAll="0"/>
    <pivotField showAll="0"/>
    <pivotField axis="axisRow" showAll="0" measureFilter="1" sortType="descending">
      <items count="31">
        <item x="29"/>
        <item x="24"/>
        <item x="17"/>
        <item x="10"/>
        <item x="23"/>
        <item x="26"/>
        <item x="18"/>
        <item x="7"/>
        <item x="25"/>
        <item x="20"/>
        <item x="5"/>
        <item x="13"/>
        <item x="9"/>
        <item x="15"/>
        <item x="3"/>
        <item x="6"/>
        <item x="28"/>
        <item x="0"/>
        <item x="12"/>
        <item x="21"/>
        <item x="16"/>
        <item x="27"/>
        <item x="22"/>
        <item x="2"/>
        <item x="8"/>
        <item x="19"/>
        <item x="4"/>
        <item x="1"/>
        <item x="11"/>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10"/>
  </rowFields>
  <rowItems count="11">
    <i>
      <x v="29"/>
    </i>
    <i>
      <x v="8"/>
    </i>
    <i>
      <x v="10"/>
    </i>
    <i>
      <x v="18"/>
    </i>
    <i>
      <x v="19"/>
    </i>
    <i>
      <x v="11"/>
    </i>
    <i>
      <x v="14"/>
    </i>
    <i>
      <x v="24"/>
    </i>
    <i>
      <x v="9"/>
    </i>
    <i>
      <x v="28"/>
    </i>
    <i t="grand">
      <x/>
    </i>
  </rowItems>
  <colFields count="1">
    <field x="-2"/>
  </colFields>
  <colItems count="2">
    <i>
      <x/>
    </i>
    <i i="1">
      <x v="1"/>
    </i>
  </colItems>
  <dataFields count="2">
    <dataField name="Revenue" fld="19" baseField="10" baseItem="0"/>
    <dataField name="Sum of Units_Sold" fld="7" baseField="0" baseItem="0"/>
  </dataFields>
  <pivotTableStyleInfo name="PivotStyleMedium2" showRowHeaders="1" showColHeaders="1" showRowStripes="1"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93656B-A779-4472-AA0C-5BF1D51B200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H36:I42" firstHeaderRow="1" firstDataRow="1" firstDataCol="1"/>
  <pivotFields count="22">
    <pivotField showAll="0"/>
    <pivotField numFmtId="14" showAll="0"/>
    <pivotField showAll="0"/>
    <pivotField showAll="0"/>
    <pivotField showAll="0">
      <items count="13">
        <item x="0"/>
        <item x="1"/>
        <item x="2"/>
        <item x="3"/>
        <item x="4"/>
        <item x="5"/>
        <item x="6"/>
        <item x="7"/>
        <item x="8"/>
        <item x="9"/>
        <item x="10"/>
        <item x="11"/>
        <item t="default"/>
      </items>
    </pivotField>
    <pivotField showAll="0"/>
    <pivotField showAll="0">
      <items count="7">
        <item x="4"/>
        <item x="3"/>
        <item x="2"/>
        <item x="5"/>
        <item x="0"/>
        <item x="1"/>
        <item t="default"/>
      </items>
    </pivotField>
    <pivotField showAll="0"/>
    <pivotField showAll="0"/>
    <pivotField showAll="0"/>
    <pivotField axis="axisRow" showAll="0" measureFilter="1" sortType="descending">
      <items count="31">
        <item x="29"/>
        <item x="24"/>
        <item x="17"/>
        <item x="10"/>
        <item x="23"/>
        <item x="26"/>
        <item x="18"/>
        <item x="7"/>
        <item x="25"/>
        <item x="20"/>
        <item x="5"/>
        <item x="13"/>
        <item x="9"/>
        <item x="15"/>
        <item x="3"/>
        <item x="6"/>
        <item x="28"/>
        <item x="0"/>
        <item x="12"/>
        <item x="21"/>
        <item x="16"/>
        <item x="27"/>
        <item x="22"/>
        <item x="2"/>
        <item x="8"/>
        <item x="19"/>
        <item x="4"/>
        <item x="1"/>
        <item x="11"/>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10"/>
  </rowFields>
  <rowItems count="6">
    <i>
      <x v="29"/>
    </i>
    <i>
      <x v="8"/>
    </i>
    <i>
      <x v="10"/>
    </i>
    <i>
      <x v="18"/>
    </i>
    <i>
      <x v="19"/>
    </i>
    <i t="grand">
      <x/>
    </i>
  </rowItems>
  <colItems count="1">
    <i/>
  </colItems>
  <dataFields count="1">
    <dataField name="Sum of Net_Revenue_INR" fld="19" baseField="0" baseItem="0"/>
  </dataFields>
  <chartFormats count="3">
    <chartFormat chart="6" format="1"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581355-7BBA-43BB-9C14-906B08262D28}" name="PT2 — Category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1:E28" firstHeaderRow="0" firstDataRow="1" firstDataCol="1"/>
  <pivotFields count="22">
    <pivotField showAll="0"/>
    <pivotField numFmtId="14" showAll="0"/>
    <pivotField showAll="0"/>
    <pivotField showAll="0"/>
    <pivotField showAll="0">
      <items count="13">
        <item x="0"/>
        <item x="1"/>
        <item x="2"/>
        <item x="3"/>
        <item x="4"/>
        <item x="5"/>
        <item x="6"/>
        <item x="7"/>
        <item x="8"/>
        <item x="9"/>
        <item x="10"/>
        <item x="11"/>
        <item t="default"/>
      </items>
    </pivotField>
    <pivotField showAll="0"/>
    <pivotField axis="axisRow" showAll="0" sortType="descending">
      <items count="7">
        <item x="4"/>
        <item x="3"/>
        <item x="2"/>
        <item x="5"/>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dataField="1" dragToRow="0" dragToCol="0" dragToPage="0" showAll="0" defaultSubtotal="0"/>
    <pivotField dragToRow="0" dragToCol="0" dragToPage="0" showAll="0" defaultSubtotal="0"/>
  </pivotFields>
  <rowFields count="1">
    <field x="6"/>
  </rowFields>
  <rowItems count="7">
    <i>
      <x v="4"/>
    </i>
    <i>
      <x/>
    </i>
    <i>
      <x v="2"/>
    </i>
    <i>
      <x v="5"/>
    </i>
    <i>
      <x v="1"/>
    </i>
    <i>
      <x v="3"/>
    </i>
    <i t="grand">
      <x/>
    </i>
  </rowItems>
  <colFields count="1">
    <field x="-2"/>
  </colFields>
  <colItems count="4">
    <i>
      <x/>
    </i>
    <i i="1">
      <x v="1"/>
    </i>
    <i i="2">
      <x v="2"/>
    </i>
    <i i="3">
      <x v="3"/>
    </i>
  </colItems>
  <dataFields count="4">
    <dataField name="Total_Revenue" fld="19" baseField="6" baseItem="0"/>
    <dataField name="Sum of Gross_Profit" fld="14" baseField="0" baseItem="0"/>
    <dataField name="Sum of Units_Sold" fld="7" baseField="0" baseItem="0"/>
    <dataField name="Sum of Margin_%" fld="20" baseField="0" baseItem="0"/>
  </dataFields>
  <formats count="2">
    <format dxfId="38">
      <pivotArea collapsedLevelsAreSubtotals="1" fieldPosition="0">
        <references count="2">
          <reference field="4294967294" count="1" selected="0">
            <x v="3"/>
          </reference>
          <reference field="6" count="0"/>
        </references>
      </pivotArea>
    </format>
    <format dxfId="37">
      <pivotArea field="6" grandRow="1" outline="0" collapsedLevelsAreSubtotals="1" axis="axisRow" fieldPosition="0">
        <references count="1">
          <reference field="4294967294" count="1" selected="0">
            <x v="3"/>
          </reference>
        </references>
      </pivotArea>
    </format>
  </formats>
  <chartFormats count="84">
    <chartFormat chart="4" format="32" series="1">
      <pivotArea type="data" outline="0" fieldPosition="0">
        <references count="1">
          <reference field="4294967294" count="1" selected="0">
            <x v="0"/>
          </reference>
        </references>
      </pivotArea>
    </chartFormat>
    <chartFormat chart="4" format="33">
      <pivotArea type="data" outline="0" fieldPosition="0">
        <references count="2">
          <reference field="4294967294" count="1" selected="0">
            <x v="0"/>
          </reference>
          <reference field="6" count="1" selected="0">
            <x v="4"/>
          </reference>
        </references>
      </pivotArea>
    </chartFormat>
    <chartFormat chart="4" format="34">
      <pivotArea type="data" outline="0" fieldPosition="0">
        <references count="2">
          <reference field="4294967294" count="1" selected="0">
            <x v="0"/>
          </reference>
          <reference field="6" count="1" selected="0">
            <x v="0"/>
          </reference>
        </references>
      </pivotArea>
    </chartFormat>
    <chartFormat chart="4" format="35">
      <pivotArea type="data" outline="0" fieldPosition="0">
        <references count="2">
          <reference field="4294967294" count="1" selected="0">
            <x v="0"/>
          </reference>
          <reference field="6" count="1" selected="0">
            <x v="2"/>
          </reference>
        </references>
      </pivotArea>
    </chartFormat>
    <chartFormat chart="4" format="36">
      <pivotArea type="data" outline="0" fieldPosition="0">
        <references count="2">
          <reference field="4294967294" count="1" selected="0">
            <x v="0"/>
          </reference>
          <reference field="6" count="1" selected="0">
            <x v="5"/>
          </reference>
        </references>
      </pivotArea>
    </chartFormat>
    <chartFormat chart="4" format="37">
      <pivotArea type="data" outline="0" fieldPosition="0">
        <references count="2">
          <reference field="4294967294" count="1" selected="0">
            <x v="0"/>
          </reference>
          <reference field="6" count="1" selected="0">
            <x v="1"/>
          </reference>
        </references>
      </pivotArea>
    </chartFormat>
    <chartFormat chart="4" format="38">
      <pivotArea type="data" outline="0" fieldPosition="0">
        <references count="2">
          <reference field="4294967294" count="1" selected="0">
            <x v="0"/>
          </reference>
          <reference field="6" count="1" selected="0">
            <x v="3"/>
          </reference>
        </references>
      </pivotArea>
    </chartFormat>
    <chartFormat chart="4" format="39" series="1">
      <pivotArea type="data" outline="0" fieldPosition="0">
        <references count="1">
          <reference field="4294967294" count="1" selected="0">
            <x v="1"/>
          </reference>
        </references>
      </pivotArea>
    </chartFormat>
    <chartFormat chart="4" format="40">
      <pivotArea type="data" outline="0" fieldPosition="0">
        <references count="2">
          <reference field="4294967294" count="1" selected="0">
            <x v="1"/>
          </reference>
          <reference field="6" count="1" selected="0">
            <x v="4"/>
          </reference>
        </references>
      </pivotArea>
    </chartFormat>
    <chartFormat chart="4" format="41">
      <pivotArea type="data" outline="0" fieldPosition="0">
        <references count="2">
          <reference field="4294967294" count="1" selected="0">
            <x v="1"/>
          </reference>
          <reference field="6" count="1" selected="0">
            <x v="0"/>
          </reference>
        </references>
      </pivotArea>
    </chartFormat>
    <chartFormat chart="4" format="42">
      <pivotArea type="data" outline="0" fieldPosition="0">
        <references count="2">
          <reference field="4294967294" count="1" selected="0">
            <x v="1"/>
          </reference>
          <reference field="6" count="1" selected="0">
            <x v="2"/>
          </reference>
        </references>
      </pivotArea>
    </chartFormat>
    <chartFormat chart="4" format="43">
      <pivotArea type="data" outline="0" fieldPosition="0">
        <references count="2">
          <reference field="4294967294" count="1" selected="0">
            <x v="1"/>
          </reference>
          <reference field="6" count="1" selected="0">
            <x v="5"/>
          </reference>
        </references>
      </pivotArea>
    </chartFormat>
    <chartFormat chart="4" format="44">
      <pivotArea type="data" outline="0" fieldPosition="0">
        <references count="2">
          <reference field="4294967294" count="1" selected="0">
            <x v="1"/>
          </reference>
          <reference field="6" count="1" selected="0">
            <x v="1"/>
          </reference>
        </references>
      </pivotArea>
    </chartFormat>
    <chartFormat chart="4" format="45">
      <pivotArea type="data" outline="0" fieldPosition="0">
        <references count="2">
          <reference field="4294967294" count="1" selected="0">
            <x v="1"/>
          </reference>
          <reference field="6" count="1" selected="0">
            <x v="3"/>
          </reference>
        </references>
      </pivotArea>
    </chartFormat>
    <chartFormat chart="4" format="46" series="1">
      <pivotArea type="data" outline="0" fieldPosition="0">
        <references count="1">
          <reference field="4294967294" count="1" selected="0">
            <x v="2"/>
          </reference>
        </references>
      </pivotArea>
    </chartFormat>
    <chartFormat chart="4" format="47">
      <pivotArea type="data" outline="0" fieldPosition="0">
        <references count="2">
          <reference field="4294967294" count="1" selected="0">
            <x v="2"/>
          </reference>
          <reference field="6" count="1" selected="0">
            <x v="4"/>
          </reference>
        </references>
      </pivotArea>
    </chartFormat>
    <chartFormat chart="4" format="48">
      <pivotArea type="data" outline="0" fieldPosition="0">
        <references count="2">
          <reference field="4294967294" count="1" selected="0">
            <x v="2"/>
          </reference>
          <reference field="6" count="1" selected="0">
            <x v="0"/>
          </reference>
        </references>
      </pivotArea>
    </chartFormat>
    <chartFormat chart="4" format="49">
      <pivotArea type="data" outline="0" fieldPosition="0">
        <references count="2">
          <reference field="4294967294" count="1" selected="0">
            <x v="2"/>
          </reference>
          <reference field="6" count="1" selected="0">
            <x v="2"/>
          </reference>
        </references>
      </pivotArea>
    </chartFormat>
    <chartFormat chart="4" format="50">
      <pivotArea type="data" outline="0" fieldPosition="0">
        <references count="2">
          <reference field="4294967294" count="1" selected="0">
            <x v="2"/>
          </reference>
          <reference field="6" count="1" selected="0">
            <x v="5"/>
          </reference>
        </references>
      </pivotArea>
    </chartFormat>
    <chartFormat chart="4" format="51">
      <pivotArea type="data" outline="0" fieldPosition="0">
        <references count="2">
          <reference field="4294967294" count="1" selected="0">
            <x v="2"/>
          </reference>
          <reference field="6" count="1" selected="0">
            <x v="1"/>
          </reference>
        </references>
      </pivotArea>
    </chartFormat>
    <chartFormat chart="4" format="52">
      <pivotArea type="data" outline="0" fieldPosition="0">
        <references count="2">
          <reference field="4294967294" count="1" selected="0">
            <x v="2"/>
          </reference>
          <reference field="6" count="1" selected="0">
            <x v="3"/>
          </reference>
        </references>
      </pivotArea>
    </chartFormat>
    <chartFormat chart="4" format="53" series="1">
      <pivotArea type="data" outline="0" fieldPosition="0">
        <references count="1">
          <reference field="4294967294" count="1" selected="0">
            <x v="3"/>
          </reference>
        </references>
      </pivotArea>
    </chartFormat>
    <chartFormat chart="4" format="54">
      <pivotArea type="data" outline="0" fieldPosition="0">
        <references count="2">
          <reference field="4294967294" count="1" selected="0">
            <x v="3"/>
          </reference>
          <reference field="6" count="1" selected="0">
            <x v="4"/>
          </reference>
        </references>
      </pivotArea>
    </chartFormat>
    <chartFormat chart="4" format="55">
      <pivotArea type="data" outline="0" fieldPosition="0">
        <references count="2">
          <reference field="4294967294" count="1" selected="0">
            <x v="3"/>
          </reference>
          <reference field="6" count="1" selected="0">
            <x v="0"/>
          </reference>
        </references>
      </pivotArea>
    </chartFormat>
    <chartFormat chart="4" format="56">
      <pivotArea type="data" outline="0" fieldPosition="0">
        <references count="2">
          <reference field="4294967294" count="1" selected="0">
            <x v="3"/>
          </reference>
          <reference field="6" count="1" selected="0">
            <x v="2"/>
          </reference>
        </references>
      </pivotArea>
    </chartFormat>
    <chartFormat chart="4" format="57">
      <pivotArea type="data" outline="0" fieldPosition="0">
        <references count="2">
          <reference field="4294967294" count="1" selected="0">
            <x v="3"/>
          </reference>
          <reference field="6" count="1" selected="0">
            <x v="5"/>
          </reference>
        </references>
      </pivotArea>
    </chartFormat>
    <chartFormat chart="4" format="58">
      <pivotArea type="data" outline="0" fieldPosition="0">
        <references count="2">
          <reference field="4294967294" count="1" selected="0">
            <x v="3"/>
          </reference>
          <reference field="6" count="1" selected="0">
            <x v="1"/>
          </reference>
        </references>
      </pivotArea>
    </chartFormat>
    <chartFormat chart="4" format="59">
      <pivotArea type="data" outline="0" fieldPosition="0">
        <references count="2">
          <reference field="4294967294" count="1" selected="0">
            <x v="3"/>
          </reference>
          <reference field="6" count="1" selected="0">
            <x v="3"/>
          </reference>
        </references>
      </pivotArea>
    </chartFormat>
    <chartFormat chart="9" format="60" series="1">
      <pivotArea type="data" outline="0" fieldPosition="0">
        <references count="1">
          <reference field="4294967294" count="1" selected="0">
            <x v="0"/>
          </reference>
        </references>
      </pivotArea>
    </chartFormat>
    <chartFormat chart="9" format="61">
      <pivotArea type="data" outline="0" fieldPosition="0">
        <references count="2">
          <reference field="4294967294" count="1" selected="0">
            <x v="0"/>
          </reference>
          <reference field="6" count="1" selected="0">
            <x v="4"/>
          </reference>
        </references>
      </pivotArea>
    </chartFormat>
    <chartFormat chart="9" format="62">
      <pivotArea type="data" outline="0" fieldPosition="0">
        <references count="2">
          <reference field="4294967294" count="1" selected="0">
            <x v="0"/>
          </reference>
          <reference field="6" count="1" selected="0">
            <x v="0"/>
          </reference>
        </references>
      </pivotArea>
    </chartFormat>
    <chartFormat chart="9" format="63">
      <pivotArea type="data" outline="0" fieldPosition="0">
        <references count="2">
          <reference field="4294967294" count="1" selected="0">
            <x v="0"/>
          </reference>
          <reference field="6" count="1" selected="0">
            <x v="2"/>
          </reference>
        </references>
      </pivotArea>
    </chartFormat>
    <chartFormat chart="9" format="64">
      <pivotArea type="data" outline="0" fieldPosition="0">
        <references count="2">
          <reference field="4294967294" count="1" selected="0">
            <x v="0"/>
          </reference>
          <reference field="6" count="1" selected="0">
            <x v="5"/>
          </reference>
        </references>
      </pivotArea>
    </chartFormat>
    <chartFormat chart="9" format="65">
      <pivotArea type="data" outline="0" fieldPosition="0">
        <references count="2">
          <reference field="4294967294" count="1" selected="0">
            <x v="0"/>
          </reference>
          <reference field="6" count="1" selected="0">
            <x v="1"/>
          </reference>
        </references>
      </pivotArea>
    </chartFormat>
    <chartFormat chart="9" format="66">
      <pivotArea type="data" outline="0" fieldPosition="0">
        <references count="2">
          <reference field="4294967294" count="1" selected="0">
            <x v="0"/>
          </reference>
          <reference field="6" count="1" selected="0">
            <x v="3"/>
          </reference>
        </references>
      </pivotArea>
    </chartFormat>
    <chartFormat chart="9" format="67" series="1">
      <pivotArea type="data" outline="0" fieldPosition="0">
        <references count="1">
          <reference field="4294967294" count="1" selected="0">
            <x v="1"/>
          </reference>
        </references>
      </pivotArea>
    </chartFormat>
    <chartFormat chart="9" format="68">
      <pivotArea type="data" outline="0" fieldPosition="0">
        <references count="2">
          <reference field="4294967294" count="1" selected="0">
            <x v="1"/>
          </reference>
          <reference field="6" count="1" selected="0">
            <x v="4"/>
          </reference>
        </references>
      </pivotArea>
    </chartFormat>
    <chartFormat chart="9" format="69">
      <pivotArea type="data" outline="0" fieldPosition="0">
        <references count="2">
          <reference field="4294967294" count="1" selected="0">
            <x v="1"/>
          </reference>
          <reference field="6" count="1" selected="0">
            <x v="0"/>
          </reference>
        </references>
      </pivotArea>
    </chartFormat>
    <chartFormat chart="9" format="70">
      <pivotArea type="data" outline="0" fieldPosition="0">
        <references count="2">
          <reference field="4294967294" count="1" selected="0">
            <x v="1"/>
          </reference>
          <reference field="6" count="1" selected="0">
            <x v="2"/>
          </reference>
        </references>
      </pivotArea>
    </chartFormat>
    <chartFormat chart="9" format="71">
      <pivotArea type="data" outline="0" fieldPosition="0">
        <references count="2">
          <reference field="4294967294" count="1" selected="0">
            <x v="1"/>
          </reference>
          <reference field="6" count="1" selected="0">
            <x v="5"/>
          </reference>
        </references>
      </pivotArea>
    </chartFormat>
    <chartFormat chart="9" format="72">
      <pivotArea type="data" outline="0" fieldPosition="0">
        <references count="2">
          <reference field="4294967294" count="1" selected="0">
            <x v="1"/>
          </reference>
          <reference field="6" count="1" selected="0">
            <x v="1"/>
          </reference>
        </references>
      </pivotArea>
    </chartFormat>
    <chartFormat chart="9" format="73">
      <pivotArea type="data" outline="0" fieldPosition="0">
        <references count="2">
          <reference field="4294967294" count="1" selected="0">
            <x v="1"/>
          </reference>
          <reference field="6" count="1" selected="0">
            <x v="3"/>
          </reference>
        </references>
      </pivotArea>
    </chartFormat>
    <chartFormat chart="9" format="74" series="1">
      <pivotArea type="data" outline="0" fieldPosition="0">
        <references count="1">
          <reference field="4294967294" count="1" selected="0">
            <x v="2"/>
          </reference>
        </references>
      </pivotArea>
    </chartFormat>
    <chartFormat chart="9" format="75">
      <pivotArea type="data" outline="0" fieldPosition="0">
        <references count="2">
          <reference field="4294967294" count="1" selected="0">
            <x v="2"/>
          </reference>
          <reference field="6" count="1" selected="0">
            <x v="4"/>
          </reference>
        </references>
      </pivotArea>
    </chartFormat>
    <chartFormat chart="9" format="76">
      <pivotArea type="data" outline="0" fieldPosition="0">
        <references count="2">
          <reference field="4294967294" count="1" selected="0">
            <x v="2"/>
          </reference>
          <reference field="6" count="1" selected="0">
            <x v="0"/>
          </reference>
        </references>
      </pivotArea>
    </chartFormat>
    <chartFormat chart="9" format="77">
      <pivotArea type="data" outline="0" fieldPosition="0">
        <references count="2">
          <reference field="4294967294" count="1" selected="0">
            <x v="2"/>
          </reference>
          <reference field="6" count="1" selected="0">
            <x v="2"/>
          </reference>
        </references>
      </pivotArea>
    </chartFormat>
    <chartFormat chart="9" format="78">
      <pivotArea type="data" outline="0" fieldPosition="0">
        <references count="2">
          <reference field="4294967294" count="1" selected="0">
            <x v="2"/>
          </reference>
          <reference field="6" count="1" selected="0">
            <x v="5"/>
          </reference>
        </references>
      </pivotArea>
    </chartFormat>
    <chartFormat chart="9" format="79">
      <pivotArea type="data" outline="0" fieldPosition="0">
        <references count="2">
          <reference field="4294967294" count="1" selected="0">
            <x v="2"/>
          </reference>
          <reference field="6" count="1" selected="0">
            <x v="1"/>
          </reference>
        </references>
      </pivotArea>
    </chartFormat>
    <chartFormat chart="9" format="80">
      <pivotArea type="data" outline="0" fieldPosition="0">
        <references count="2">
          <reference field="4294967294" count="1" selected="0">
            <x v="2"/>
          </reference>
          <reference field="6" count="1" selected="0">
            <x v="3"/>
          </reference>
        </references>
      </pivotArea>
    </chartFormat>
    <chartFormat chart="9" format="81" series="1">
      <pivotArea type="data" outline="0" fieldPosition="0">
        <references count="1">
          <reference field="4294967294" count="1" selected="0">
            <x v="3"/>
          </reference>
        </references>
      </pivotArea>
    </chartFormat>
    <chartFormat chart="9" format="82">
      <pivotArea type="data" outline="0" fieldPosition="0">
        <references count="2">
          <reference field="4294967294" count="1" selected="0">
            <x v="3"/>
          </reference>
          <reference field="6" count="1" selected="0">
            <x v="4"/>
          </reference>
        </references>
      </pivotArea>
    </chartFormat>
    <chartFormat chart="9" format="83">
      <pivotArea type="data" outline="0" fieldPosition="0">
        <references count="2">
          <reference field="4294967294" count="1" selected="0">
            <x v="3"/>
          </reference>
          <reference field="6" count="1" selected="0">
            <x v="0"/>
          </reference>
        </references>
      </pivotArea>
    </chartFormat>
    <chartFormat chart="9" format="84">
      <pivotArea type="data" outline="0" fieldPosition="0">
        <references count="2">
          <reference field="4294967294" count="1" selected="0">
            <x v="3"/>
          </reference>
          <reference field="6" count="1" selected="0">
            <x v="2"/>
          </reference>
        </references>
      </pivotArea>
    </chartFormat>
    <chartFormat chart="9" format="85">
      <pivotArea type="data" outline="0" fieldPosition="0">
        <references count="2">
          <reference field="4294967294" count="1" selected="0">
            <x v="3"/>
          </reference>
          <reference field="6" count="1" selected="0">
            <x v="5"/>
          </reference>
        </references>
      </pivotArea>
    </chartFormat>
    <chartFormat chart="9" format="86">
      <pivotArea type="data" outline="0" fieldPosition="0">
        <references count="2">
          <reference field="4294967294" count="1" selected="0">
            <x v="3"/>
          </reference>
          <reference field="6" count="1" selected="0">
            <x v="1"/>
          </reference>
        </references>
      </pivotArea>
    </chartFormat>
    <chartFormat chart="9" format="87">
      <pivotArea type="data" outline="0" fieldPosition="0">
        <references count="2">
          <reference field="4294967294" count="1" selected="0">
            <x v="3"/>
          </reference>
          <reference field="6" count="1" selected="0">
            <x v="3"/>
          </reference>
        </references>
      </pivotArea>
    </chartFormat>
    <chartFormat chart="11" format="88" series="1">
      <pivotArea type="data" outline="0" fieldPosition="0">
        <references count="1">
          <reference field="4294967294" count="1" selected="0">
            <x v="0"/>
          </reference>
        </references>
      </pivotArea>
    </chartFormat>
    <chartFormat chart="11" format="89">
      <pivotArea type="data" outline="0" fieldPosition="0">
        <references count="2">
          <reference field="4294967294" count="1" selected="0">
            <x v="0"/>
          </reference>
          <reference field="6" count="1" selected="0">
            <x v="4"/>
          </reference>
        </references>
      </pivotArea>
    </chartFormat>
    <chartFormat chart="11" format="90">
      <pivotArea type="data" outline="0" fieldPosition="0">
        <references count="2">
          <reference field="4294967294" count="1" selected="0">
            <x v="0"/>
          </reference>
          <reference field="6" count="1" selected="0">
            <x v="0"/>
          </reference>
        </references>
      </pivotArea>
    </chartFormat>
    <chartFormat chart="11" format="91">
      <pivotArea type="data" outline="0" fieldPosition="0">
        <references count="2">
          <reference field="4294967294" count="1" selected="0">
            <x v="0"/>
          </reference>
          <reference field="6" count="1" selected="0">
            <x v="2"/>
          </reference>
        </references>
      </pivotArea>
    </chartFormat>
    <chartFormat chart="11" format="92">
      <pivotArea type="data" outline="0" fieldPosition="0">
        <references count="2">
          <reference field="4294967294" count="1" selected="0">
            <x v="0"/>
          </reference>
          <reference field="6" count="1" selected="0">
            <x v="5"/>
          </reference>
        </references>
      </pivotArea>
    </chartFormat>
    <chartFormat chart="11" format="93">
      <pivotArea type="data" outline="0" fieldPosition="0">
        <references count="2">
          <reference field="4294967294" count="1" selected="0">
            <x v="0"/>
          </reference>
          <reference field="6" count="1" selected="0">
            <x v="1"/>
          </reference>
        </references>
      </pivotArea>
    </chartFormat>
    <chartFormat chart="11" format="94">
      <pivotArea type="data" outline="0" fieldPosition="0">
        <references count="2">
          <reference field="4294967294" count="1" selected="0">
            <x v="0"/>
          </reference>
          <reference field="6" count="1" selected="0">
            <x v="3"/>
          </reference>
        </references>
      </pivotArea>
    </chartFormat>
    <chartFormat chart="11" format="95" series="1">
      <pivotArea type="data" outline="0" fieldPosition="0">
        <references count="1">
          <reference field="4294967294" count="1" selected="0">
            <x v="1"/>
          </reference>
        </references>
      </pivotArea>
    </chartFormat>
    <chartFormat chart="11" format="96">
      <pivotArea type="data" outline="0" fieldPosition="0">
        <references count="2">
          <reference field="4294967294" count="1" selected="0">
            <x v="1"/>
          </reference>
          <reference field="6" count="1" selected="0">
            <x v="4"/>
          </reference>
        </references>
      </pivotArea>
    </chartFormat>
    <chartFormat chart="11" format="97">
      <pivotArea type="data" outline="0" fieldPosition="0">
        <references count="2">
          <reference field="4294967294" count="1" selected="0">
            <x v="1"/>
          </reference>
          <reference field="6" count="1" selected="0">
            <x v="0"/>
          </reference>
        </references>
      </pivotArea>
    </chartFormat>
    <chartFormat chart="11" format="98">
      <pivotArea type="data" outline="0" fieldPosition="0">
        <references count="2">
          <reference field="4294967294" count="1" selected="0">
            <x v="1"/>
          </reference>
          <reference field="6" count="1" selected="0">
            <x v="2"/>
          </reference>
        </references>
      </pivotArea>
    </chartFormat>
    <chartFormat chart="11" format="99">
      <pivotArea type="data" outline="0" fieldPosition="0">
        <references count="2">
          <reference field="4294967294" count="1" selected="0">
            <x v="1"/>
          </reference>
          <reference field="6" count="1" selected="0">
            <x v="5"/>
          </reference>
        </references>
      </pivotArea>
    </chartFormat>
    <chartFormat chart="11" format="100">
      <pivotArea type="data" outline="0" fieldPosition="0">
        <references count="2">
          <reference field="4294967294" count="1" selected="0">
            <x v="1"/>
          </reference>
          <reference field="6" count="1" selected="0">
            <x v="1"/>
          </reference>
        </references>
      </pivotArea>
    </chartFormat>
    <chartFormat chart="11" format="101">
      <pivotArea type="data" outline="0" fieldPosition="0">
        <references count="2">
          <reference field="4294967294" count="1" selected="0">
            <x v="1"/>
          </reference>
          <reference field="6" count="1" selected="0">
            <x v="3"/>
          </reference>
        </references>
      </pivotArea>
    </chartFormat>
    <chartFormat chart="11" format="102" series="1">
      <pivotArea type="data" outline="0" fieldPosition="0">
        <references count="1">
          <reference field="4294967294" count="1" selected="0">
            <x v="2"/>
          </reference>
        </references>
      </pivotArea>
    </chartFormat>
    <chartFormat chart="11" format="103">
      <pivotArea type="data" outline="0" fieldPosition="0">
        <references count="2">
          <reference field="4294967294" count="1" selected="0">
            <x v="2"/>
          </reference>
          <reference field="6" count="1" selected="0">
            <x v="4"/>
          </reference>
        </references>
      </pivotArea>
    </chartFormat>
    <chartFormat chart="11" format="104">
      <pivotArea type="data" outline="0" fieldPosition="0">
        <references count="2">
          <reference field="4294967294" count="1" selected="0">
            <x v="2"/>
          </reference>
          <reference field="6" count="1" selected="0">
            <x v="0"/>
          </reference>
        </references>
      </pivotArea>
    </chartFormat>
    <chartFormat chart="11" format="105">
      <pivotArea type="data" outline="0" fieldPosition="0">
        <references count="2">
          <reference field="4294967294" count="1" selected="0">
            <x v="2"/>
          </reference>
          <reference field="6" count="1" selected="0">
            <x v="2"/>
          </reference>
        </references>
      </pivotArea>
    </chartFormat>
    <chartFormat chart="11" format="106">
      <pivotArea type="data" outline="0" fieldPosition="0">
        <references count="2">
          <reference field="4294967294" count="1" selected="0">
            <x v="2"/>
          </reference>
          <reference field="6" count="1" selected="0">
            <x v="5"/>
          </reference>
        </references>
      </pivotArea>
    </chartFormat>
    <chartFormat chart="11" format="107">
      <pivotArea type="data" outline="0" fieldPosition="0">
        <references count="2">
          <reference field="4294967294" count="1" selected="0">
            <x v="2"/>
          </reference>
          <reference field="6" count="1" selected="0">
            <x v="1"/>
          </reference>
        </references>
      </pivotArea>
    </chartFormat>
    <chartFormat chart="11" format="108">
      <pivotArea type="data" outline="0" fieldPosition="0">
        <references count="2">
          <reference field="4294967294" count="1" selected="0">
            <x v="2"/>
          </reference>
          <reference field="6" count="1" selected="0">
            <x v="3"/>
          </reference>
        </references>
      </pivotArea>
    </chartFormat>
    <chartFormat chart="11" format="109" series="1">
      <pivotArea type="data" outline="0" fieldPosition="0">
        <references count="1">
          <reference field="4294967294" count="1" selected="0">
            <x v="3"/>
          </reference>
        </references>
      </pivotArea>
    </chartFormat>
    <chartFormat chart="11" format="110">
      <pivotArea type="data" outline="0" fieldPosition="0">
        <references count="2">
          <reference field="4294967294" count="1" selected="0">
            <x v="3"/>
          </reference>
          <reference field="6" count="1" selected="0">
            <x v="4"/>
          </reference>
        </references>
      </pivotArea>
    </chartFormat>
    <chartFormat chart="11" format="111">
      <pivotArea type="data" outline="0" fieldPosition="0">
        <references count="2">
          <reference field="4294967294" count="1" selected="0">
            <x v="3"/>
          </reference>
          <reference field="6" count="1" selected="0">
            <x v="0"/>
          </reference>
        </references>
      </pivotArea>
    </chartFormat>
    <chartFormat chart="11" format="112">
      <pivotArea type="data" outline="0" fieldPosition="0">
        <references count="2">
          <reference field="4294967294" count="1" selected="0">
            <x v="3"/>
          </reference>
          <reference field="6" count="1" selected="0">
            <x v="2"/>
          </reference>
        </references>
      </pivotArea>
    </chartFormat>
    <chartFormat chart="11" format="113">
      <pivotArea type="data" outline="0" fieldPosition="0">
        <references count="2">
          <reference field="4294967294" count="1" selected="0">
            <x v="3"/>
          </reference>
          <reference field="6" count="1" selected="0">
            <x v="5"/>
          </reference>
        </references>
      </pivotArea>
    </chartFormat>
    <chartFormat chart="11" format="114">
      <pivotArea type="data" outline="0" fieldPosition="0">
        <references count="2">
          <reference field="4294967294" count="1" selected="0">
            <x v="3"/>
          </reference>
          <reference field="6" count="1" selected="0">
            <x v="1"/>
          </reference>
        </references>
      </pivotArea>
    </chartFormat>
    <chartFormat chart="11" format="115">
      <pivotArea type="data" outline="0" fieldPosition="0">
        <references count="2">
          <reference field="4294967294" count="1" selected="0">
            <x v="3"/>
          </reference>
          <reference field="6" count="1" selected="0">
            <x v="3"/>
          </reference>
        </references>
      </pivotArea>
    </chartFormat>
  </chart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408FF65-3794-4D5C-82AE-ED3999ABE28A}" autoFormatId="16" applyNumberFormats="0" applyBorderFormats="0" applyFontFormats="0" applyPatternFormats="0" applyAlignmentFormats="0" applyWidthHeightFormats="0">
  <queryTableRefresh nextId="23">
    <queryTableFields count="20">
      <queryTableField id="1" name="Sale_ID" tableColumnId="1"/>
      <queryTableField id="2" name="Date" tableColumnId="2"/>
      <queryTableField id="3" name="Week_Number" tableColumnId="3"/>
      <queryTableField id="4" name="Month" tableColumnId="4"/>
      <queryTableField id="5" name="Month_Name" tableColumnId="5"/>
      <queryTableField id="6" name="Product_ID" tableColumnId="6"/>
      <queryTableField id="7" name="Category" tableColumnId="7"/>
      <queryTableField id="8" name="Units_Sold" tableColumnId="8"/>
      <queryTableField id="9" name="Sale_Price" tableColumnId="9"/>
      <queryTableField id="10" name="Discount_%" tableColumnId="10"/>
      <queryTableField id="11" name="Product_Name" tableColumnId="11"/>
      <queryTableField id="12" name="COGS" tableColumnId="12"/>
      <queryTableField id="13" name="Revenue_INR" tableColumnId="13"/>
      <queryTableField id="14" name="Total_COGS" tableColumnId="14"/>
      <queryTableField id="15" name="Gross_Profit" tableColumnId="15"/>
      <queryTableField id="16" name="Gross_Margin_%" tableColumnId="16"/>
      <queryTableField id="17" name="Units_Returned" tableColumnId="17"/>
      <queryTableField id="18" name="Units_Returned_Clean" tableColumnId="18"/>
      <queryTableField id="19" name="Net_Units_Sold" tableColumnId="19"/>
      <queryTableField id="20" name="Net_Revenue_INR"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0DFEC2A-8195-41A0-9D7A-6DA6C048737E}" sourceName="Month_Name">
  <pivotTables>
    <pivotTable tabId="7" name="PT1 - Monthly Trend"/>
    <pivotTable tabId="7" name="PT2 — Category Performance"/>
    <pivotTable tabId="7" name="PT3 — Top 10 Products"/>
    <pivotTable tabId="7" name="PT5 — Weekly Revenue"/>
    <pivotTable tabId="7" name="PT6 — Category x Month Matrix"/>
    <pivotTable tabId="7" name="PT7 — Returns Analysis"/>
    <pivotTable tabId="7" name="PivotTable1"/>
    <pivotTable tabId="7" name="PivotTable3"/>
    <pivotTable tabId="7" name="PivotTable5"/>
  </pivotTables>
  <data>
    <tabular pivotCacheId="1375325922">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905EA2-DC58-487A-B6B8-118072CA125B}" sourceName="Category">
  <pivotTables>
    <pivotTable tabId="7" name="PT1 - Monthly Trend"/>
    <pivotTable tabId="7" name="PT2 — Category Performance"/>
    <pivotTable tabId="7" name="PT3 — Top 10 Products"/>
    <pivotTable tabId="7" name="PT5 — Weekly Revenue"/>
    <pivotTable tabId="7" name="PT6 — Category x Month Matrix"/>
    <pivotTable tabId="7" name="PT7 — Returns Analysis"/>
    <pivotTable tabId="7" name="PivotTable1"/>
    <pivotTable tabId="7" name="PivotTable3"/>
    <pivotTable tabId="7" name="PivotTable5"/>
  </pivotTables>
  <data>
    <tabular pivotCacheId="1375325922">
      <items count="6">
        <i x="4" s="1"/>
        <i x="3" s="1"/>
        <i x="2" s="1"/>
        <i x="5"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3D1EA043-0474-4789-98A2-CDD1E0F07B5E}" cache="Slicer_Month_Name" caption="Month_Name" columnCount="2" rowHeight="234950"/>
  <slicer name="Category" xr10:uid="{3C72EB0E-CAEC-464D-B8B6-B14097F620C1}"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1" xr10:uid="{25C4698C-B21D-4F02-AEF1-5ED67155C351}" cache="Slicer_Month_Name" caption="Select Month" style="Slicer Style 1" rowHeight="234950"/>
  <slicer name="Category 1" xr10:uid="{8B91D669-AD8C-4482-9442-02D474ABD97E}" cache="Slicer_Category" caption="Category" style="Slicer Style 1" rowHeight="2349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1B26F3-8FE7-44E7-8F23-07FD2A717C0C}" name="tbl_Sales" displayName="tbl_Sales" ref="A1:J1501" totalsRowShown="0">
  <autoFilter ref="A1:J1501" xr:uid="{DF1B26F3-8FE7-44E7-8F23-07FD2A717C0C}"/>
  <tableColumns count="10">
    <tableColumn id="1" xr3:uid="{3ACC3E44-070C-4597-82DD-1F05A940C578}" name="Sale_ID"/>
    <tableColumn id="2" xr3:uid="{B1AE976A-928B-4BCE-9AC5-30853AC8E273}" name="Date"/>
    <tableColumn id="3" xr3:uid="{9EA4420F-027D-4DB9-9E58-4B77A8830D0C}" name="Week_Number"/>
    <tableColumn id="4" xr3:uid="{4C26F1A1-B7E1-4750-9D19-92EE1800F7B7}" name="Month"/>
    <tableColumn id="5" xr3:uid="{0C0667BD-A3BE-4410-91E6-D87BAD873AA4}" name="Month_Name"/>
    <tableColumn id="6" xr3:uid="{D6B8315A-CA24-4724-88A6-938D0CF30C9E}" name="Product_ID"/>
    <tableColumn id="7" xr3:uid="{C1ED824C-E07C-44BB-8E1B-7E1BC1A71346}" name="Category"/>
    <tableColumn id="8" xr3:uid="{D8F51B0B-A1F6-442E-8FBC-27DE0A9A053B}" name="Units_Sold"/>
    <tableColumn id="9" xr3:uid="{4EB4941C-3F4C-4D2B-AB75-CF63604B582B}" name="Sale_Price"/>
    <tableColumn id="10" xr3:uid="{CBD1800A-3D70-4EE1-9274-AF3C89F8CDAC}" name="Discount_%"/>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427F95-F438-42BE-AC88-4A61110E5D9D}" name="tbl_Products" displayName="tbl_Products" ref="A1:F31" totalsRowShown="0">
  <autoFilter ref="A1:F31" xr:uid="{30427F95-F438-42BE-AC88-4A61110E5D9D}"/>
  <tableColumns count="6">
    <tableColumn id="1" xr3:uid="{DDF8EBB9-D3C1-48D1-9DC7-C48970133330}" name="Product_ID"/>
    <tableColumn id="2" xr3:uid="{122DC08E-68D4-4E36-B24E-61F4BA59ED84}" name="Product_Name"/>
    <tableColumn id="3" xr3:uid="{F3D95A32-5E65-4C2F-84EB-12C03E1BE5D0}" name="Category"/>
    <tableColumn id="4" xr3:uid="{0CD4BCCA-D57E-4E2A-AC98-89BAB7394221}" name="COGS"/>
    <tableColumn id="5" xr3:uid="{19B23F2F-869C-4AE1-B065-D8B2700F2E19}" name="Launch_Date"/>
    <tableColumn id="6" xr3:uid="{521F147F-E389-4319-AFE6-780CFC8E48DD}" name="Sale_Pric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9FB59B-6FA2-4DCF-8AF0-B2DF27094C3B}" name="tbl_Budget" displayName="tbl_Budget" ref="A1:E73" totalsRowShown="0">
  <autoFilter ref="A1:E73" xr:uid="{C39FB59B-6FA2-4DCF-8AF0-B2DF27094C3B}"/>
  <tableColumns count="5">
    <tableColumn id="1" xr3:uid="{19C5AB96-9F45-411D-ACBB-140176CFB95C}" name="Month"/>
    <tableColumn id="2" xr3:uid="{A12AA6A4-6C2B-4AAD-B5B9-326BB7D3F7BF}" name="Month_Name"/>
    <tableColumn id="3" xr3:uid="{75FC1291-19EB-4FD3-8224-826D239D4531}" name="Category"/>
    <tableColumn id="4" xr3:uid="{66F5ADC6-C498-4F01-A8CE-C4C05F1A15AD}" name="Budgeted_Revenue_INR"/>
    <tableColumn id="5" xr3:uid="{6F4672E8-28FE-4BDD-98FB-658D368BB69E}" name="Budgeted_Unit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D70785-B999-4650-BC1B-D511D58EF7D9}" name="tbl_Returns" displayName="tbl_Returns" ref="A1:G105" totalsRowShown="0">
  <autoFilter ref="A1:G105" xr:uid="{57D70785-B999-4650-BC1B-D511D58EF7D9}"/>
  <tableColumns count="7">
    <tableColumn id="1" xr3:uid="{93C4DBAA-B46B-48CD-A200-AA21327D8BF6}" name="Return_ID"/>
    <tableColumn id="2" xr3:uid="{04F1E74B-A84F-4EA6-8F71-85E3DAE8B64E}" name="Sale_ID"/>
    <tableColumn id="3" xr3:uid="{9178AE54-31BD-41B8-B9C9-7C1A5491FE1F}" name="Date"/>
    <tableColumn id="4" xr3:uid="{B09F1D7F-5C22-4EBB-A40E-5406463C3383}" name="Product_ID"/>
    <tableColumn id="5" xr3:uid="{02B3DB91-F8C4-4D10-9E2E-FF9299DACD79}" name="Category"/>
    <tableColumn id="6" xr3:uid="{F66969E3-FAB0-4066-9B7A-171BFC22AFEB}" name="Units_Returned"/>
    <tableColumn id="7" xr3:uid="{5F9E44CB-C227-4509-BBE8-6B12346DF8E8}" name="Reaso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5DE822-F39E-48F7-8E02-7F05F8663487}" name="Sales_Master" displayName="Sales_Master" ref="A1:T1501" tableType="queryTable" totalsRowShown="0">
  <autoFilter ref="A1:T1501" xr:uid="{785DE822-F39E-48F7-8E02-7F05F8663487}"/>
  <tableColumns count="20">
    <tableColumn id="1" xr3:uid="{180E934A-B3B0-4755-B069-AEEF05A6ED8E}" uniqueName="1" name="Sale_ID" queryTableFieldId="1" dataDxfId="44"/>
    <tableColumn id="2" xr3:uid="{6EB37301-F88A-4DF1-8937-B76480192BCF}" uniqueName="2" name="Date" queryTableFieldId="2" dataDxfId="43"/>
    <tableColumn id="3" xr3:uid="{B5F2DB0C-0F56-4185-B970-253BADB3D0D8}" uniqueName="3" name="Week_Number" queryTableFieldId="3"/>
    <tableColumn id="4" xr3:uid="{D02CFB8D-C087-41FE-8AFD-26436CDAA1DF}" uniqueName="4" name="Month" queryTableFieldId="4"/>
    <tableColumn id="5" xr3:uid="{0554D2F4-21B0-4110-B1B7-A40FCDF10257}" uniqueName="5" name="Month_Name" queryTableFieldId="5" dataDxfId="42"/>
    <tableColumn id="6" xr3:uid="{03102D26-3FEF-4996-85FF-7EE13A8BCFA3}" uniqueName="6" name="Product_ID" queryTableFieldId="6" dataDxfId="41"/>
    <tableColumn id="7" xr3:uid="{82DBFAC1-69EA-4784-8C65-E006C38CE294}" uniqueName="7" name="Category" queryTableFieldId="7" dataDxfId="40"/>
    <tableColumn id="8" xr3:uid="{6E296798-15FE-49D1-908B-676AF24F917F}" uniqueName="8" name="Units_Sold" queryTableFieldId="8"/>
    <tableColumn id="9" xr3:uid="{F7DFFE3E-7EBC-4A9E-934E-6A02B7550687}" uniqueName="9" name="Sale_Price" queryTableFieldId="9"/>
    <tableColumn id="10" xr3:uid="{EBB8FFAB-2FF7-46B9-AC41-E0DF65E1E4FD}" uniqueName="10" name="Discount_%" queryTableFieldId="10"/>
    <tableColumn id="11" xr3:uid="{8AD5F2AB-08E4-47B9-8DC0-89491D8E5505}" uniqueName="11" name="Product_Name" queryTableFieldId="11" dataDxfId="39"/>
    <tableColumn id="12" xr3:uid="{7D8ECB9F-CAC0-4C1C-AEC8-A613AC520C85}" uniqueName="12" name="COGS" queryTableFieldId="12"/>
    <tableColumn id="13" xr3:uid="{C6A98C6F-18B7-49A8-8AB0-781B1B512FF7}" uniqueName="13" name="Revenue_INR" queryTableFieldId="13"/>
    <tableColumn id="14" xr3:uid="{A122E167-A8C4-4AC7-9F6C-F22673D43768}" uniqueName="14" name="Total_COGS" queryTableFieldId="14"/>
    <tableColumn id="15" xr3:uid="{3C465DC2-363B-4C30-99E4-4C7336A8EAE9}" uniqueName="15" name="Gross_Profit" queryTableFieldId="15"/>
    <tableColumn id="16" xr3:uid="{543A4D8C-F89A-4553-8D39-362EAE491606}" uniqueName="16" name="Gross_Margin_%" queryTableFieldId="16"/>
    <tableColumn id="17" xr3:uid="{B32214B7-EB98-426D-98E9-0D6453A0344B}" uniqueName="17" name="Units_Returned" queryTableFieldId="17"/>
    <tableColumn id="18" xr3:uid="{1275624C-4E7F-48FA-809A-7FEBD42A482F}" uniqueName="18" name="Units_Returned_Clean" queryTableFieldId="18"/>
    <tableColumn id="19" xr3:uid="{CCBDE608-8293-4FF7-9B92-81589244FB1D}" uniqueName="19" name="Net_Units_Sold" queryTableFieldId="19"/>
    <tableColumn id="20" xr3:uid="{FFDCC9C4-99C7-4C1B-91F3-838CD4672053}" uniqueName="20" name="Net_Revenue_INR" queryTableFieldId="2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A33C8F2-10A1-4216-BC98-5DA9935EE065}" name="Table6" displayName="Table6" ref="A61:C74" totalsRowCount="1" tableBorderDxfId="34">
  <autoFilter ref="A61:C73" xr:uid="{1A33C8F2-10A1-4216-BC98-5DA9935EE065}"/>
  <tableColumns count="3">
    <tableColumn id="2" xr3:uid="{CA9A59CB-F12B-460D-B412-27EAAB8A7E48}" name="Month_Name">
      <calculatedColumnFormula>Analysis!G29</calculatedColumnFormula>
    </tableColumn>
    <tableColumn id="3" xr3:uid="{B572BD53-EA08-42F4-9B84-90A9220C4AB4}" name="Actual" dataDxfId="33">
      <calculatedColumnFormula>Analysis!H29</calculatedColumnFormula>
    </tableColumn>
    <tableColumn id="4" xr3:uid="{B97B7BA0-0C05-48C1-9BEC-D25D8A04EE7D}" name="Budgeted" dataDxfId="32">
      <calculatedColumnFormula>Analysis!I29</calculatedColumnFormula>
    </tableColumn>
  </tableColumns>
  <tableStyleInfo name="TableStyleLight9" showFirstColumn="0" showLastColumn="0" showRowStripes="1" showColumnStripes="1"/>
</table>
</file>

<file path=xl/theme/theme1.xml><?xml version="1.0" encoding="utf-8"?>
<a:theme xmlns:a="http://schemas.openxmlformats.org/drawingml/2006/main" name="Office Theme">
  <a:themeElements>
    <a:clrScheme name="Custom 4">
      <a:dk1>
        <a:sysClr val="windowText" lastClr="000000"/>
      </a:dk1>
      <a:lt1>
        <a:sysClr val="window" lastClr="FFFFFF"/>
      </a:lt1>
      <a:dk2>
        <a:srgbClr val="1F497D"/>
      </a:dk2>
      <a:lt2>
        <a:srgbClr val="EEECE1"/>
      </a:lt2>
      <a:accent1>
        <a:srgbClr val="00B0F0"/>
      </a:accent1>
      <a:accent2>
        <a:srgbClr val="3BB273"/>
      </a:accent2>
      <a:accent3>
        <a:srgbClr val="E84855"/>
      </a:accent3>
      <a:accent4>
        <a:srgbClr val="7B2D8B"/>
      </a:accent4>
      <a:accent5>
        <a:srgbClr val="F5A623"/>
      </a:accent5>
      <a:accent6>
        <a:srgbClr val="92D05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01"/>
  <sheetViews>
    <sheetView workbookViewId="0">
      <selection activeCell="K17" sqref="K17"/>
    </sheetView>
  </sheetViews>
  <sheetFormatPr defaultRowHeight="14.4"/>
  <cols>
    <col min="1" max="1" width="9.109375" customWidth="1"/>
    <col min="2" max="2" width="10.33203125" bestFit="1" customWidth="1"/>
    <col min="3" max="3" width="15.5546875" customWidth="1"/>
    <col min="4" max="4" width="8.6640625" customWidth="1"/>
    <col min="5" max="5" width="14.6640625" customWidth="1"/>
    <col min="6" max="6" width="12.33203125" customWidth="1"/>
    <col min="7" max="7" width="16.44140625" bestFit="1" customWidth="1"/>
    <col min="8" max="8" width="11.88671875" customWidth="1"/>
    <col min="9" max="9" width="11.44140625" customWidth="1"/>
    <col min="10" max="10" width="12.6640625" customWidth="1"/>
  </cols>
  <sheetData>
    <row r="1" spans="1:10">
      <c r="A1" t="s">
        <v>0</v>
      </c>
      <c r="B1" t="s">
        <v>1</v>
      </c>
      <c r="C1" t="s">
        <v>2</v>
      </c>
      <c r="D1" t="s">
        <v>3</v>
      </c>
      <c r="E1" t="s">
        <v>4</v>
      </c>
      <c r="F1" t="s">
        <v>5</v>
      </c>
      <c r="G1" t="s">
        <v>6</v>
      </c>
      <c r="H1" t="s">
        <v>7</v>
      </c>
      <c r="I1" t="s">
        <v>8</v>
      </c>
      <c r="J1" t="s">
        <v>9</v>
      </c>
    </row>
    <row r="2" spans="1:10">
      <c r="A2" t="s">
        <v>10</v>
      </c>
      <c r="B2" t="s">
        <v>11</v>
      </c>
      <c r="C2">
        <v>1</v>
      </c>
      <c r="D2">
        <v>1</v>
      </c>
      <c r="E2" t="s">
        <v>12</v>
      </c>
      <c r="F2" t="s">
        <v>13</v>
      </c>
      <c r="G2" t="s">
        <v>14</v>
      </c>
      <c r="H2">
        <v>5</v>
      </c>
      <c r="I2">
        <v>408</v>
      </c>
      <c r="J2">
        <v>15</v>
      </c>
    </row>
    <row r="3" spans="1:10">
      <c r="A3" t="s">
        <v>15</v>
      </c>
      <c r="B3" t="s">
        <v>11</v>
      </c>
      <c r="C3">
        <v>1</v>
      </c>
      <c r="D3">
        <v>1</v>
      </c>
      <c r="E3" t="s">
        <v>12</v>
      </c>
      <c r="F3" t="s">
        <v>16</v>
      </c>
      <c r="G3" t="s">
        <v>17</v>
      </c>
      <c r="H3">
        <v>1</v>
      </c>
      <c r="I3">
        <v>468</v>
      </c>
      <c r="J3">
        <v>10</v>
      </c>
    </row>
    <row r="4" spans="1:10">
      <c r="A4" t="s">
        <v>18</v>
      </c>
      <c r="B4" t="s">
        <v>11</v>
      </c>
      <c r="C4">
        <v>1</v>
      </c>
      <c r="D4">
        <v>1</v>
      </c>
      <c r="E4" t="s">
        <v>12</v>
      </c>
      <c r="F4" t="s">
        <v>19</v>
      </c>
      <c r="G4" t="s">
        <v>20</v>
      </c>
      <c r="H4">
        <v>4</v>
      </c>
      <c r="I4">
        <v>1377</v>
      </c>
      <c r="J4">
        <v>15</v>
      </c>
    </row>
    <row r="5" spans="1:10">
      <c r="A5" t="s">
        <v>21</v>
      </c>
      <c r="B5" t="s">
        <v>11</v>
      </c>
      <c r="C5">
        <v>1</v>
      </c>
      <c r="D5">
        <v>1</v>
      </c>
      <c r="E5" t="s">
        <v>12</v>
      </c>
      <c r="F5" t="s">
        <v>22</v>
      </c>
      <c r="G5" t="s">
        <v>23</v>
      </c>
      <c r="H5">
        <v>5</v>
      </c>
      <c r="I5">
        <v>500</v>
      </c>
      <c r="J5">
        <v>0</v>
      </c>
    </row>
    <row r="6" spans="1:10">
      <c r="A6" t="s">
        <v>24</v>
      </c>
      <c r="B6" t="s">
        <v>11</v>
      </c>
      <c r="C6">
        <v>1</v>
      </c>
      <c r="D6">
        <v>1</v>
      </c>
      <c r="E6" t="s">
        <v>12</v>
      </c>
      <c r="F6" t="s">
        <v>25</v>
      </c>
      <c r="G6" t="s">
        <v>26</v>
      </c>
      <c r="H6">
        <v>2</v>
      </c>
      <c r="I6">
        <v>1000</v>
      </c>
      <c r="J6">
        <v>0</v>
      </c>
    </row>
    <row r="7" spans="1:10">
      <c r="A7" t="s">
        <v>27</v>
      </c>
      <c r="B7" t="s">
        <v>11</v>
      </c>
      <c r="C7">
        <v>1</v>
      </c>
      <c r="D7">
        <v>1</v>
      </c>
      <c r="E7" t="s">
        <v>12</v>
      </c>
      <c r="F7" t="s">
        <v>28</v>
      </c>
      <c r="G7" t="s">
        <v>26</v>
      </c>
      <c r="H7">
        <v>2</v>
      </c>
      <c r="I7">
        <v>1350</v>
      </c>
      <c r="J7">
        <v>10</v>
      </c>
    </row>
    <row r="8" spans="1:10">
      <c r="A8" t="s">
        <v>29</v>
      </c>
      <c r="B8" t="s">
        <v>30</v>
      </c>
      <c r="C8">
        <v>1</v>
      </c>
      <c r="D8">
        <v>1</v>
      </c>
      <c r="E8" t="s">
        <v>12</v>
      </c>
      <c r="F8" t="s">
        <v>31</v>
      </c>
      <c r="G8" t="s">
        <v>23</v>
      </c>
      <c r="H8">
        <v>2</v>
      </c>
      <c r="I8">
        <v>1400</v>
      </c>
      <c r="J8">
        <v>0</v>
      </c>
    </row>
    <row r="9" spans="1:10">
      <c r="A9" t="s">
        <v>32</v>
      </c>
      <c r="B9" t="s">
        <v>30</v>
      </c>
      <c r="C9">
        <v>1</v>
      </c>
      <c r="D9">
        <v>1</v>
      </c>
      <c r="E9" t="s">
        <v>12</v>
      </c>
      <c r="F9" t="s">
        <v>22</v>
      </c>
      <c r="G9" t="s">
        <v>23</v>
      </c>
      <c r="H9">
        <v>5</v>
      </c>
      <c r="I9">
        <v>425</v>
      </c>
      <c r="J9">
        <v>15</v>
      </c>
    </row>
    <row r="10" spans="1:10">
      <c r="A10" t="s">
        <v>33</v>
      </c>
      <c r="B10" t="s">
        <v>34</v>
      </c>
      <c r="C10">
        <v>1</v>
      </c>
      <c r="D10">
        <v>1</v>
      </c>
      <c r="E10" t="s">
        <v>12</v>
      </c>
      <c r="F10" t="s">
        <v>35</v>
      </c>
      <c r="G10" t="s">
        <v>17</v>
      </c>
      <c r="H10">
        <v>4</v>
      </c>
      <c r="I10">
        <v>3150</v>
      </c>
      <c r="J10">
        <v>0</v>
      </c>
    </row>
    <row r="11" spans="1:10">
      <c r="A11" t="s">
        <v>36</v>
      </c>
      <c r="B11" t="s">
        <v>34</v>
      </c>
      <c r="C11">
        <v>1</v>
      </c>
      <c r="D11">
        <v>1</v>
      </c>
      <c r="E11" t="s">
        <v>12</v>
      </c>
      <c r="F11" t="s">
        <v>37</v>
      </c>
      <c r="G11" t="s">
        <v>20</v>
      </c>
      <c r="H11">
        <v>3</v>
      </c>
      <c r="I11">
        <v>1989</v>
      </c>
      <c r="J11">
        <v>15</v>
      </c>
    </row>
    <row r="12" spans="1:10">
      <c r="A12" t="s">
        <v>38</v>
      </c>
      <c r="B12" t="s">
        <v>34</v>
      </c>
      <c r="C12">
        <v>1</v>
      </c>
      <c r="D12">
        <v>1</v>
      </c>
      <c r="E12" t="s">
        <v>12</v>
      </c>
      <c r="F12" t="s">
        <v>39</v>
      </c>
      <c r="G12" t="s">
        <v>14</v>
      </c>
      <c r="H12">
        <v>5</v>
      </c>
      <c r="I12">
        <v>792</v>
      </c>
      <c r="J12">
        <v>10</v>
      </c>
    </row>
    <row r="13" spans="1:10">
      <c r="A13" t="s">
        <v>40</v>
      </c>
      <c r="B13" t="s">
        <v>34</v>
      </c>
      <c r="C13">
        <v>1</v>
      </c>
      <c r="D13">
        <v>1</v>
      </c>
      <c r="E13" t="s">
        <v>12</v>
      </c>
      <c r="F13" t="s">
        <v>22</v>
      </c>
      <c r="G13" t="s">
        <v>23</v>
      </c>
      <c r="H13">
        <v>5</v>
      </c>
      <c r="I13">
        <v>500</v>
      </c>
      <c r="J13">
        <v>0</v>
      </c>
    </row>
    <row r="14" spans="1:10">
      <c r="A14" t="s">
        <v>41</v>
      </c>
      <c r="B14" t="s">
        <v>34</v>
      </c>
      <c r="C14">
        <v>1</v>
      </c>
      <c r="D14">
        <v>1</v>
      </c>
      <c r="E14" t="s">
        <v>12</v>
      </c>
      <c r="F14" t="s">
        <v>42</v>
      </c>
      <c r="G14" t="s">
        <v>23</v>
      </c>
      <c r="H14">
        <v>2</v>
      </c>
      <c r="I14">
        <v>600</v>
      </c>
      <c r="J14">
        <v>0</v>
      </c>
    </row>
    <row r="15" spans="1:10">
      <c r="A15" t="s">
        <v>43</v>
      </c>
      <c r="B15" t="s">
        <v>34</v>
      </c>
      <c r="C15">
        <v>1</v>
      </c>
      <c r="D15">
        <v>1</v>
      </c>
      <c r="E15" t="s">
        <v>12</v>
      </c>
      <c r="F15" t="s">
        <v>35</v>
      </c>
      <c r="G15" t="s">
        <v>17</v>
      </c>
      <c r="H15">
        <v>2</v>
      </c>
      <c r="I15">
        <v>2835</v>
      </c>
      <c r="J15">
        <v>10</v>
      </c>
    </row>
    <row r="16" spans="1:10">
      <c r="A16" t="s">
        <v>44</v>
      </c>
      <c r="B16" t="s">
        <v>34</v>
      </c>
      <c r="C16">
        <v>1</v>
      </c>
      <c r="D16">
        <v>1</v>
      </c>
      <c r="E16" t="s">
        <v>12</v>
      </c>
      <c r="F16" t="s">
        <v>45</v>
      </c>
      <c r="G16" t="s">
        <v>26</v>
      </c>
      <c r="H16">
        <v>2</v>
      </c>
      <c r="I16">
        <v>4500</v>
      </c>
      <c r="J16">
        <v>0</v>
      </c>
    </row>
    <row r="17" spans="1:10">
      <c r="A17" t="s">
        <v>46</v>
      </c>
      <c r="B17" t="s">
        <v>34</v>
      </c>
      <c r="C17">
        <v>1</v>
      </c>
      <c r="D17">
        <v>1</v>
      </c>
      <c r="E17" t="s">
        <v>12</v>
      </c>
      <c r="F17" t="s">
        <v>28</v>
      </c>
      <c r="G17" t="s">
        <v>26</v>
      </c>
      <c r="H17">
        <v>2</v>
      </c>
      <c r="I17">
        <v>1350</v>
      </c>
      <c r="J17">
        <v>10</v>
      </c>
    </row>
    <row r="18" spans="1:10">
      <c r="A18" t="s">
        <v>47</v>
      </c>
      <c r="B18" t="s">
        <v>34</v>
      </c>
      <c r="C18">
        <v>1</v>
      </c>
      <c r="D18">
        <v>1</v>
      </c>
      <c r="E18" t="s">
        <v>12</v>
      </c>
      <c r="F18" t="s">
        <v>19</v>
      </c>
      <c r="G18" t="s">
        <v>20</v>
      </c>
      <c r="H18">
        <v>1</v>
      </c>
      <c r="I18">
        <v>1539</v>
      </c>
      <c r="J18">
        <v>5</v>
      </c>
    </row>
    <row r="19" spans="1:10">
      <c r="A19" t="s">
        <v>48</v>
      </c>
      <c r="B19" t="s">
        <v>34</v>
      </c>
      <c r="C19">
        <v>1</v>
      </c>
      <c r="D19">
        <v>1</v>
      </c>
      <c r="E19" t="s">
        <v>12</v>
      </c>
      <c r="F19" t="s">
        <v>35</v>
      </c>
      <c r="G19" t="s">
        <v>17</v>
      </c>
      <c r="H19">
        <v>5</v>
      </c>
      <c r="I19">
        <v>3150</v>
      </c>
      <c r="J19">
        <v>0</v>
      </c>
    </row>
    <row r="20" spans="1:10">
      <c r="A20" t="s">
        <v>49</v>
      </c>
      <c r="B20" t="s">
        <v>50</v>
      </c>
      <c r="C20">
        <v>1</v>
      </c>
      <c r="D20">
        <v>1</v>
      </c>
      <c r="E20" t="s">
        <v>12</v>
      </c>
      <c r="F20" t="s">
        <v>51</v>
      </c>
      <c r="G20" t="s">
        <v>26</v>
      </c>
      <c r="H20">
        <v>3</v>
      </c>
      <c r="I20">
        <v>500</v>
      </c>
      <c r="J20">
        <v>0</v>
      </c>
    </row>
    <row r="21" spans="1:10">
      <c r="A21" t="s">
        <v>52</v>
      </c>
      <c r="B21" t="s">
        <v>50</v>
      </c>
      <c r="C21">
        <v>1</v>
      </c>
      <c r="D21">
        <v>1</v>
      </c>
      <c r="E21" t="s">
        <v>12</v>
      </c>
      <c r="F21" t="s">
        <v>25</v>
      </c>
      <c r="G21" t="s">
        <v>26</v>
      </c>
      <c r="H21">
        <v>3</v>
      </c>
      <c r="I21">
        <v>850</v>
      </c>
      <c r="J21">
        <v>15</v>
      </c>
    </row>
    <row r="22" spans="1:10">
      <c r="A22" t="s">
        <v>53</v>
      </c>
      <c r="B22" t="s">
        <v>50</v>
      </c>
      <c r="C22">
        <v>1</v>
      </c>
      <c r="D22">
        <v>1</v>
      </c>
      <c r="E22" t="s">
        <v>12</v>
      </c>
      <c r="F22" t="s">
        <v>16</v>
      </c>
      <c r="G22" t="s">
        <v>17</v>
      </c>
      <c r="H22">
        <v>4</v>
      </c>
      <c r="I22">
        <v>520</v>
      </c>
      <c r="J22">
        <v>0</v>
      </c>
    </row>
    <row r="23" spans="1:10">
      <c r="A23" t="s">
        <v>54</v>
      </c>
      <c r="B23" t="s">
        <v>55</v>
      </c>
      <c r="C23">
        <v>1</v>
      </c>
      <c r="D23">
        <v>1</v>
      </c>
      <c r="E23" t="s">
        <v>12</v>
      </c>
      <c r="F23" t="s">
        <v>22</v>
      </c>
      <c r="G23" t="s">
        <v>23</v>
      </c>
      <c r="H23">
        <v>1</v>
      </c>
      <c r="I23">
        <v>425</v>
      </c>
      <c r="J23">
        <v>15</v>
      </c>
    </row>
    <row r="24" spans="1:10">
      <c r="A24" t="s">
        <v>56</v>
      </c>
      <c r="B24" t="s">
        <v>55</v>
      </c>
      <c r="C24">
        <v>1</v>
      </c>
      <c r="D24">
        <v>1</v>
      </c>
      <c r="E24" t="s">
        <v>12</v>
      </c>
      <c r="F24" t="s">
        <v>13</v>
      </c>
      <c r="G24" t="s">
        <v>14</v>
      </c>
      <c r="H24">
        <v>3</v>
      </c>
      <c r="I24">
        <v>408</v>
      </c>
      <c r="J24">
        <v>15</v>
      </c>
    </row>
    <row r="25" spans="1:10">
      <c r="A25" t="s">
        <v>57</v>
      </c>
      <c r="B25" t="s">
        <v>55</v>
      </c>
      <c r="C25">
        <v>1</v>
      </c>
      <c r="D25">
        <v>1</v>
      </c>
      <c r="E25" t="s">
        <v>12</v>
      </c>
      <c r="F25" t="s">
        <v>58</v>
      </c>
      <c r="G25" t="s">
        <v>23</v>
      </c>
      <c r="H25">
        <v>4</v>
      </c>
      <c r="I25">
        <v>1000</v>
      </c>
      <c r="J25">
        <v>0</v>
      </c>
    </row>
    <row r="26" spans="1:10">
      <c r="A26" t="s">
        <v>59</v>
      </c>
      <c r="B26" t="s">
        <v>60</v>
      </c>
      <c r="C26">
        <v>1</v>
      </c>
      <c r="D26">
        <v>1</v>
      </c>
      <c r="E26" t="s">
        <v>12</v>
      </c>
      <c r="F26" t="s">
        <v>42</v>
      </c>
      <c r="G26" t="s">
        <v>23</v>
      </c>
      <c r="H26">
        <v>2</v>
      </c>
      <c r="I26">
        <v>510</v>
      </c>
      <c r="J26">
        <v>15</v>
      </c>
    </row>
    <row r="27" spans="1:10">
      <c r="A27" t="s">
        <v>61</v>
      </c>
      <c r="B27" t="s">
        <v>60</v>
      </c>
      <c r="C27">
        <v>1</v>
      </c>
      <c r="D27">
        <v>1</v>
      </c>
      <c r="E27" t="s">
        <v>12</v>
      </c>
      <c r="F27" t="s">
        <v>51</v>
      </c>
      <c r="G27" t="s">
        <v>26</v>
      </c>
      <c r="H27">
        <v>2</v>
      </c>
      <c r="I27">
        <v>475</v>
      </c>
      <c r="J27">
        <v>5</v>
      </c>
    </row>
    <row r="28" spans="1:10">
      <c r="A28" t="s">
        <v>62</v>
      </c>
      <c r="B28" t="s">
        <v>60</v>
      </c>
      <c r="C28">
        <v>1</v>
      </c>
      <c r="D28">
        <v>1</v>
      </c>
      <c r="E28" t="s">
        <v>12</v>
      </c>
      <c r="F28" t="s">
        <v>35</v>
      </c>
      <c r="G28" t="s">
        <v>17</v>
      </c>
      <c r="H28">
        <v>2</v>
      </c>
      <c r="I28">
        <v>2835</v>
      </c>
      <c r="J28">
        <v>10</v>
      </c>
    </row>
    <row r="29" spans="1:10">
      <c r="A29" t="s">
        <v>63</v>
      </c>
      <c r="B29" t="s">
        <v>60</v>
      </c>
      <c r="C29">
        <v>1</v>
      </c>
      <c r="D29">
        <v>1</v>
      </c>
      <c r="E29" t="s">
        <v>12</v>
      </c>
      <c r="F29" t="s">
        <v>64</v>
      </c>
      <c r="G29" t="s">
        <v>14</v>
      </c>
      <c r="H29">
        <v>1</v>
      </c>
      <c r="I29">
        <v>2640</v>
      </c>
      <c r="J29">
        <v>0</v>
      </c>
    </row>
    <row r="30" spans="1:10">
      <c r="A30" t="s">
        <v>65</v>
      </c>
      <c r="B30" t="s">
        <v>60</v>
      </c>
      <c r="C30">
        <v>1</v>
      </c>
      <c r="D30">
        <v>1</v>
      </c>
      <c r="E30" t="s">
        <v>12</v>
      </c>
      <c r="F30" t="s">
        <v>66</v>
      </c>
      <c r="G30" t="s">
        <v>17</v>
      </c>
      <c r="H30">
        <v>3</v>
      </c>
      <c r="I30">
        <v>1396.5</v>
      </c>
      <c r="J30">
        <v>5</v>
      </c>
    </row>
    <row r="31" spans="1:10">
      <c r="A31" t="s">
        <v>67</v>
      </c>
      <c r="B31" t="s">
        <v>60</v>
      </c>
      <c r="C31">
        <v>1</v>
      </c>
      <c r="D31">
        <v>1</v>
      </c>
      <c r="E31" t="s">
        <v>12</v>
      </c>
      <c r="F31" t="s">
        <v>68</v>
      </c>
      <c r="G31" t="s">
        <v>26</v>
      </c>
      <c r="H31">
        <v>3</v>
      </c>
      <c r="I31">
        <v>380</v>
      </c>
      <c r="J31">
        <v>0</v>
      </c>
    </row>
    <row r="32" spans="1:10">
      <c r="A32" t="s">
        <v>69</v>
      </c>
      <c r="B32" t="s">
        <v>70</v>
      </c>
      <c r="C32">
        <v>1</v>
      </c>
      <c r="D32">
        <v>1</v>
      </c>
      <c r="E32" t="s">
        <v>12</v>
      </c>
      <c r="F32" t="s">
        <v>39</v>
      </c>
      <c r="G32" t="s">
        <v>14</v>
      </c>
      <c r="H32">
        <v>4</v>
      </c>
      <c r="I32">
        <v>748</v>
      </c>
      <c r="J32">
        <v>15</v>
      </c>
    </row>
    <row r="33" spans="1:10">
      <c r="A33" t="s">
        <v>71</v>
      </c>
      <c r="B33" t="s">
        <v>70</v>
      </c>
      <c r="C33">
        <v>1</v>
      </c>
      <c r="D33">
        <v>1</v>
      </c>
      <c r="E33" t="s">
        <v>12</v>
      </c>
      <c r="F33" t="s">
        <v>58</v>
      </c>
      <c r="G33" t="s">
        <v>23</v>
      </c>
      <c r="H33">
        <v>4</v>
      </c>
      <c r="I33">
        <v>1000</v>
      </c>
      <c r="J33">
        <v>0</v>
      </c>
    </row>
    <row r="34" spans="1:10">
      <c r="A34" t="s">
        <v>72</v>
      </c>
      <c r="B34" t="s">
        <v>70</v>
      </c>
      <c r="C34">
        <v>1</v>
      </c>
      <c r="D34">
        <v>1</v>
      </c>
      <c r="E34" t="s">
        <v>12</v>
      </c>
      <c r="F34" t="s">
        <v>68</v>
      </c>
      <c r="G34" t="s">
        <v>26</v>
      </c>
      <c r="H34">
        <v>4</v>
      </c>
      <c r="I34">
        <v>380</v>
      </c>
      <c r="J34">
        <v>0</v>
      </c>
    </row>
    <row r="35" spans="1:10">
      <c r="A35" t="s">
        <v>73</v>
      </c>
      <c r="B35" t="s">
        <v>74</v>
      </c>
      <c r="C35">
        <v>2</v>
      </c>
      <c r="D35">
        <v>1</v>
      </c>
      <c r="E35" t="s">
        <v>12</v>
      </c>
      <c r="F35" t="s">
        <v>45</v>
      </c>
      <c r="G35" t="s">
        <v>26</v>
      </c>
      <c r="H35">
        <v>1</v>
      </c>
      <c r="I35">
        <v>4500</v>
      </c>
      <c r="J35">
        <v>0</v>
      </c>
    </row>
    <row r="36" spans="1:10">
      <c r="A36" t="s">
        <v>75</v>
      </c>
      <c r="B36" t="s">
        <v>74</v>
      </c>
      <c r="C36">
        <v>2</v>
      </c>
      <c r="D36">
        <v>1</v>
      </c>
      <c r="E36" t="s">
        <v>12</v>
      </c>
      <c r="F36" t="s">
        <v>58</v>
      </c>
      <c r="G36" t="s">
        <v>23</v>
      </c>
      <c r="H36">
        <v>3</v>
      </c>
      <c r="I36">
        <v>1000</v>
      </c>
      <c r="J36">
        <v>0</v>
      </c>
    </row>
    <row r="37" spans="1:10">
      <c r="A37" t="s">
        <v>76</v>
      </c>
      <c r="B37" t="s">
        <v>74</v>
      </c>
      <c r="C37">
        <v>2</v>
      </c>
      <c r="D37">
        <v>1</v>
      </c>
      <c r="E37" t="s">
        <v>12</v>
      </c>
      <c r="F37" t="s">
        <v>66</v>
      </c>
      <c r="G37" t="s">
        <v>17</v>
      </c>
      <c r="H37">
        <v>5</v>
      </c>
      <c r="I37">
        <v>1323</v>
      </c>
      <c r="J37">
        <v>10</v>
      </c>
    </row>
    <row r="38" spans="1:10">
      <c r="A38" t="s">
        <v>77</v>
      </c>
      <c r="B38" t="s">
        <v>74</v>
      </c>
      <c r="C38">
        <v>2</v>
      </c>
      <c r="D38">
        <v>1</v>
      </c>
      <c r="E38" t="s">
        <v>12</v>
      </c>
      <c r="F38" t="s">
        <v>22</v>
      </c>
      <c r="G38" t="s">
        <v>23</v>
      </c>
      <c r="H38">
        <v>3</v>
      </c>
      <c r="I38">
        <v>500</v>
      </c>
      <c r="J38">
        <v>0</v>
      </c>
    </row>
    <row r="39" spans="1:10">
      <c r="A39" t="s">
        <v>78</v>
      </c>
      <c r="B39" t="s">
        <v>74</v>
      </c>
      <c r="C39">
        <v>2</v>
      </c>
      <c r="D39">
        <v>1</v>
      </c>
      <c r="E39" t="s">
        <v>12</v>
      </c>
      <c r="F39" t="s">
        <v>19</v>
      </c>
      <c r="G39" t="s">
        <v>20</v>
      </c>
      <c r="H39">
        <v>3</v>
      </c>
      <c r="I39">
        <v>1377</v>
      </c>
      <c r="J39">
        <v>15</v>
      </c>
    </row>
    <row r="40" spans="1:10">
      <c r="A40" t="s">
        <v>79</v>
      </c>
      <c r="B40" t="s">
        <v>74</v>
      </c>
      <c r="C40">
        <v>2</v>
      </c>
      <c r="D40">
        <v>1</v>
      </c>
      <c r="E40" t="s">
        <v>12</v>
      </c>
      <c r="F40" t="s">
        <v>80</v>
      </c>
      <c r="G40" t="s">
        <v>14</v>
      </c>
      <c r="H40">
        <v>1</v>
      </c>
      <c r="I40">
        <v>400</v>
      </c>
      <c r="J40">
        <v>0</v>
      </c>
    </row>
    <row r="41" spans="1:10">
      <c r="A41" t="s">
        <v>81</v>
      </c>
      <c r="B41" t="s">
        <v>74</v>
      </c>
      <c r="C41">
        <v>2</v>
      </c>
      <c r="D41">
        <v>1</v>
      </c>
      <c r="E41" t="s">
        <v>12</v>
      </c>
      <c r="F41" t="s">
        <v>82</v>
      </c>
      <c r="G41" t="s">
        <v>20</v>
      </c>
      <c r="H41">
        <v>1</v>
      </c>
      <c r="I41">
        <v>900</v>
      </c>
      <c r="J41">
        <v>0</v>
      </c>
    </row>
    <row r="42" spans="1:10">
      <c r="A42" t="s">
        <v>83</v>
      </c>
      <c r="B42" t="s">
        <v>74</v>
      </c>
      <c r="C42">
        <v>2</v>
      </c>
      <c r="D42">
        <v>1</v>
      </c>
      <c r="E42" t="s">
        <v>12</v>
      </c>
      <c r="F42" t="s">
        <v>42</v>
      </c>
      <c r="G42" t="s">
        <v>23</v>
      </c>
      <c r="H42">
        <v>2</v>
      </c>
      <c r="I42">
        <v>600</v>
      </c>
      <c r="J42">
        <v>0</v>
      </c>
    </row>
    <row r="43" spans="1:10">
      <c r="A43" t="s">
        <v>84</v>
      </c>
      <c r="B43" t="s">
        <v>74</v>
      </c>
      <c r="C43">
        <v>2</v>
      </c>
      <c r="D43">
        <v>1</v>
      </c>
      <c r="E43" t="s">
        <v>12</v>
      </c>
      <c r="F43" t="s">
        <v>13</v>
      </c>
      <c r="G43" t="s">
        <v>14</v>
      </c>
      <c r="H43">
        <v>3</v>
      </c>
      <c r="I43">
        <v>480</v>
      </c>
      <c r="J43">
        <v>0</v>
      </c>
    </row>
    <row r="44" spans="1:10">
      <c r="A44" t="s">
        <v>85</v>
      </c>
      <c r="B44" t="s">
        <v>74</v>
      </c>
      <c r="C44">
        <v>2</v>
      </c>
      <c r="D44">
        <v>1</v>
      </c>
      <c r="E44" t="s">
        <v>12</v>
      </c>
      <c r="F44" t="s">
        <v>86</v>
      </c>
      <c r="G44" t="s">
        <v>17</v>
      </c>
      <c r="H44">
        <v>5</v>
      </c>
      <c r="I44">
        <v>799</v>
      </c>
      <c r="J44">
        <v>15</v>
      </c>
    </row>
    <row r="45" spans="1:10">
      <c r="A45" t="s">
        <v>87</v>
      </c>
      <c r="B45" t="s">
        <v>74</v>
      </c>
      <c r="C45">
        <v>2</v>
      </c>
      <c r="D45">
        <v>1</v>
      </c>
      <c r="E45" t="s">
        <v>12</v>
      </c>
      <c r="F45" t="s">
        <v>28</v>
      </c>
      <c r="G45" t="s">
        <v>26</v>
      </c>
      <c r="H45">
        <v>3</v>
      </c>
      <c r="I45">
        <v>1425</v>
      </c>
      <c r="J45">
        <v>5</v>
      </c>
    </row>
    <row r="46" spans="1:10">
      <c r="A46" t="s">
        <v>88</v>
      </c>
      <c r="B46" t="s">
        <v>89</v>
      </c>
      <c r="C46">
        <v>2</v>
      </c>
      <c r="D46">
        <v>1</v>
      </c>
      <c r="E46" t="s">
        <v>12</v>
      </c>
      <c r="F46" t="s">
        <v>82</v>
      </c>
      <c r="G46" t="s">
        <v>20</v>
      </c>
      <c r="H46">
        <v>5</v>
      </c>
      <c r="I46">
        <v>765</v>
      </c>
      <c r="J46">
        <v>15</v>
      </c>
    </row>
    <row r="47" spans="1:10">
      <c r="A47" t="s">
        <v>90</v>
      </c>
      <c r="B47" t="s">
        <v>89</v>
      </c>
      <c r="C47">
        <v>2</v>
      </c>
      <c r="D47">
        <v>1</v>
      </c>
      <c r="E47" t="s">
        <v>12</v>
      </c>
      <c r="F47" t="s">
        <v>82</v>
      </c>
      <c r="G47" t="s">
        <v>20</v>
      </c>
      <c r="H47">
        <v>4</v>
      </c>
      <c r="I47">
        <v>900</v>
      </c>
      <c r="J47">
        <v>0</v>
      </c>
    </row>
    <row r="48" spans="1:10">
      <c r="A48" t="s">
        <v>91</v>
      </c>
      <c r="B48" t="s">
        <v>89</v>
      </c>
      <c r="C48">
        <v>2</v>
      </c>
      <c r="D48">
        <v>1</v>
      </c>
      <c r="E48" t="s">
        <v>12</v>
      </c>
      <c r="F48" t="s">
        <v>16</v>
      </c>
      <c r="G48" t="s">
        <v>17</v>
      </c>
      <c r="H48">
        <v>4</v>
      </c>
      <c r="I48">
        <v>468</v>
      </c>
      <c r="J48">
        <v>10</v>
      </c>
    </row>
    <row r="49" spans="1:10">
      <c r="A49" t="s">
        <v>92</v>
      </c>
      <c r="B49" t="s">
        <v>89</v>
      </c>
      <c r="C49">
        <v>2</v>
      </c>
      <c r="D49">
        <v>1</v>
      </c>
      <c r="E49" t="s">
        <v>12</v>
      </c>
      <c r="F49" t="s">
        <v>28</v>
      </c>
      <c r="G49" t="s">
        <v>26</v>
      </c>
      <c r="H49">
        <v>2</v>
      </c>
      <c r="I49">
        <v>1500</v>
      </c>
      <c r="J49">
        <v>0</v>
      </c>
    </row>
    <row r="50" spans="1:10">
      <c r="A50" t="s">
        <v>93</v>
      </c>
      <c r="B50" t="s">
        <v>89</v>
      </c>
      <c r="C50">
        <v>2</v>
      </c>
      <c r="D50">
        <v>1</v>
      </c>
      <c r="E50" t="s">
        <v>12</v>
      </c>
      <c r="F50" t="s">
        <v>94</v>
      </c>
      <c r="G50" t="s">
        <v>17</v>
      </c>
      <c r="H50">
        <v>3</v>
      </c>
      <c r="I50">
        <v>1512</v>
      </c>
      <c r="J50">
        <v>10</v>
      </c>
    </row>
    <row r="51" spans="1:10">
      <c r="A51" t="s">
        <v>95</v>
      </c>
      <c r="B51" t="s">
        <v>96</v>
      </c>
      <c r="C51">
        <v>2</v>
      </c>
      <c r="D51">
        <v>1</v>
      </c>
      <c r="E51" t="s">
        <v>12</v>
      </c>
      <c r="F51" t="s">
        <v>97</v>
      </c>
      <c r="G51" t="s">
        <v>20</v>
      </c>
      <c r="H51">
        <v>2</v>
      </c>
      <c r="I51">
        <v>1683</v>
      </c>
      <c r="J51">
        <v>15</v>
      </c>
    </row>
    <row r="52" spans="1:10">
      <c r="A52" t="s">
        <v>98</v>
      </c>
      <c r="B52" t="s">
        <v>96</v>
      </c>
      <c r="C52">
        <v>2</v>
      </c>
      <c r="D52">
        <v>1</v>
      </c>
      <c r="E52" t="s">
        <v>12</v>
      </c>
      <c r="F52" t="s">
        <v>13</v>
      </c>
      <c r="G52" t="s">
        <v>14</v>
      </c>
      <c r="H52">
        <v>1</v>
      </c>
      <c r="I52">
        <v>408</v>
      </c>
      <c r="J52">
        <v>15</v>
      </c>
    </row>
    <row r="53" spans="1:10">
      <c r="A53" t="s">
        <v>99</v>
      </c>
      <c r="B53" t="s">
        <v>96</v>
      </c>
      <c r="C53">
        <v>2</v>
      </c>
      <c r="D53">
        <v>1</v>
      </c>
      <c r="E53" t="s">
        <v>12</v>
      </c>
      <c r="F53" t="s">
        <v>66</v>
      </c>
      <c r="G53" t="s">
        <v>17</v>
      </c>
      <c r="H53">
        <v>3</v>
      </c>
      <c r="I53">
        <v>1396.5</v>
      </c>
      <c r="J53">
        <v>5</v>
      </c>
    </row>
    <row r="54" spans="1:10">
      <c r="A54" t="s">
        <v>100</v>
      </c>
      <c r="B54" t="s">
        <v>101</v>
      </c>
      <c r="C54">
        <v>2</v>
      </c>
      <c r="D54">
        <v>1</v>
      </c>
      <c r="E54" t="s">
        <v>12</v>
      </c>
      <c r="F54" t="s">
        <v>86</v>
      </c>
      <c r="G54" t="s">
        <v>17</v>
      </c>
      <c r="H54">
        <v>4</v>
      </c>
      <c r="I54">
        <v>940</v>
      </c>
      <c r="J54">
        <v>0</v>
      </c>
    </row>
    <row r="55" spans="1:10">
      <c r="A55" t="s">
        <v>102</v>
      </c>
      <c r="B55" t="s">
        <v>101</v>
      </c>
      <c r="C55">
        <v>2</v>
      </c>
      <c r="D55">
        <v>1</v>
      </c>
      <c r="E55" t="s">
        <v>12</v>
      </c>
      <c r="F55" t="s">
        <v>68</v>
      </c>
      <c r="G55" t="s">
        <v>26</v>
      </c>
      <c r="H55">
        <v>5</v>
      </c>
      <c r="I55">
        <v>380</v>
      </c>
      <c r="J55">
        <v>0</v>
      </c>
    </row>
    <row r="56" spans="1:10">
      <c r="A56" t="s">
        <v>103</v>
      </c>
      <c r="B56" t="s">
        <v>101</v>
      </c>
      <c r="C56">
        <v>2</v>
      </c>
      <c r="D56">
        <v>1</v>
      </c>
      <c r="E56" t="s">
        <v>12</v>
      </c>
      <c r="F56" t="s">
        <v>22</v>
      </c>
      <c r="G56" t="s">
        <v>23</v>
      </c>
      <c r="H56">
        <v>5</v>
      </c>
      <c r="I56">
        <v>500</v>
      </c>
      <c r="J56">
        <v>0</v>
      </c>
    </row>
    <row r="57" spans="1:10">
      <c r="A57" t="s">
        <v>104</v>
      </c>
      <c r="B57" t="s">
        <v>101</v>
      </c>
      <c r="C57">
        <v>2</v>
      </c>
      <c r="D57">
        <v>1</v>
      </c>
      <c r="E57" t="s">
        <v>12</v>
      </c>
      <c r="F57" t="s">
        <v>86</v>
      </c>
      <c r="G57" t="s">
        <v>17</v>
      </c>
      <c r="H57">
        <v>3</v>
      </c>
      <c r="I57">
        <v>940</v>
      </c>
      <c r="J57">
        <v>0</v>
      </c>
    </row>
    <row r="58" spans="1:10">
      <c r="A58" t="s">
        <v>105</v>
      </c>
      <c r="B58" t="s">
        <v>106</v>
      </c>
      <c r="C58">
        <v>2</v>
      </c>
      <c r="D58">
        <v>1</v>
      </c>
      <c r="E58" t="s">
        <v>12</v>
      </c>
      <c r="F58" t="s">
        <v>13</v>
      </c>
      <c r="G58" t="s">
        <v>14</v>
      </c>
      <c r="H58">
        <v>4</v>
      </c>
      <c r="I58">
        <v>480</v>
      </c>
      <c r="J58">
        <v>0</v>
      </c>
    </row>
    <row r="59" spans="1:10">
      <c r="A59" t="s">
        <v>107</v>
      </c>
      <c r="B59" t="s">
        <v>106</v>
      </c>
      <c r="C59">
        <v>2</v>
      </c>
      <c r="D59">
        <v>1</v>
      </c>
      <c r="E59" t="s">
        <v>12</v>
      </c>
      <c r="F59" t="s">
        <v>25</v>
      </c>
      <c r="G59" t="s">
        <v>26</v>
      </c>
      <c r="H59">
        <v>2</v>
      </c>
      <c r="I59">
        <v>1000</v>
      </c>
      <c r="J59">
        <v>0</v>
      </c>
    </row>
    <row r="60" spans="1:10">
      <c r="A60" t="s">
        <v>108</v>
      </c>
      <c r="B60" t="s">
        <v>106</v>
      </c>
      <c r="C60">
        <v>2</v>
      </c>
      <c r="D60">
        <v>1</v>
      </c>
      <c r="E60" t="s">
        <v>12</v>
      </c>
      <c r="F60" t="s">
        <v>45</v>
      </c>
      <c r="G60" t="s">
        <v>26</v>
      </c>
      <c r="H60">
        <v>3</v>
      </c>
      <c r="I60">
        <v>4500</v>
      </c>
      <c r="J60">
        <v>0</v>
      </c>
    </row>
    <row r="61" spans="1:10">
      <c r="A61" t="s">
        <v>109</v>
      </c>
      <c r="B61" t="s">
        <v>110</v>
      </c>
      <c r="C61">
        <v>2</v>
      </c>
      <c r="D61">
        <v>1</v>
      </c>
      <c r="E61" t="s">
        <v>12</v>
      </c>
      <c r="F61" t="s">
        <v>58</v>
      </c>
      <c r="G61" t="s">
        <v>23</v>
      </c>
      <c r="H61">
        <v>2</v>
      </c>
      <c r="I61">
        <v>900</v>
      </c>
      <c r="J61">
        <v>10</v>
      </c>
    </row>
    <row r="62" spans="1:10">
      <c r="A62" t="s">
        <v>111</v>
      </c>
      <c r="B62" t="s">
        <v>110</v>
      </c>
      <c r="C62">
        <v>2</v>
      </c>
      <c r="D62">
        <v>1</v>
      </c>
      <c r="E62" t="s">
        <v>12</v>
      </c>
      <c r="F62" t="s">
        <v>31</v>
      </c>
      <c r="G62" t="s">
        <v>23</v>
      </c>
      <c r="H62">
        <v>1</v>
      </c>
      <c r="I62">
        <v>1400</v>
      </c>
      <c r="J62">
        <v>0</v>
      </c>
    </row>
    <row r="63" spans="1:10">
      <c r="A63" t="s">
        <v>112</v>
      </c>
      <c r="B63" t="s">
        <v>110</v>
      </c>
      <c r="C63">
        <v>2</v>
      </c>
      <c r="D63">
        <v>1</v>
      </c>
      <c r="E63" t="s">
        <v>12</v>
      </c>
      <c r="F63" t="s">
        <v>86</v>
      </c>
      <c r="G63" t="s">
        <v>17</v>
      </c>
      <c r="H63">
        <v>4</v>
      </c>
      <c r="I63">
        <v>940</v>
      </c>
      <c r="J63">
        <v>0</v>
      </c>
    </row>
    <row r="64" spans="1:10">
      <c r="A64" t="s">
        <v>113</v>
      </c>
      <c r="B64" t="s">
        <v>110</v>
      </c>
      <c r="C64">
        <v>2</v>
      </c>
      <c r="D64">
        <v>1</v>
      </c>
      <c r="E64" t="s">
        <v>12</v>
      </c>
      <c r="F64" t="s">
        <v>19</v>
      </c>
      <c r="G64" t="s">
        <v>20</v>
      </c>
      <c r="H64">
        <v>1</v>
      </c>
      <c r="I64">
        <v>1377</v>
      </c>
      <c r="J64">
        <v>15</v>
      </c>
    </row>
    <row r="65" spans="1:10">
      <c r="A65" t="s">
        <v>114</v>
      </c>
      <c r="B65" t="s">
        <v>110</v>
      </c>
      <c r="C65">
        <v>2</v>
      </c>
      <c r="D65">
        <v>1</v>
      </c>
      <c r="E65" t="s">
        <v>12</v>
      </c>
      <c r="F65" t="s">
        <v>115</v>
      </c>
      <c r="G65" t="s">
        <v>23</v>
      </c>
      <c r="H65">
        <v>3</v>
      </c>
      <c r="I65">
        <v>1200</v>
      </c>
      <c r="J65">
        <v>0</v>
      </c>
    </row>
    <row r="66" spans="1:10">
      <c r="A66" t="s">
        <v>116</v>
      </c>
      <c r="B66" t="s">
        <v>110</v>
      </c>
      <c r="C66">
        <v>2</v>
      </c>
      <c r="D66">
        <v>1</v>
      </c>
      <c r="E66" t="s">
        <v>12</v>
      </c>
      <c r="F66" t="s">
        <v>51</v>
      </c>
      <c r="G66" t="s">
        <v>26</v>
      </c>
      <c r="H66">
        <v>4</v>
      </c>
      <c r="I66">
        <v>425</v>
      </c>
      <c r="J66">
        <v>15</v>
      </c>
    </row>
    <row r="67" spans="1:10">
      <c r="A67" t="s">
        <v>117</v>
      </c>
      <c r="B67" t="s">
        <v>110</v>
      </c>
      <c r="C67">
        <v>2</v>
      </c>
      <c r="D67">
        <v>1</v>
      </c>
      <c r="E67" t="s">
        <v>12</v>
      </c>
      <c r="F67" t="s">
        <v>16</v>
      </c>
      <c r="G67" t="s">
        <v>17</v>
      </c>
      <c r="H67">
        <v>5</v>
      </c>
      <c r="I67">
        <v>520</v>
      </c>
      <c r="J67">
        <v>0</v>
      </c>
    </row>
    <row r="68" spans="1:10">
      <c r="A68" t="s">
        <v>118</v>
      </c>
      <c r="B68" t="s">
        <v>110</v>
      </c>
      <c r="C68">
        <v>2</v>
      </c>
      <c r="D68">
        <v>1</v>
      </c>
      <c r="E68" t="s">
        <v>12</v>
      </c>
      <c r="F68" t="s">
        <v>119</v>
      </c>
      <c r="G68" t="s">
        <v>14</v>
      </c>
      <c r="H68">
        <v>5</v>
      </c>
      <c r="I68">
        <v>770</v>
      </c>
      <c r="J68">
        <v>0</v>
      </c>
    </row>
    <row r="69" spans="1:10">
      <c r="A69" t="s">
        <v>120</v>
      </c>
      <c r="B69" t="s">
        <v>121</v>
      </c>
      <c r="C69">
        <v>2</v>
      </c>
      <c r="D69">
        <v>1</v>
      </c>
      <c r="E69" t="s">
        <v>12</v>
      </c>
      <c r="F69" t="s">
        <v>37</v>
      </c>
      <c r="G69" t="s">
        <v>20</v>
      </c>
      <c r="H69">
        <v>3</v>
      </c>
      <c r="I69">
        <v>2340</v>
      </c>
      <c r="J69">
        <v>0</v>
      </c>
    </row>
    <row r="70" spans="1:10">
      <c r="A70" t="s">
        <v>122</v>
      </c>
      <c r="B70" t="s">
        <v>121</v>
      </c>
      <c r="C70">
        <v>2</v>
      </c>
      <c r="D70">
        <v>1</v>
      </c>
      <c r="E70" t="s">
        <v>12</v>
      </c>
      <c r="F70" t="s">
        <v>51</v>
      </c>
      <c r="G70" t="s">
        <v>26</v>
      </c>
      <c r="H70">
        <v>5</v>
      </c>
      <c r="I70">
        <v>450</v>
      </c>
      <c r="J70">
        <v>10</v>
      </c>
    </row>
    <row r="71" spans="1:10">
      <c r="A71" t="s">
        <v>123</v>
      </c>
      <c r="B71" t="s">
        <v>121</v>
      </c>
      <c r="C71">
        <v>2</v>
      </c>
      <c r="D71">
        <v>1</v>
      </c>
      <c r="E71" t="s">
        <v>12</v>
      </c>
      <c r="F71" t="s">
        <v>13</v>
      </c>
      <c r="G71" t="s">
        <v>14</v>
      </c>
      <c r="H71">
        <v>5</v>
      </c>
      <c r="I71">
        <v>480</v>
      </c>
      <c r="J71">
        <v>0</v>
      </c>
    </row>
    <row r="72" spans="1:10">
      <c r="A72" t="s">
        <v>124</v>
      </c>
      <c r="B72" t="s">
        <v>125</v>
      </c>
      <c r="C72">
        <v>3</v>
      </c>
      <c r="D72">
        <v>1</v>
      </c>
      <c r="E72" t="s">
        <v>12</v>
      </c>
      <c r="F72" t="s">
        <v>42</v>
      </c>
      <c r="G72" t="s">
        <v>23</v>
      </c>
      <c r="H72">
        <v>3</v>
      </c>
      <c r="I72">
        <v>600</v>
      </c>
      <c r="J72">
        <v>0</v>
      </c>
    </row>
    <row r="73" spans="1:10">
      <c r="A73" t="s">
        <v>126</v>
      </c>
      <c r="B73" t="s">
        <v>125</v>
      </c>
      <c r="C73">
        <v>3</v>
      </c>
      <c r="D73">
        <v>1</v>
      </c>
      <c r="E73" t="s">
        <v>12</v>
      </c>
      <c r="F73" t="s">
        <v>68</v>
      </c>
      <c r="G73" t="s">
        <v>26</v>
      </c>
      <c r="H73">
        <v>2</v>
      </c>
      <c r="I73">
        <v>342</v>
      </c>
      <c r="J73">
        <v>10</v>
      </c>
    </row>
    <row r="74" spans="1:10">
      <c r="A74" t="s">
        <v>127</v>
      </c>
      <c r="B74" t="s">
        <v>125</v>
      </c>
      <c r="C74">
        <v>3</v>
      </c>
      <c r="D74">
        <v>1</v>
      </c>
      <c r="E74" t="s">
        <v>12</v>
      </c>
      <c r="F74" t="s">
        <v>16</v>
      </c>
      <c r="G74" t="s">
        <v>17</v>
      </c>
      <c r="H74">
        <v>5</v>
      </c>
      <c r="I74">
        <v>520</v>
      </c>
      <c r="J74">
        <v>0</v>
      </c>
    </row>
    <row r="75" spans="1:10">
      <c r="A75" t="s">
        <v>128</v>
      </c>
      <c r="B75" t="s">
        <v>125</v>
      </c>
      <c r="C75">
        <v>3</v>
      </c>
      <c r="D75">
        <v>1</v>
      </c>
      <c r="E75" t="s">
        <v>12</v>
      </c>
      <c r="F75" t="s">
        <v>94</v>
      </c>
      <c r="G75" t="s">
        <v>17</v>
      </c>
      <c r="H75">
        <v>3</v>
      </c>
      <c r="I75">
        <v>1428</v>
      </c>
      <c r="J75">
        <v>15</v>
      </c>
    </row>
    <row r="76" spans="1:10">
      <c r="A76" t="s">
        <v>129</v>
      </c>
      <c r="B76" t="s">
        <v>125</v>
      </c>
      <c r="C76">
        <v>3</v>
      </c>
      <c r="D76">
        <v>1</v>
      </c>
      <c r="E76" t="s">
        <v>12</v>
      </c>
      <c r="F76" t="s">
        <v>39</v>
      </c>
      <c r="G76" t="s">
        <v>14</v>
      </c>
      <c r="H76">
        <v>4</v>
      </c>
      <c r="I76">
        <v>792</v>
      </c>
      <c r="J76">
        <v>10</v>
      </c>
    </row>
    <row r="77" spans="1:10">
      <c r="A77" t="s">
        <v>130</v>
      </c>
      <c r="B77" t="s">
        <v>131</v>
      </c>
      <c r="C77">
        <v>3</v>
      </c>
      <c r="D77">
        <v>1</v>
      </c>
      <c r="E77" t="s">
        <v>12</v>
      </c>
      <c r="F77" t="s">
        <v>66</v>
      </c>
      <c r="G77" t="s">
        <v>17</v>
      </c>
      <c r="H77">
        <v>1</v>
      </c>
      <c r="I77">
        <v>1470</v>
      </c>
      <c r="J77">
        <v>0</v>
      </c>
    </row>
    <row r="78" spans="1:10">
      <c r="A78" t="s">
        <v>132</v>
      </c>
      <c r="B78" t="s">
        <v>131</v>
      </c>
      <c r="C78">
        <v>3</v>
      </c>
      <c r="D78">
        <v>1</v>
      </c>
      <c r="E78" t="s">
        <v>12</v>
      </c>
      <c r="F78" t="s">
        <v>25</v>
      </c>
      <c r="G78" t="s">
        <v>26</v>
      </c>
      <c r="H78">
        <v>3</v>
      </c>
      <c r="I78">
        <v>1000</v>
      </c>
      <c r="J78">
        <v>0</v>
      </c>
    </row>
    <row r="79" spans="1:10">
      <c r="A79" t="s">
        <v>133</v>
      </c>
      <c r="B79" t="s">
        <v>131</v>
      </c>
      <c r="C79">
        <v>3</v>
      </c>
      <c r="D79">
        <v>1</v>
      </c>
      <c r="E79" t="s">
        <v>12</v>
      </c>
      <c r="F79" t="s">
        <v>66</v>
      </c>
      <c r="G79" t="s">
        <v>17</v>
      </c>
      <c r="H79">
        <v>1</v>
      </c>
      <c r="I79">
        <v>1323</v>
      </c>
      <c r="J79">
        <v>10</v>
      </c>
    </row>
    <row r="80" spans="1:10">
      <c r="A80" t="s">
        <v>134</v>
      </c>
      <c r="B80" t="s">
        <v>135</v>
      </c>
      <c r="C80">
        <v>3</v>
      </c>
      <c r="D80">
        <v>1</v>
      </c>
      <c r="E80" t="s">
        <v>12</v>
      </c>
      <c r="F80" t="s">
        <v>51</v>
      </c>
      <c r="G80" t="s">
        <v>26</v>
      </c>
      <c r="H80">
        <v>1</v>
      </c>
      <c r="I80">
        <v>450</v>
      </c>
      <c r="J80">
        <v>10</v>
      </c>
    </row>
    <row r="81" spans="1:10">
      <c r="A81" t="s">
        <v>136</v>
      </c>
      <c r="B81" t="s">
        <v>135</v>
      </c>
      <c r="C81">
        <v>3</v>
      </c>
      <c r="D81">
        <v>1</v>
      </c>
      <c r="E81" t="s">
        <v>12</v>
      </c>
      <c r="F81" t="s">
        <v>115</v>
      </c>
      <c r="G81" t="s">
        <v>23</v>
      </c>
      <c r="H81">
        <v>2</v>
      </c>
      <c r="I81">
        <v>1200</v>
      </c>
      <c r="J81">
        <v>0</v>
      </c>
    </row>
    <row r="82" spans="1:10">
      <c r="A82" t="s">
        <v>137</v>
      </c>
      <c r="B82" t="s">
        <v>135</v>
      </c>
      <c r="C82">
        <v>3</v>
      </c>
      <c r="D82">
        <v>1</v>
      </c>
      <c r="E82" t="s">
        <v>12</v>
      </c>
      <c r="F82" t="s">
        <v>119</v>
      </c>
      <c r="G82" t="s">
        <v>14</v>
      </c>
      <c r="H82">
        <v>3</v>
      </c>
      <c r="I82">
        <v>693</v>
      </c>
      <c r="J82">
        <v>10</v>
      </c>
    </row>
    <row r="83" spans="1:10">
      <c r="A83" t="s">
        <v>138</v>
      </c>
      <c r="B83" t="s">
        <v>135</v>
      </c>
      <c r="C83">
        <v>3</v>
      </c>
      <c r="D83">
        <v>1</v>
      </c>
      <c r="E83" t="s">
        <v>12</v>
      </c>
      <c r="F83" t="s">
        <v>42</v>
      </c>
      <c r="G83" t="s">
        <v>23</v>
      </c>
      <c r="H83">
        <v>4</v>
      </c>
      <c r="I83">
        <v>570</v>
      </c>
      <c r="J83">
        <v>5</v>
      </c>
    </row>
    <row r="84" spans="1:10">
      <c r="A84" t="s">
        <v>139</v>
      </c>
      <c r="B84" t="s">
        <v>135</v>
      </c>
      <c r="C84">
        <v>3</v>
      </c>
      <c r="D84">
        <v>1</v>
      </c>
      <c r="E84" t="s">
        <v>12</v>
      </c>
      <c r="F84" t="s">
        <v>19</v>
      </c>
      <c r="G84" t="s">
        <v>20</v>
      </c>
      <c r="H84">
        <v>5</v>
      </c>
      <c r="I84">
        <v>1458</v>
      </c>
      <c r="J84">
        <v>10</v>
      </c>
    </row>
    <row r="85" spans="1:10">
      <c r="A85" t="s">
        <v>140</v>
      </c>
      <c r="B85" t="s">
        <v>141</v>
      </c>
      <c r="C85">
        <v>3</v>
      </c>
      <c r="D85">
        <v>1</v>
      </c>
      <c r="E85" t="s">
        <v>12</v>
      </c>
      <c r="F85" t="s">
        <v>68</v>
      </c>
      <c r="G85" t="s">
        <v>26</v>
      </c>
      <c r="H85">
        <v>3</v>
      </c>
      <c r="I85">
        <v>380</v>
      </c>
      <c r="J85">
        <v>0</v>
      </c>
    </row>
    <row r="86" spans="1:10">
      <c r="A86" t="s">
        <v>142</v>
      </c>
      <c r="B86" t="s">
        <v>141</v>
      </c>
      <c r="C86">
        <v>3</v>
      </c>
      <c r="D86">
        <v>1</v>
      </c>
      <c r="E86" t="s">
        <v>12</v>
      </c>
      <c r="F86" t="s">
        <v>119</v>
      </c>
      <c r="G86" t="s">
        <v>14</v>
      </c>
      <c r="H86">
        <v>3</v>
      </c>
      <c r="I86">
        <v>693</v>
      </c>
      <c r="J86">
        <v>10</v>
      </c>
    </row>
    <row r="87" spans="1:10">
      <c r="A87" t="s">
        <v>143</v>
      </c>
      <c r="B87" t="s">
        <v>141</v>
      </c>
      <c r="C87">
        <v>3</v>
      </c>
      <c r="D87">
        <v>1</v>
      </c>
      <c r="E87" t="s">
        <v>12</v>
      </c>
      <c r="F87" t="s">
        <v>97</v>
      </c>
      <c r="G87" t="s">
        <v>20</v>
      </c>
      <c r="H87">
        <v>4</v>
      </c>
      <c r="I87">
        <v>1881</v>
      </c>
      <c r="J87">
        <v>5</v>
      </c>
    </row>
    <row r="88" spans="1:10">
      <c r="A88" t="s">
        <v>144</v>
      </c>
      <c r="B88" t="s">
        <v>141</v>
      </c>
      <c r="C88">
        <v>3</v>
      </c>
      <c r="D88">
        <v>1</v>
      </c>
      <c r="E88" t="s">
        <v>12</v>
      </c>
      <c r="F88" t="s">
        <v>115</v>
      </c>
      <c r="G88" t="s">
        <v>23</v>
      </c>
      <c r="H88">
        <v>1</v>
      </c>
      <c r="I88">
        <v>1080</v>
      </c>
      <c r="J88">
        <v>10</v>
      </c>
    </row>
    <row r="89" spans="1:10">
      <c r="A89" t="s">
        <v>145</v>
      </c>
      <c r="B89" t="s">
        <v>141</v>
      </c>
      <c r="C89">
        <v>3</v>
      </c>
      <c r="D89">
        <v>1</v>
      </c>
      <c r="E89" t="s">
        <v>12</v>
      </c>
      <c r="F89" t="s">
        <v>146</v>
      </c>
      <c r="G89" t="s">
        <v>20</v>
      </c>
      <c r="H89">
        <v>2</v>
      </c>
      <c r="I89">
        <v>630</v>
      </c>
      <c r="J89">
        <v>0</v>
      </c>
    </row>
    <row r="90" spans="1:10">
      <c r="A90" t="s">
        <v>147</v>
      </c>
      <c r="B90" t="s">
        <v>148</v>
      </c>
      <c r="C90">
        <v>3</v>
      </c>
      <c r="D90">
        <v>1</v>
      </c>
      <c r="E90" t="s">
        <v>12</v>
      </c>
      <c r="F90" t="s">
        <v>66</v>
      </c>
      <c r="G90" t="s">
        <v>17</v>
      </c>
      <c r="H90">
        <v>2</v>
      </c>
      <c r="I90">
        <v>1396.5</v>
      </c>
      <c r="J90">
        <v>5</v>
      </c>
    </row>
    <row r="91" spans="1:10">
      <c r="A91" t="s">
        <v>149</v>
      </c>
      <c r="B91" t="s">
        <v>148</v>
      </c>
      <c r="C91">
        <v>3</v>
      </c>
      <c r="D91">
        <v>1</v>
      </c>
      <c r="E91" t="s">
        <v>12</v>
      </c>
      <c r="F91" t="s">
        <v>16</v>
      </c>
      <c r="G91" t="s">
        <v>17</v>
      </c>
      <c r="H91">
        <v>4</v>
      </c>
      <c r="I91">
        <v>520</v>
      </c>
      <c r="J91">
        <v>0</v>
      </c>
    </row>
    <row r="92" spans="1:10">
      <c r="A92" t="s">
        <v>150</v>
      </c>
      <c r="B92" t="s">
        <v>148</v>
      </c>
      <c r="C92">
        <v>3</v>
      </c>
      <c r="D92">
        <v>1</v>
      </c>
      <c r="E92" t="s">
        <v>12</v>
      </c>
      <c r="F92" t="s">
        <v>86</v>
      </c>
      <c r="G92" t="s">
        <v>17</v>
      </c>
      <c r="H92">
        <v>5</v>
      </c>
      <c r="I92">
        <v>940</v>
      </c>
      <c r="J92">
        <v>0</v>
      </c>
    </row>
    <row r="93" spans="1:10">
      <c r="A93" t="s">
        <v>151</v>
      </c>
      <c r="B93" t="s">
        <v>148</v>
      </c>
      <c r="C93">
        <v>3</v>
      </c>
      <c r="D93">
        <v>1</v>
      </c>
      <c r="E93" t="s">
        <v>12</v>
      </c>
      <c r="F93" t="s">
        <v>16</v>
      </c>
      <c r="G93" t="s">
        <v>17</v>
      </c>
      <c r="H93">
        <v>4</v>
      </c>
      <c r="I93">
        <v>520</v>
      </c>
      <c r="J93">
        <v>0</v>
      </c>
    </row>
    <row r="94" spans="1:10">
      <c r="A94" t="s">
        <v>152</v>
      </c>
      <c r="B94" t="s">
        <v>153</v>
      </c>
      <c r="C94">
        <v>3</v>
      </c>
      <c r="D94">
        <v>1</v>
      </c>
      <c r="E94" t="s">
        <v>12</v>
      </c>
      <c r="F94" t="s">
        <v>68</v>
      </c>
      <c r="G94" t="s">
        <v>26</v>
      </c>
      <c r="H94">
        <v>2</v>
      </c>
      <c r="I94">
        <v>380</v>
      </c>
      <c r="J94">
        <v>0</v>
      </c>
    </row>
    <row r="95" spans="1:10">
      <c r="A95" t="s">
        <v>154</v>
      </c>
      <c r="B95" t="s">
        <v>153</v>
      </c>
      <c r="C95">
        <v>3</v>
      </c>
      <c r="D95">
        <v>1</v>
      </c>
      <c r="E95" t="s">
        <v>12</v>
      </c>
      <c r="F95" t="s">
        <v>86</v>
      </c>
      <c r="G95" t="s">
        <v>17</v>
      </c>
      <c r="H95">
        <v>1</v>
      </c>
      <c r="I95">
        <v>940</v>
      </c>
      <c r="J95">
        <v>0</v>
      </c>
    </row>
    <row r="96" spans="1:10">
      <c r="A96" t="s">
        <v>155</v>
      </c>
      <c r="B96" t="s">
        <v>153</v>
      </c>
      <c r="C96">
        <v>3</v>
      </c>
      <c r="D96">
        <v>1</v>
      </c>
      <c r="E96" t="s">
        <v>12</v>
      </c>
      <c r="F96" t="s">
        <v>31</v>
      </c>
      <c r="G96" t="s">
        <v>23</v>
      </c>
      <c r="H96">
        <v>2</v>
      </c>
      <c r="I96">
        <v>1400</v>
      </c>
      <c r="J96">
        <v>0</v>
      </c>
    </row>
    <row r="97" spans="1:10">
      <c r="A97" t="s">
        <v>156</v>
      </c>
      <c r="B97" t="s">
        <v>153</v>
      </c>
      <c r="C97">
        <v>3</v>
      </c>
      <c r="D97">
        <v>1</v>
      </c>
      <c r="E97" t="s">
        <v>12</v>
      </c>
      <c r="F97" t="s">
        <v>64</v>
      </c>
      <c r="G97" t="s">
        <v>14</v>
      </c>
      <c r="H97">
        <v>3</v>
      </c>
      <c r="I97">
        <v>2244</v>
      </c>
      <c r="J97">
        <v>15</v>
      </c>
    </row>
    <row r="98" spans="1:10">
      <c r="A98" t="s">
        <v>157</v>
      </c>
      <c r="B98" t="s">
        <v>158</v>
      </c>
      <c r="C98">
        <v>3</v>
      </c>
      <c r="D98">
        <v>1</v>
      </c>
      <c r="E98" t="s">
        <v>12</v>
      </c>
      <c r="F98" t="s">
        <v>119</v>
      </c>
      <c r="G98" t="s">
        <v>14</v>
      </c>
      <c r="H98">
        <v>1</v>
      </c>
      <c r="I98">
        <v>770</v>
      </c>
      <c r="J98">
        <v>0</v>
      </c>
    </row>
    <row r="99" spans="1:10">
      <c r="A99" t="s">
        <v>159</v>
      </c>
      <c r="B99" t="s">
        <v>158</v>
      </c>
      <c r="C99">
        <v>3</v>
      </c>
      <c r="D99">
        <v>1</v>
      </c>
      <c r="E99" t="s">
        <v>12</v>
      </c>
      <c r="F99" t="s">
        <v>97</v>
      </c>
      <c r="G99" t="s">
        <v>20</v>
      </c>
      <c r="H99">
        <v>5</v>
      </c>
      <c r="I99">
        <v>1980</v>
      </c>
      <c r="J99">
        <v>0</v>
      </c>
    </row>
    <row r="100" spans="1:10">
      <c r="A100" t="s">
        <v>160</v>
      </c>
      <c r="B100" t="s">
        <v>158</v>
      </c>
      <c r="C100">
        <v>3</v>
      </c>
      <c r="D100">
        <v>1</v>
      </c>
      <c r="E100" t="s">
        <v>12</v>
      </c>
      <c r="F100" t="s">
        <v>45</v>
      </c>
      <c r="G100" t="s">
        <v>26</v>
      </c>
      <c r="H100">
        <v>3</v>
      </c>
      <c r="I100">
        <v>4500</v>
      </c>
      <c r="J100">
        <v>0</v>
      </c>
    </row>
    <row r="101" spans="1:10">
      <c r="A101" t="s">
        <v>161</v>
      </c>
      <c r="B101" t="s">
        <v>158</v>
      </c>
      <c r="C101">
        <v>3</v>
      </c>
      <c r="D101">
        <v>1</v>
      </c>
      <c r="E101" t="s">
        <v>12</v>
      </c>
      <c r="F101" t="s">
        <v>19</v>
      </c>
      <c r="G101" t="s">
        <v>20</v>
      </c>
      <c r="H101">
        <v>3</v>
      </c>
      <c r="I101">
        <v>1377</v>
      </c>
      <c r="J101">
        <v>15</v>
      </c>
    </row>
    <row r="102" spans="1:10">
      <c r="A102" t="s">
        <v>162</v>
      </c>
      <c r="B102" t="s">
        <v>158</v>
      </c>
      <c r="C102">
        <v>3</v>
      </c>
      <c r="D102">
        <v>1</v>
      </c>
      <c r="E102" t="s">
        <v>12</v>
      </c>
      <c r="F102" t="s">
        <v>31</v>
      </c>
      <c r="G102" t="s">
        <v>23</v>
      </c>
      <c r="H102">
        <v>4</v>
      </c>
      <c r="I102">
        <v>1330</v>
      </c>
      <c r="J102">
        <v>5</v>
      </c>
    </row>
    <row r="103" spans="1:10">
      <c r="A103" t="s">
        <v>163</v>
      </c>
      <c r="B103" t="s">
        <v>164</v>
      </c>
      <c r="C103">
        <v>4</v>
      </c>
      <c r="D103">
        <v>1</v>
      </c>
      <c r="E103" t="s">
        <v>12</v>
      </c>
      <c r="F103" t="s">
        <v>28</v>
      </c>
      <c r="G103" t="s">
        <v>26</v>
      </c>
      <c r="H103">
        <v>3</v>
      </c>
      <c r="I103">
        <v>1275</v>
      </c>
      <c r="J103">
        <v>15</v>
      </c>
    </row>
    <row r="104" spans="1:10">
      <c r="A104" t="s">
        <v>165</v>
      </c>
      <c r="B104" t="s">
        <v>164</v>
      </c>
      <c r="C104">
        <v>4</v>
      </c>
      <c r="D104">
        <v>1</v>
      </c>
      <c r="E104" t="s">
        <v>12</v>
      </c>
      <c r="F104" t="s">
        <v>58</v>
      </c>
      <c r="G104" t="s">
        <v>23</v>
      </c>
      <c r="H104">
        <v>5</v>
      </c>
      <c r="I104">
        <v>850</v>
      </c>
      <c r="J104">
        <v>15</v>
      </c>
    </row>
    <row r="105" spans="1:10">
      <c r="A105" t="s">
        <v>166</v>
      </c>
      <c r="B105" t="s">
        <v>164</v>
      </c>
      <c r="C105">
        <v>4</v>
      </c>
      <c r="D105">
        <v>1</v>
      </c>
      <c r="E105" t="s">
        <v>12</v>
      </c>
      <c r="F105" t="s">
        <v>64</v>
      </c>
      <c r="G105" t="s">
        <v>14</v>
      </c>
      <c r="H105">
        <v>5</v>
      </c>
      <c r="I105">
        <v>2640</v>
      </c>
      <c r="J105">
        <v>0</v>
      </c>
    </row>
    <row r="106" spans="1:10">
      <c r="A106" t="s">
        <v>167</v>
      </c>
      <c r="B106" t="s">
        <v>168</v>
      </c>
      <c r="C106">
        <v>4</v>
      </c>
      <c r="D106">
        <v>1</v>
      </c>
      <c r="E106" t="s">
        <v>12</v>
      </c>
      <c r="F106" t="s">
        <v>115</v>
      </c>
      <c r="G106" t="s">
        <v>23</v>
      </c>
      <c r="H106">
        <v>5</v>
      </c>
      <c r="I106">
        <v>1200</v>
      </c>
      <c r="J106">
        <v>0</v>
      </c>
    </row>
    <row r="107" spans="1:10">
      <c r="A107" t="s">
        <v>169</v>
      </c>
      <c r="B107" t="s">
        <v>168</v>
      </c>
      <c r="C107">
        <v>4</v>
      </c>
      <c r="D107">
        <v>1</v>
      </c>
      <c r="E107" t="s">
        <v>12</v>
      </c>
      <c r="F107" t="s">
        <v>35</v>
      </c>
      <c r="G107" t="s">
        <v>17</v>
      </c>
      <c r="H107">
        <v>3</v>
      </c>
      <c r="I107">
        <v>2677.5</v>
      </c>
      <c r="J107">
        <v>15</v>
      </c>
    </row>
    <row r="108" spans="1:10">
      <c r="A108" t="s">
        <v>170</v>
      </c>
      <c r="B108" t="s">
        <v>168</v>
      </c>
      <c r="C108">
        <v>4</v>
      </c>
      <c r="D108">
        <v>1</v>
      </c>
      <c r="E108" t="s">
        <v>12</v>
      </c>
      <c r="F108" t="s">
        <v>66</v>
      </c>
      <c r="G108" t="s">
        <v>17</v>
      </c>
      <c r="H108">
        <v>1</v>
      </c>
      <c r="I108">
        <v>1470</v>
      </c>
      <c r="J108">
        <v>0</v>
      </c>
    </row>
    <row r="109" spans="1:10">
      <c r="A109" t="s">
        <v>171</v>
      </c>
      <c r="B109" t="s">
        <v>168</v>
      </c>
      <c r="C109">
        <v>4</v>
      </c>
      <c r="D109">
        <v>1</v>
      </c>
      <c r="E109" t="s">
        <v>12</v>
      </c>
      <c r="F109" t="s">
        <v>68</v>
      </c>
      <c r="G109" t="s">
        <v>26</v>
      </c>
      <c r="H109">
        <v>1</v>
      </c>
      <c r="I109">
        <v>380</v>
      </c>
      <c r="J109">
        <v>0</v>
      </c>
    </row>
    <row r="110" spans="1:10">
      <c r="A110" t="s">
        <v>172</v>
      </c>
      <c r="B110" t="s">
        <v>168</v>
      </c>
      <c r="C110">
        <v>4</v>
      </c>
      <c r="D110">
        <v>1</v>
      </c>
      <c r="E110" t="s">
        <v>12</v>
      </c>
      <c r="F110" t="s">
        <v>45</v>
      </c>
      <c r="G110" t="s">
        <v>26</v>
      </c>
      <c r="H110">
        <v>2</v>
      </c>
      <c r="I110">
        <v>4275</v>
      </c>
      <c r="J110">
        <v>5</v>
      </c>
    </row>
    <row r="111" spans="1:10">
      <c r="A111" t="s">
        <v>173</v>
      </c>
      <c r="B111" t="s">
        <v>168</v>
      </c>
      <c r="C111">
        <v>4</v>
      </c>
      <c r="D111">
        <v>1</v>
      </c>
      <c r="E111" t="s">
        <v>12</v>
      </c>
      <c r="F111" t="s">
        <v>115</v>
      </c>
      <c r="G111" t="s">
        <v>23</v>
      </c>
      <c r="H111">
        <v>1</v>
      </c>
      <c r="I111">
        <v>1020</v>
      </c>
      <c r="J111">
        <v>15</v>
      </c>
    </row>
    <row r="112" spans="1:10">
      <c r="A112" t="s">
        <v>174</v>
      </c>
      <c r="B112" t="s">
        <v>168</v>
      </c>
      <c r="C112">
        <v>4</v>
      </c>
      <c r="D112">
        <v>1</v>
      </c>
      <c r="E112" t="s">
        <v>12</v>
      </c>
      <c r="F112" t="s">
        <v>31</v>
      </c>
      <c r="G112" t="s">
        <v>23</v>
      </c>
      <c r="H112">
        <v>4</v>
      </c>
      <c r="I112">
        <v>1260</v>
      </c>
      <c r="J112">
        <v>10</v>
      </c>
    </row>
    <row r="113" spans="1:10">
      <c r="A113" t="s">
        <v>175</v>
      </c>
      <c r="B113" t="s">
        <v>176</v>
      </c>
      <c r="C113">
        <v>4</v>
      </c>
      <c r="D113">
        <v>1</v>
      </c>
      <c r="E113" t="s">
        <v>12</v>
      </c>
      <c r="F113" t="s">
        <v>16</v>
      </c>
      <c r="G113" t="s">
        <v>17</v>
      </c>
      <c r="H113">
        <v>2</v>
      </c>
      <c r="I113">
        <v>494</v>
      </c>
      <c r="J113">
        <v>5</v>
      </c>
    </row>
    <row r="114" spans="1:10">
      <c r="A114" t="s">
        <v>177</v>
      </c>
      <c r="B114" t="s">
        <v>176</v>
      </c>
      <c r="C114">
        <v>4</v>
      </c>
      <c r="D114">
        <v>1</v>
      </c>
      <c r="E114" t="s">
        <v>12</v>
      </c>
      <c r="F114" t="s">
        <v>146</v>
      </c>
      <c r="G114" t="s">
        <v>20</v>
      </c>
      <c r="H114">
        <v>5</v>
      </c>
      <c r="I114">
        <v>630</v>
      </c>
      <c r="J114">
        <v>0</v>
      </c>
    </row>
    <row r="115" spans="1:10">
      <c r="A115" t="s">
        <v>178</v>
      </c>
      <c r="B115" t="s">
        <v>176</v>
      </c>
      <c r="C115">
        <v>4</v>
      </c>
      <c r="D115">
        <v>1</v>
      </c>
      <c r="E115" t="s">
        <v>12</v>
      </c>
      <c r="F115" t="s">
        <v>58</v>
      </c>
      <c r="G115" t="s">
        <v>23</v>
      </c>
      <c r="H115">
        <v>3</v>
      </c>
      <c r="I115">
        <v>1000</v>
      </c>
      <c r="J115">
        <v>0</v>
      </c>
    </row>
    <row r="116" spans="1:10">
      <c r="A116" t="s">
        <v>179</v>
      </c>
      <c r="B116" t="s">
        <v>180</v>
      </c>
      <c r="C116">
        <v>4</v>
      </c>
      <c r="D116">
        <v>1</v>
      </c>
      <c r="E116" t="s">
        <v>12</v>
      </c>
      <c r="F116" t="s">
        <v>51</v>
      </c>
      <c r="G116" t="s">
        <v>26</v>
      </c>
      <c r="H116">
        <v>4</v>
      </c>
      <c r="I116">
        <v>425</v>
      </c>
      <c r="J116">
        <v>15</v>
      </c>
    </row>
    <row r="117" spans="1:10">
      <c r="A117" t="s">
        <v>181</v>
      </c>
      <c r="B117" t="s">
        <v>180</v>
      </c>
      <c r="C117">
        <v>4</v>
      </c>
      <c r="D117">
        <v>1</v>
      </c>
      <c r="E117" t="s">
        <v>12</v>
      </c>
      <c r="F117" t="s">
        <v>16</v>
      </c>
      <c r="G117" t="s">
        <v>17</v>
      </c>
      <c r="H117">
        <v>4</v>
      </c>
      <c r="I117">
        <v>520</v>
      </c>
      <c r="J117">
        <v>0</v>
      </c>
    </row>
    <row r="118" spans="1:10">
      <c r="A118" t="s">
        <v>182</v>
      </c>
      <c r="B118" t="s">
        <v>180</v>
      </c>
      <c r="C118">
        <v>4</v>
      </c>
      <c r="D118">
        <v>1</v>
      </c>
      <c r="E118" t="s">
        <v>12</v>
      </c>
      <c r="F118" t="s">
        <v>58</v>
      </c>
      <c r="G118" t="s">
        <v>23</v>
      </c>
      <c r="H118">
        <v>5</v>
      </c>
      <c r="I118">
        <v>1000</v>
      </c>
      <c r="J118">
        <v>0</v>
      </c>
    </row>
    <row r="119" spans="1:10">
      <c r="A119" t="s">
        <v>183</v>
      </c>
      <c r="B119" t="s">
        <v>180</v>
      </c>
      <c r="C119">
        <v>4</v>
      </c>
      <c r="D119">
        <v>1</v>
      </c>
      <c r="E119" t="s">
        <v>12</v>
      </c>
      <c r="F119" t="s">
        <v>19</v>
      </c>
      <c r="G119" t="s">
        <v>20</v>
      </c>
      <c r="H119">
        <v>1</v>
      </c>
      <c r="I119">
        <v>1620</v>
      </c>
      <c r="J119">
        <v>0</v>
      </c>
    </row>
    <row r="120" spans="1:10">
      <c r="A120" t="s">
        <v>184</v>
      </c>
      <c r="B120" t="s">
        <v>180</v>
      </c>
      <c r="C120">
        <v>4</v>
      </c>
      <c r="D120">
        <v>1</v>
      </c>
      <c r="E120" t="s">
        <v>12</v>
      </c>
      <c r="F120" t="s">
        <v>115</v>
      </c>
      <c r="G120" t="s">
        <v>23</v>
      </c>
      <c r="H120">
        <v>5</v>
      </c>
      <c r="I120">
        <v>1020</v>
      </c>
      <c r="J120">
        <v>15</v>
      </c>
    </row>
    <row r="121" spans="1:10">
      <c r="A121" t="s">
        <v>185</v>
      </c>
      <c r="B121" t="s">
        <v>180</v>
      </c>
      <c r="C121">
        <v>4</v>
      </c>
      <c r="D121">
        <v>1</v>
      </c>
      <c r="E121" t="s">
        <v>12</v>
      </c>
      <c r="F121" t="s">
        <v>13</v>
      </c>
      <c r="G121" t="s">
        <v>14</v>
      </c>
      <c r="H121">
        <v>4</v>
      </c>
      <c r="I121">
        <v>432</v>
      </c>
      <c r="J121">
        <v>10</v>
      </c>
    </row>
    <row r="122" spans="1:10">
      <c r="A122" t="s">
        <v>186</v>
      </c>
      <c r="B122" t="s">
        <v>180</v>
      </c>
      <c r="C122">
        <v>4</v>
      </c>
      <c r="D122">
        <v>1</v>
      </c>
      <c r="E122" t="s">
        <v>12</v>
      </c>
      <c r="F122" t="s">
        <v>187</v>
      </c>
      <c r="G122" t="s">
        <v>14</v>
      </c>
      <c r="H122">
        <v>3</v>
      </c>
      <c r="I122">
        <v>4400</v>
      </c>
      <c r="J122">
        <v>0</v>
      </c>
    </row>
    <row r="123" spans="1:10">
      <c r="A123" t="s">
        <v>188</v>
      </c>
      <c r="B123" t="s">
        <v>189</v>
      </c>
      <c r="C123">
        <v>4</v>
      </c>
      <c r="D123">
        <v>1</v>
      </c>
      <c r="E123" t="s">
        <v>12</v>
      </c>
      <c r="F123" t="s">
        <v>146</v>
      </c>
      <c r="G123" t="s">
        <v>20</v>
      </c>
      <c r="H123">
        <v>2</v>
      </c>
      <c r="I123">
        <v>630</v>
      </c>
      <c r="J123">
        <v>0</v>
      </c>
    </row>
    <row r="124" spans="1:10">
      <c r="A124" t="s">
        <v>190</v>
      </c>
      <c r="B124" t="s">
        <v>189</v>
      </c>
      <c r="C124">
        <v>4</v>
      </c>
      <c r="D124">
        <v>1</v>
      </c>
      <c r="E124" t="s">
        <v>12</v>
      </c>
      <c r="F124" t="s">
        <v>66</v>
      </c>
      <c r="G124" t="s">
        <v>17</v>
      </c>
      <c r="H124">
        <v>4</v>
      </c>
      <c r="I124">
        <v>1470</v>
      </c>
      <c r="J124">
        <v>0</v>
      </c>
    </row>
    <row r="125" spans="1:10">
      <c r="A125" t="s">
        <v>191</v>
      </c>
      <c r="B125" t="s">
        <v>189</v>
      </c>
      <c r="C125">
        <v>4</v>
      </c>
      <c r="D125">
        <v>1</v>
      </c>
      <c r="E125" t="s">
        <v>12</v>
      </c>
      <c r="F125" t="s">
        <v>45</v>
      </c>
      <c r="G125" t="s">
        <v>26</v>
      </c>
      <c r="H125">
        <v>5</v>
      </c>
      <c r="I125">
        <v>4500</v>
      </c>
      <c r="J125">
        <v>0</v>
      </c>
    </row>
    <row r="126" spans="1:10">
      <c r="A126" t="s">
        <v>192</v>
      </c>
      <c r="B126" t="s">
        <v>193</v>
      </c>
      <c r="C126">
        <v>4</v>
      </c>
      <c r="D126">
        <v>1</v>
      </c>
      <c r="E126" t="s">
        <v>12</v>
      </c>
      <c r="F126" t="s">
        <v>80</v>
      </c>
      <c r="G126" t="s">
        <v>14</v>
      </c>
      <c r="H126">
        <v>2</v>
      </c>
      <c r="I126">
        <v>400</v>
      </c>
      <c r="J126">
        <v>0</v>
      </c>
    </row>
    <row r="127" spans="1:10">
      <c r="A127" t="s">
        <v>194</v>
      </c>
      <c r="B127" t="s">
        <v>195</v>
      </c>
      <c r="C127">
        <v>4</v>
      </c>
      <c r="D127">
        <v>1</v>
      </c>
      <c r="E127" t="s">
        <v>12</v>
      </c>
      <c r="F127" t="s">
        <v>22</v>
      </c>
      <c r="G127" t="s">
        <v>23</v>
      </c>
      <c r="H127">
        <v>3</v>
      </c>
      <c r="I127">
        <v>500</v>
      </c>
      <c r="J127">
        <v>0</v>
      </c>
    </row>
    <row r="128" spans="1:10">
      <c r="A128" t="s">
        <v>196</v>
      </c>
      <c r="B128" t="s">
        <v>195</v>
      </c>
      <c r="C128">
        <v>4</v>
      </c>
      <c r="D128">
        <v>1</v>
      </c>
      <c r="E128" t="s">
        <v>12</v>
      </c>
      <c r="F128" t="s">
        <v>80</v>
      </c>
      <c r="G128" t="s">
        <v>14</v>
      </c>
      <c r="H128">
        <v>3</v>
      </c>
      <c r="I128">
        <v>400</v>
      </c>
      <c r="J128">
        <v>0</v>
      </c>
    </row>
    <row r="129" spans="1:10">
      <c r="A129" t="s">
        <v>197</v>
      </c>
      <c r="B129" t="s">
        <v>195</v>
      </c>
      <c r="C129">
        <v>4</v>
      </c>
      <c r="D129">
        <v>1</v>
      </c>
      <c r="E129" t="s">
        <v>12</v>
      </c>
      <c r="F129" t="s">
        <v>16</v>
      </c>
      <c r="G129" t="s">
        <v>17</v>
      </c>
      <c r="H129">
        <v>2</v>
      </c>
      <c r="I129">
        <v>520</v>
      </c>
      <c r="J129">
        <v>0</v>
      </c>
    </row>
    <row r="130" spans="1:10">
      <c r="A130" t="s">
        <v>198</v>
      </c>
      <c r="B130" t="s">
        <v>195</v>
      </c>
      <c r="C130">
        <v>4</v>
      </c>
      <c r="D130">
        <v>1</v>
      </c>
      <c r="E130" t="s">
        <v>12</v>
      </c>
      <c r="F130" t="s">
        <v>42</v>
      </c>
      <c r="G130" t="s">
        <v>23</v>
      </c>
      <c r="H130">
        <v>4</v>
      </c>
      <c r="I130">
        <v>510</v>
      </c>
      <c r="J130">
        <v>15</v>
      </c>
    </row>
    <row r="131" spans="1:10">
      <c r="A131" t="s">
        <v>199</v>
      </c>
      <c r="B131" t="s">
        <v>195</v>
      </c>
      <c r="C131">
        <v>4</v>
      </c>
      <c r="D131">
        <v>1</v>
      </c>
      <c r="E131" t="s">
        <v>12</v>
      </c>
      <c r="F131" t="s">
        <v>66</v>
      </c>
      <c r="G131" t="s">
        <v>17</v>
      </c>
      <c r="H131">
        <v>5</v>
      </c>
      <c r="I131">
        <v>1470</v>
      </c>
      <c r="J131">
        <v>0</v>
      </c>
    </row>
    <row r="132" spans="1:10">
      <c r="A132" t="s">
        <v>200</v>
      </c>
      <c r="B132" t="s">
        <v>201</v>
      </c>
      <c r="C132">
        <v>5</v>
      </c>
      <c r="D132">
        <v>1</v>
      </c>
      <c r="E132" t="s">
        <v>12</v>
      </c>
      <c r="F132" t="s">
        <v>31</v>
      </c>
      <c r="G132" t="s">
        <v>23</v>
      </c>
      <c r="H132">
        <v>3</v>
      </c>
      <c r="I132">
        <v>1260</v>
      </c>
      <c r="J132">
        <v>10</v>
      </c>
    </row>
    <row r="133" spans="1:10">
      <c r="A133" t="s">
        <v>202</v>
      </c>
      <c r="B133" t="s">
        <v>201</v>
      </c>
      <c r="C133">
        <v>5</v>
      </c>
      <c r="D133">
        <v>1</v>
      </c>
      <c r="E133" t="s">
        <v>12</v>
      </c>
      <c r="F133" t="s">
        <v>86</v>
      </c>
      <c r="G133" t="s">
        <v>17</v>
      </c>
      <c r="H133">
        <v>4</v>
      </c>
      <c r="I133">
        <v>940</v>
      </c>
      <c r="J133">
        <v>0</v>
      </c>
    </row>
    <row r="134" spans="1:10">
      <c r="A134" t="s">
        <v>203</v>
      </c>
      <c r="B134" t="s">
        <v>201</v>
      </c>
      <c r="C134">
        <v>5</v>
      </c>
      <c r="D134">
        <v>1</v>
      </c>
      <c r="E134" t="s">
        <v>12</v>
      </c>
      <c r="F134" t="s">
        <v>119</v>
      </c>
      <c r="G134" t="s">
        <v>14</v>
      </c>
      <c r="H134">
        <v>2</v>
      </c>
      <c r="I134">
        <v>693</v>
      </c>
      <c r="J134">
        <v>10</v>
      </c>
    </row>
    <row r="135" spans="1:10">
      <c r="A135" t="s">
        <v>204</v>
      </c>
      <c r="B135" t="s">
        <v>201</v>
      </c>
      <c r="C135">
        <v>5</v>
      </c>
      <c r="D135">
        <v>1</v>
      </c>
      <c r="E135" t="s">
        <v>12</v>
      </c>
      <c r="F135" t="s">
        <v>94</v>
      </c>
      <c r="G135" t="s">
        <v>17</v>
      </c>
      <c r="H135">
        <v>1</v>
      </c>
      <c r="I135">
        <v>1512</v>
      </c>
      <c r="J135">
        <v>10</v>
      </c>
    </row>
    <row r="136" spans="1:10">
      <c r="A136" t="s">
        <v>205</v>
      </c>
      <c r="B136" t="s">
        <v>201</v>
      </c>
      <c r="C136">
        <v>5</v>
      </c>
      <c r="D136">
        <v>1</v>
      </c>
      <c r="E136" t="s">
        <v>12</v>
      </c>
      <c r="F136" t="s">
        <v>58</v>
      </c>
      <c r="G136" t="s">
        <v>23</v>
      </c>
      <c r="H136">
        <v>4</v>
      </c>
      <c r="I136">
        <v>850</v>
      </c>
      <c r="J136">
        <v>15</v>
      </c>
    </row>
    <row r="137" spans="1:10">
      <c r="A137" t="s">
        <v>206</v>
      </c>
      <c r="B137" t="s">
        <v>201</v>
      </c>
      <c r="C137">
        <v>5</v>
      </c>
      <c r="D137">
        <v>1</v>
      </c>
      <c r="E137" t="s">
        <v>12</v>
      </c>
      <c r="F137" t="s">
        <v>16</v>
      </c>
      <c r="G137" t="s">
        <v>17</v>
      </c>
      <c r="H137">
        <v>2</v>
      </c>
      <c r="I137">
        <v>442</v>
      </c>
      <c r="J137">
        <v>15</v>
      </c>
    </row>
    <row r="138" spans="1:10">
      <c r="A138" t="s">
        <v>207</v>
      </c>
      <c r="B138" t="s">
        <v>208</v>
      </c>
      <c r="C138">
        <v>5</v>
      </c>
      <c r="D138">
        <v>1</v>
      </c>
      <c r="E138" t="s">
        <v>12</v>
      </c>
      <c r="F138" t="s">
        <v>115</v>
      </c>
      <c r="G138" t="s">
        <v>23</v>
      </c>
      <c r="H138">
        <v>1</v>
      </c>
      <c r="I138">
        <v>1020</v>
      </c>
      <c r="J138">
        <v>15</v>
      </c>
    </row>
    <row r="139" spans="1:10">
      <c r="A139" t="s">
        <v>209</v>
      </c>
      <c r="B139" t="s">
        <v>208</v>
      </c>
      <c r="C139">
        <v>5</v>
      </c>
      <c r="D139">
        <v>1</v>
      </c>
      <c r="E139" t="s">
        <v>12</v>
      </c>
      <c r="F139" t="s">
        <v>19</v>
      </c>
      <c r="G139" t="s">
        <v>20</v>
      </c>
      <c r="H139">
        <v>3</v>
      </c>
      <c r="I139">
        <v>1620</v>
      </c>
      <c r="J139">
        <v>0</v>
      </c>
    </row>
    <row r="140" spans="1:10">
      <c r="A140" t="s">
        <v>210</v>
      </c>
      <c r="B140" t="s">
        <v>208</v>
      </c>
      <c r="C140">
        <v>5</v>
      </c>
      <c r="D140">
        <v>1</v>
      </c>
      <c r="E140" t="s">
        <v>12</v>
      </c>
      <c r="F140" t="s">
        <v>86</v>
      </c>
      <c r="G140" t="s">
        <v>17</v>
      </c>
      <c r="H140">
        <v>4</v>
      </c>
      <c r="I140">
        <v>893</v>
      </c>
      <c r="J140">
        <v>5</v>
      </c>
    </row>
    <row r="141" spans="1:10">
      <c r="A141" t="s">
        <v>211</v>
      </c>
      <c r="B141" t="s">
        <v>208</v>
      </c>
      <c r="C141">
        <v>5</v>
      </c>
      <c r="D141">
        <v>1</v>
      </c>
      <c r="E141" t="s">
        <v>12</v>
      </c>
      <c r="F141" t="s">
        <v>146</v>
      </c>
      <c r="G141" t="s">
        <v>20</v>
      </c>
      <c r="H141">
        <v>5</v>
      </c>
      <c r="I141">
        <v>567</v>
      </c>
      <c r="J141">
        <v>10</v>
      </c>
    </row>
    <row r="142" spans="1:10">
      <c r="A142" t="s">
        <v>212</v>
      </c>
      <c r="B142" t="s">
        <v>208</v>
      </c>
      <c r="C142">
        <v>5</v>
      </c>
      <c r="D142">
        <v>1</v>
      </c>
      <c r="E142" t="s">
        <v>12</v>
      </c>
      <c r="F142" t="s">
        <v>86</v>
      </c>
      <c r="G142" t="s">
        <v>17</v>
      </c>
      <c r="H142">
        <v>4</v>
      </c>
      <c r="I142">
        <v>846</v>
      </c>
      <c r="J142">
        <v>10</v>
      </c>
    </row>
    <row r="143" spans="1:10">
      <c r="A143" t="s">
        <v>213</v>
      </c>
      <c r="B143" t="s">
        <v>214</v>
      </c>
      <c r="C143">
        <v>5</v>
      </c>
      <c r="D143">
        <v>1</v>
      </c>
      <c r="E143" t="s">
        <v>12</v>
      </c>
      <c r="F143" t="s">
        <v>22</v>
      </c>
      <c r="G143" t="s">
        <v>23</v>
      </c>
      <c r="H143">
        <v>2</v>
      </c>
      <c r="I143">
        <v>500</v>
      </c>
      <c r="J143">
        <v>0</v>
      </c>
    </row>
    <row r="144" spans="1:10">
      <c r="A144" t="s">
        <v>215</v>
      </c>
      <c r="B144" t="s">
        <v>214</v>
      </c>
      <c r="C144">
        <v>5</v>
      </c>
      <c r="D144">
        <v>1</v>
      </c>
      <c r="E144" t="s">
        <v>12</v>
      </c>
      <c r="F144" t="s">
        <v>146</v>
      </c>
      <c r="G144" t="s">
        <v>20</v>
      </c>
      <c r="H144">
        <v>4</v>
      </c>
      <c r="I144">
        <v>630</v>
      </c>
      <c r="J144">
        <v>0</v>
      </c>
    </row>
    <row r="145" spans="1:10">
      <c r="A145" t="s">
        <v>216</v>
      </c>
      <c r="B145" t="s">
        <v>217</v>
      </c>
      <c r="C145">
        <v>5</v>
      </c>
      <c r="D145">
        <v>2</v>
      </c>
      <c r="E145" t="s">
        <v>218</v>
      </c>
      <c r="F145" t="s">
        <v>68</v>
      </c>
      <c r="G145" t="s">
        <v>26</v>
      </c>
      <c r="H145">
        <v>3</v>
      </c>
      <c r="I145">
        <v>361</v>
      </c>
      <c r="J145">
        <v>5</v>
      </c>
    </row>
    <row r="146" spans="1:10">
      <c r="A146" t="s">
        <v>219</v>
      </c>
      <c r="B146" t="s">
        <v>217</v>
      </c>
      <c r="C146">
        <v>5</v>
      </c>
      <c r="D146">
        <v>2</v>
      </c>
      <c r="E146" t="s">
        <v>218</v>
      </c>
      <c r="F146" t="s">
        <v>220</v>
      </c>
      <c r="G146" t="s">
        <v>221</v>
      </c>
      <c r="H146">
        <v>4</v>
      </c>
      <c r="I146">
        <v>570</v>
      </c>
      <c r="J146">
        <v>5</v>
      </c>
    </row>
    <row r="147" spans="1:10">
      <c r="A147" t="s">
        <v>222</v>
      </c>
      <c r="B147" t="s">
        <v>223</v>
      </c>
      <c r="C147">
        <v>5</v>
      </c>
      <c r="D147">
        <v>2</v>
      </c>
      <c r="E147" t="s">
        <v>218</v>
      </c>
      <c r="F147" t="s">
        <v>39</v>
      </c>
      <c r="G147" t="s">
        <v>14</v>
      </c>
      <c r="H147">
        <v>2</v>
      </c>
      <c r="I147">
        <v>880</v>
      </c>
      <c r="J147">
        <v>0</v>
      </c>
    </row>
    <row r="148" spans="1:10">
      <c r="A148" t="s">
        <v>224</v>
      </c>
      <c r="B148" t="s">
        <v>223</v>
      </c>
      <c r="C148">
        <v>5</v>
      </c>
      <c r="D148">
        <v>2</v>
      </c>
      <c r="E148" t="s">
        <v>218</v>
      </c>
      <c r="F148" t="s">
        <v>94</v>
      </c>
      <c r="G148" t="s">
        <v>17</v>
      </c>
      <c r="H148">
        <v>2</v>
      </c>
      <c r="I148">
        <v>1428</v>
      </c>
      <c r="J148">
        <v>15</v>
      </c>
    </row>
    <row r="149" spans="1:10">
      <c r="A149" t="s">
        <v>225</v>
      </c>
      <c r="B149" t="s">
        <v>226</v>
      </c>
      <c r="C149">
        <v>5</v>
      </c>
      <c r="D149">
        <v>2</v>
      </c>
      <c r="E149" t="s">
        <v>218</v>
      </c>
      <c r="F149" t="s">
        <v>64</v>
      </c>
      <c r="G149" t="s">
        <v>14</v>
      </c>
      <c r="H149">
        <v>5</v>
      </c>
      <c r="I149">
        <v>2244</v>
      </c>
      <c r="J149">
        <v>15</v>
      </c>
    </row>
    <row r="150" spans="1:10">
      <c r="A150" t="s">
        <v>227</v>
      </c>
      <c r="B150" t="s">
        <v>226</v>
      </c>
      <c r="C150">
        <v>5</v>
      </c>
      <c r="D150">
        <v>2</v>
      </c>
      <c r="E150" t="s">
        <v>218</v>
      </c>
      <c r="F150" t="s">
        <v>19</v>
      </c>
      <c r="G150" t="s">
        <v>20</v>
      </c>
      <c r="H150">
        <v>4</v>
      </c>
      <c r="I150">
        <v>1458</v>
      </c>
      <c r="J150">
        <v>10</v>
      </c>
    </row>
    <row r="151" spans="1:10">
      <c r="A151" t="s">
        <v>228</v>
      </c>
      <c r="B151" t="s">
        <v>226</v>
      </c>
      <c r="C151">
        <v>5</v>
      </c>
      <c r="D151">
        <v>2</v>
      </c>
      <c r="E151" t="s">
        <v>218</v>
      </c>
      <c r="F151" t="s">
        <v>28</v>
      </c>
      <c r="G151" t="s">
        <v>26</v>
      </c>
      <c r="H151">
        <v>1</v>
      </c>
      <c r="I151">
        <v>1500</v>
      </c>
      <c r="J151">
        <v>0</v>
      </c>
    </row>
    <row r="152" spans="1:10">
      <c r="A152" t="s">
        <v>229</v>
      </c>
      <c r="B152" t="s">
        <v>230</v>
      </c>
      <c r="C152">
        <v>5</v>
      </c>
      <c r="D152">
        <v>2</v>
      </c>
      <c r="E152" t="s">
        <v>218</v>
      </c>
      <c r="F152" t="s">
        <v>35</v>
      </c>
      <c r="G152" t="s">
        <v>17</v>
      </c>
      <c r="H152">
        <v>1</v>
      </c>
      <c r="I152">
        <v>3150</v>
      </c>
      <c r="J152">
        <v>0</v>
      </c>
    </row>
    <row r="153" spans="1:10">
      <c r="A153" t="s">
        <v>231</v>
      </c>
      <c r="B153" t="s">
        <v>230</v>
      </c>
      <c r="C153">
        <v>5</v>
      </c>
      <c r="D153">
        <v>2</v>
      </c>
      <c r="E153" t="s">
        <v>218</v>
      </c>
      <c r="F153" t="s">
        <v>39</v>
      </c>
      <c r="G153" t="s">
        <v>14</v>
      </c>
      <c r="H153">
        <v>3</v>
      </c>
      <c r="I153">
        <v>880</v>
      </c>
      <c r="J153">
        <v>0</v>
      </c>
    </row>
    <row r="154" spans="1:10">
      <c r="A154" t="s">
        <v>232</v>
      </c>
      <c r="B154" t="s">
        <v>230</v>
      </c>
      <c r="C154">
        <v>5</v>
      </c>
      <c r="D154">
        <v>2</v>
      </c>
      <c r="E154" t="s">
        <v>218</v>
      </c>
      <c r="F154" t="s">
        <v>45</v>
      </c>
      <c r="G154" t="s">
        <v>26</v>
      </c>
      <c r="H154">
        <v>4</v>
      </c>
      <c r="I154">
        <v>3825</v>
      </c>
      <c r="J154">
        <v>15</v>
      </c>
    </row>
    <row r="155" spans="1:10">
      <c r="A155" t="s">
        <v>233</v>
      </c>
      <c r="B155" t="s">
        <v>230</v>
      </c>
      <c r="C155">
        <v>5</v>
      </c>
      <c r="D155">
        <v>2</v>
      </c>
      <c r="E155" t="s">
        <v>218</v>
      </c>
      <c r="F155" t="s">
        <v>97</v>
      </c>
      <c r="G155" t="s">
        <v>20</v>
      </c>
      <c r="H155">
        <v>2</v>
      </c>
      <c r="I155">
        <v>1980</v>
      </c>
      <c r="J155">
        <v>0</v>
      </c>
    </row>
    <row r="156" spans="1:10">
      <c r="A156" t="s">
        <v>234</v>
      </c>
      <c r="B156" t="s">
        <v>230</v>
      </c>
      <c r="C156">
        <v>5</v>
      </c>
      <c r="D156">
        <v>2</v>
      </c>
      <c r="E156" t="s">
        <v>218</v>
      </c>
      <c r="F156" t="s">
        <v>115</v>
      </c>
      <c r="G156" t="s">
        <v>23</v>
      </c>
      <c r="H156">
        <v>5</v>
      </c>
      <c r="I156">
        <v>1200</v>
      </c>
      <c r="J156">
        <v>0</v>
      </c>
    </row>
    <row r="157" spans="1:10">
      <c r="A157" t="s">
        <v>235</v>
      </c>
      <c r="B157" t="s">
        <v>236</v>
      </c>
      <c r="C157">
        <v>6</v>
      </c>
      <c r="D157">
        <v>2</v>
      </c>
      <c r="E157" t="s">
        <v>218</v>
      </c>
      <c r="F157" t="s">
        <v>39</v>
      </c>
      <c r="G157" t="s">
        <v>14</v>
      </c>
      <c r="H157">
        <v>1</v>
      </c>
      <c r="I157">
        <v>748</v>
      </c>
      <c r="J157">
        <v>15</v>
      </c>
    </row>
    <row r="158" spans="1:10">
      <c r="A158" t="s">
        <v>237</v>
      </c>
      <c r="B158" t="s">
        <v>236</v>
      </c>
      <c r="C158">
        <v>6</v>
      </c>
      <c r="D158">
        <v>2</v>
      </c>
      <c r="E158" t="s">
        <v>218</v>
      </c>
      <c r="F158" t="s">
        <v>37</v>
      </c>
      <c r="G158" t="s">
        <v>20</v>
      </c>
      <c r="H158">
        <v>4</v>
      </c>
      <c r="I158">
        <v>2340</v>
      </c>
      <c r="J158">
        <v>0</v>
      </c>
    </row>
    <row r="159" spans="1:10">
      <c r="A159" t="s">
        <v>238</v>
      </c>
      <c r="B159" t="s">
        <v>236</v>
      </c>
      <c r="C159">
        <v>6</v>
      </c>
      <c r="D159">
        <v>2</v>
      </c>
      <c r="E159" t="s">
        <v>218</v>
      </c>
      <c r="F159" t="s">
        <v>25</v>
      </c>
      <c r="G159" t="s">
        <v>26</v>
      </c>
      <c r="H159">
        <v>5</v>
      </c>
      <c r="I159">
        <v>850</v>
      </c>
      <c r="J159">
        <v>15</v>
      </c>
    </row>
    <row r="160" spans="1:10">
      <c r="A160" t="s">
        <v>239</v>
      </c>
      <c r="B160" t="s">
        <v>240</v>
      </c>
      <c r="C160">
        <v>6</v>
      </c>
      <c r="D160">
        <v>2</v>
      </c>
      <c r="E160" t="s">
        <v>218</v>
      </c>
      <c r="F160" t="s">
        <v>86</v>
      </c>
      <c r="G160" t="s">
        <v>17</v>
      </c>
      <c r="H160">
        <v>4</v>
      </c>
      <c r="I160">
        <v>893</v>
      </c>
      <c r="J160">
        <v>5</v>
      </c>
    </row>
    <row r="161" spans="1:10">
      <c r="A161" t="s">
        <v>241</v>
      </c>
      <c r="B161" t="s">
        <v>240</v>
      </c>
      <c r="C161">
        <v>6</v>
      </c>
      <c r="D161">
        <v>2</v>
      </c>
      <c r="E161" t="s">
        <v>218</v>
      </c>
      <c r="F161" t="s">
        <v>66</v>
      </c>
      <c r="G161" t="s">
        <v>17</v>
      </c>
      <c r="H161">
        <v>5</v>
      </c>
      <c r="I161">
        <v>1396.5</v>
      </c>
      <c r="J161">
        <v>5</v>
      </c>
    </row>
    <row r="162" spans="1:10">
      <c r="A162" t="s">
        <v>242</v>
      </c>
      <c r="B162" t="s">
        <v>240</v>
      </c>
      <c r="C162">
        <v>6</v>
      </c>
      <c r="D162">
        <v>2</v>
      </c>
      <c r="E162" t="s">
        <v>218</v>
      </c>
      <c r="F162" t="s">
        <v>28</v>
      </c>
      <c r="G162" t="s">
        <v>26</v>
      </c>
      <c r="H162">
        <v>2</v>
      </c>
      <c r="I162">
        <v>1500</v>
      </c>
      <c r="J162">
        <v>0</v>
      </c>
    </row>
    <row r="163" spans="1:10">
      <c r="A163" t="s">
        <v>243</v>
      </c>
      <c r="B163" t="s">
        <v>240</v>
      </c>
      <c r="C163">
        <v>6</v>
      </c>
      <c r="D163">
        <v>2</v>
      </c>
      <c r="E163" t="s">
        <v>218</v>
      </c>
      <c r="F163" t="s">
        <v>13</v>
      </c>
      <c r="G163" t="s">
        <v>14</v>
      </c>
      <c r="H163">
        <v>1</v>
      </c>
      <c r="I163">
        <v>456</v>
      </c>
      <c r="J163">
        <v>5</v>
      </c>
    </row>
    <row r="164" spans="1:10">
      <c r="A164" t="s">
        <v>244</v>
      </c>
      <c r="B164" t="s">
        <v>245</v>
      </c>
      <c r="C164">
        <v>6</v>
      </c>
      <c r="D164">
        <v>2</v>
      </c>
      <c r="E164" t="s">
        <v>218</v>
      </c>
      <c r="F164" t="s">
        <v>45</v>
      </c>
      <c r="G164" t="s">
        <v>26</v>
      </c>
      <c r="H164">
        <v>4</v>
      </c>
      <c r="I164">
        <v>4500</v>
      </c>
      <c r="J164">
        <v>0</v>
      </c>
    </row>
    <row r="165" spans="1:10">
      <c r="A165" t="s">
        <v>246</v>
      </c>
      <c r="B165" t="s">
        <v>245</v>
      </c>
      <c r="C165">
        <v>6</v>
      </c>
      <c r="D165">
        <v>2</v>
      </c>
      <c r="E165" t="s">
        <v>218</v>
      </c>
      <c r="F165" t="s">
        <v>82</v>
      </c>
      <c r="G165" t="s">
        <v>20</v>
      </c>
      <c r="H165">
        <v>5</v>
      </c>
      <c r="I165">
        <v>810</v>
      </c>
      <c r="J165">
        <v>10</v>
      </c>
    </row>
    <row r="166" spans="1:10">
      <c r="A166" t="s">
        <v>247</v>
      </c>
      <c r="B166" t="s">
        <v>245</v>
      </c>
      <c r="C166">
        <v>6</v>
      </c>
      <c r="D166">
        <v>2</v>
      </c>
      <c r="E166" t="s">
        <v>218</v>
      </c>
      <c r="F166" t="s">
        <v>94</v>
      </c>
      <c r="G166" t="s">
        <v>17</v>
      </c>
      <c r="H166">
        <v>1</v>
      </c>
      <c r="I166">
        <v>1512</v>
      </c>
      <c r="J166">
        <v>10</v>
      </c>
    </row>
    <row r="167" spans="1:10">
      <c r="A167" t="s">
        <v>248</v>
      </c>
      <c r="B167" t="s">
        <v>245</v>
      </c>
      <c r="C167">
        <v>6</v>
      </c>
      <c r="D167">
        <v>2</v>
      </c>
      <c r="E167" t="s">
        <v>218</v>
      </c>
      <c r="F167" t="s">
        <v>66</v>
      </c>
      <c r="G167" t="s">
        <v>17</v>
      </c>
      <c r="H167">
        <v>5</v>
      </c>
      <c r="I167">
        <v>1470</v>
      </c>
      <c r="J167">
        <v>0</v>
      </c>
    </row>
    <row r="168" spans="1:10">
      <c r="A168" t="s">
        <v>249</v>
      </c>
      <c r="B168" t="s">
        <v>245</v>
      </c>
      <c r="C168">
        <v>6</v>
      </c>
      <c r="D168">
        <v>2</v>
      </c>
      <c r="E168" t="s">
        <v>218</v>
      </c>
      <c r="F168" t="s">
        <v>28</v>
      </c>
      <c r="G168" t="s">
        <v>26</v>
      </c>
      <c r="H168">
        <v>5</v>
      </c>
      <c r="I168">
        <v>1425</v>
      </c>
      <c r="J168">
        <v>5</v>
      </c>
    </row>
    <row r="169" spans="1:10">
      <c r="A169" t="s">
        <v>250</v>
      </c>
      <c r="B169" t="s">
        <v>245</v>
      </c>
      <c r="C169">
        <v>6</v>
      </c>
      <c r="D169">
        <v>2</v>
      </c>
      <c r="E169" t="s">
        <v>218</v>
      </c>
      <c r="F169" t="s">
        <v>82</v>
      </c>
      <c r="G169" t="s">
        <v>20</v>
      </c>
      <c r="H169">
        <v>1</v>
      </c>
      <c r="I169">
        <v>900</v>
      </c>
      <c r="J169">
        <v>0</v>
      </c>
    </row>
    <row r="170" spans="1:10">
      <c r="A170" t="s">
        <v>251</v>
      </c>
      <c r="B170" t="s">
        <v>252</v>
      </c>
      <c r="C170">
        <v>6</v>
      </c>
      <c r="D170">
        <v>2</v>
      </c>
      <c r="E170" t="s">
        <v>218</v>
      </c>
      <c r="F170" t="s">
        <v>115</v>
      </c>
      <c r="G170" t="s">
        <v>23</v>
      </c>
      <c r="H170">
        <v>5</v>
      </c>
      <c r="I170">
        <v>1200</v>
      </c>
      <c r="J170">
        <v>0</v>
      </c>
    </row>
    <row r="171" spans="1:10">
      <c r="A171" t="s">
        <v>253</v>
      </c>
      <c r="B171" t="s">
        <v>252</v>
      </c>
      <c r="C171">
        <v>6</v>
      </c>
      <c r="D171">
        <v>2</v>
      </c>
      <c r="E171" t="s">
        <v>218</v>
      </c>
      <c r="F171" t="s">
        <v>13</v>
      </c>
      <c r="G171" t="s">
        <v>14</v>
      </c>
      <c r="H171">
        <v>5</v>
      </c>
      <c r="I171">
        <v>432</v>
      </c>
      <c r="J171">
        <v>10</v>
      </c>
    </row>
    <row r="172" spans="1:10">
      <c r="A172" t="s">
        <v>254</v>
      </c>
      <c r="B172" t="s">
        <v>252</v>
      </c>
      <c r="C172">
        <v>6</v>
      </c>
      <c r="D172">
        <v>2</v>
      </c>
      <c r="E172" t="s">
        <v>218</v>
      </c>
      <c r="F172" t="s">
        <v>146</v>
      </c>
      <c r="G172" t="s">
        <v>20</v>
      </c>
      <c r="H172">
        <v>3</v>
      </c>
      <c r="I172">
        <v>630</v>
      </c>
      <c r="J172">
        <v>0</v>
      </c>
    </row>
    <row r="173" spans="1:10">
      <c r="A173" t="s">
        <v>255</v>
      </c>
      <c r="B173" t="s">
        <v>252</v>
      </c>
      <c r="C173">
        <v>6</v>
      </c>
      <c r="D173">
        <v>2</v>
      </c>
      <c r="E173" t="s">
        <v>218</v>
      </c>
      <c r="F173" t="s">
        <v>68</v>
      </c>
      <c r="G173" t="s">
        <v>26</v>
      </c>
      <c r="H173">
        <v>4</v>
      </c>
      <c r="I173">
        <v>361</v>
      </c>
      <c r="J173">
        <v>5</v>
      </c>
    </row>
    <row r="174" spans="1:10">
      <c r="A174" t="s">
        <v>256</v>
      </c>
      <c r="B174" t="s">
        <v>257</v>
      </c>
      <c r="C174">
        <v>6</v>
      </c>
      <c r="D174">
        <v>2</v>
      </c>
      <c r="E174" t="s">
        <v>218</v>
      </c>
      <c r="F174" t="s">
        <v>58</v>
      </c>
      <c r="G174" t="s">
        <v>23</v>
      </c>
      <c r="H174">
        <v>3</v>
      </c>
      <c r="I174">
        <v>950</v>
      </c>
      <c r="J174">
        <v>5</v>
      </c>
    </row>
    <row r="175" spans="1:10">
      <c r="A175" t="s">
        <v>258</v>
      </c>
      <c r="B175" t="s">
        <v>257</v>
      </c>
      <c r="C175">
        <v>6</v>
      </c>
      <c r="D175">
        <v>2</v>
      </c>
      <c r="E175" t="s">
        <v>218</v>
      </c>
      <c r="F175" t="s">
        <v>64</v>
      </c>
      <c r="G175" t="s">
        <v>14</v>
      </c>
      <c r="H175">
        <v>5</v>
      </c>
      <c r="I175">
        <v>2640</v>
      </c>
      <c r="J175">
        <v>0</v>
      </c>
    </row>
    <row r="176" spans="1:10">
      <c r="A176" t="s">
        <v>259</v>
      </c>
      <c r="B176" t="s">
        <v>257</v>
      </c>
      <c r="C176">
        <v>6</v>
      </c>
      <c r="D176">
        <v>2</v>
      </c>
      <c r="E176" t="s">
        <v>218</v>
      </c>
      <c r="F176" t="s">
        <v>22</v>
      </c>
      <c r="G176" t="s">
        <v>23</v>
      </c>
      <c r="H176">
        <v>3</v>
      </c>
      <c r="I176">
        <v>500</v>
      </c>
      <c r="J176">
        <v>0</v>
      </c>
    </row>
    <row r="177" spans="1:10">
      <c r="A177" t="s">
        <v>260</v>
      </c>
      <c r="B177" t="s">
        <v>257</v>
      </c>
      <c r="C177">
        <v>6</v>
      </c>
      <c r="D177">
        <v>2</v>
      </c>
      <c r="E177" t="s">
        <v>218</v>
      </c>
      <c r="F177" t="s">
        <v>64</v>
      </c>
      <c r="G177" t="s">
        <v>14</v>
      </c>
      <c r="H177">
        <v>2</v>
      </c>
      <c r="I177">
        <v>2508</v>
      </c>
      <c r="J177">
        <v>5</v>
      </c>
    </row>
    <row r="178" spans="1:10">
      <c r="A178" t="s">
        <v>261</v>
      </c>
      <c r="B178" t="s">
        <v>257</v>
      </c>
      <c r="C178">
        <v>6</v>
      </c>
      <c r="D178">
        <v>2</v>
      </c>
      <c r="E178" t="s">
        <v>218</v>
      </c>
      <c r="F178" t="s">
        <v>45</v>
      </c>
      <c r="G178" t="s">
        <v>26</v>
      </c>
      <c r="H178">
        <v>5</v>
      </c>
      <c r="I178">
        <v>4275</v>
      </c>
      <c r="J178">
        <v>5</v>
      </c>
    </row>
    <row r="179" spans="1:10">
      <c r="A179" t="s">
        <v>262</v>
      </c>
      <c r="B179" t="s">
        <v>263</v>
      </c>
      <c r="C179">
        <v>6</v>
      </c>
      <c r="D179">
        <v>2</v>
      </c>
      <c r="E179" t="s">
        <v>218</v>
      </c>
      <c r="F179" t="s">
        <v>66</v>
      </c>
      <c r="G179" t="s">
        <v>17</v>
      </c>
      <c r="H179">
        <v>1</v>
      </c>
      <c r="I179">
        <v>1396.5</v>
      </c>
      <c r="J179">
        <v>5</v>
      </c>
    </row>
    <row r="180" spans="1:10">
      <c r="A180" t="s">
        <v>264</v>
      </c>
      <c r="B180" t="s">
        <v>263</v>
      </c>
      <c r="C180">
        <v>6</v>
      </c>
      <c r="D180">
        <v>2</v>
      </c>
      <c r="E180" t="s">
        <v>218</v>
      </c>
      <c r="F180" t="s">
        <v>115</v>
      </c>
      <c r="G180" t="s">
        <v>23</v>
      </c>
      <c r="H180">
        <v>5</v>
      </c>
      <c r="I180">
        <v>1020</v>
      </c>
      <c r="J180">
        <v>15</v>
      </c>
    </row>
    <row r="181" spans="1:10">
      <c r="A181" t="s">
        <v>265</v>
      </c>
      <c r="B181" t="s">
        <v>266</v>
      </c>
      <c r="C181">
        <v>6</v>
      </c>
      <c r="D181">
        <v>2</v>
      </c>
      <c r="E181" t="s">
        <v>218</v>
      </c>
      <c r="F181" t="s">
        <v>35</v>
      </c>
      <c r="G181" t="s">
        <v>17</v>
      </c>
      <c r="H181">
        <v>4</v>
      </c>
      <c r="I181">
        <v>3150</v>
      </c>
      <c r="J181">
        <v>0</v>
      </c>
    </row>
    <row r="182" spans="1:10">
      <c r="A182" t="s">
        <v>267</v>
      </c>
      <c r="B182" t="s">
        <v>266</v>
      </c>
      <c r="C182">
        <v>6</v>
      </c>
      <c r="D182">
        <v>2</v>
      </c>
      <c r="E182" t="s">
        <v>218</v>
      </c>
      <c r="F182" t="s">
        <v>25</v>
      </c>
      <c r="G182" t="s">
        <v>26</v>
      </c>
      <c r="H182">
        <v>2</v>
      </c>
      <c r="I182">
        <v>1000</v>
      </c>
      <c r="J182">
        <v>0</v>
      </c>
    </row>
    <row r="183" spans="1:10">
      <c r="A183" t="s">
        <v>268</v>
      </c>
      <c r="B183" t="s">
        <v>269</v>
      </c>
      <c r="C183">
        <v>7</v>
      </c>
      <c r="D183">
        <v>2</v>
      </c>
      <c r="E183" t="s">
        <v>218</v>
      </c>
      <c r="F183" t="s">
        <v>39</v>
      </c>
      <c r="G183" t="s">
        <v>14</v>
      </c>
      <c r="H183">
        <v>5</v>
      </c>
      <c r="I183">
        <v>880</v>
      </c>
      <c r="J183">
        <v>0</v>
      </c>
    </row>
    <row r="184" spans="1:10">
      <c r="A184" t="s">
        <v>270</v>
      </c>
      <c r="B184" t="s">
        <v>271</v>
      </c>
      <c r="C184">
        <v>7</v>
      </c>
      <c r="D184">
        <v>2</v>
      </c>
      <c r="E184" t="s">
        <v>218</v>
      </c>
      <c r="F184" t="s">
        <v>64</v>
      </c>
      <c r="G184" t="s">
        <v>14</v>
      </c>
      <c r="H184">
        <v>1</v>
      </c>
      <c r="I184">
        <v>2244</v>
      </c>
      <c r="J184">
        <v>15</v>
      </c>
    </row>
    <row r="185" spans="1:10">
      <c r="A185" t="s">
        <v>272</v>
      </c>
      <c r="B185" t="s">
        <v>271</v>
      </c>
      <c r="C185">
        <v>7</v>
      </c>
      <c r="D185">
        <v>2</v>
      </c>
      <c r="E185" t="s">
        <v>218</v>
      </c>
      <c r="F185" t="s">
        <v>45</v>
      </c>
      <c r="G185" t="s">
        <v>26</v>
      </c>
      <c r="H185">
        <v>1</v>
      </c>
      <c r="I185">
        <v>4500</v>
      </c>
      <c r="J185">
        <v>0</v>
      </c>
    </row>
    <row r="186" spans="1:10">
      <c r="A186" t="s">
        <v>273</v>
      </c>
      <c r="B186" t="s">
        <v>274</v>
      </c>
      <c r="C186">
        <v>7</v>
      </c>
      <c r="D186">
        <v>2</v>
      </c>
      <c r="E186" t="s">
        <v>218</v>
      </c>
      <c r="F186" t="s">
        <v>28</v>
      </c>
      <c r="G186" t="s">
        <v>26</v>
      </c>
      <c r="H186">
        <v>1</v>
      </c>
      <c r="I186">
        <v>1275</v>
      </c>
      <c r="J186">
        <v>15</v>
      </c>
    </row>
    <row r="187" spans="1:10">
      <c r="A187" t="s">
        <v>275</v>
      </c>
      <c r="B187" t="s">
        <v>274</v>
      </c>
      <c r="C187">
        <v>7</v>
      </c>
      <c r="D187">
        <v>2</v>
      </c>
      <c r="E187" t="s">
        <v>218</v>
      </c>
      <c r="F187" t="s">
        <v>45</v>
      </c>
      <c r="G187" t="s">
        <v>26</v>
      </c>
      <c r="H187">
        <v>4</v>
      </c>
      <c r="I187">
        <v>4500</v>
      </c>
      <c r="J187">
        <v>0</v>
      </c>
    </row>
    <row r="188" spans="1:10">
      <c r="A188" t="s">
        <v>276</v>
      </c>
      <c r="B188" t="s">
        <v>274</v>
      </c>
      <c r="C188">
        <v>7</v>
      </c>
      <c r="D188">
        <v>2</v>
      </c>
      <c r="E188" t="s">
        <v>218</v>
      </c>
      <c r="F188" t="s">
        <v>51</v>
      </c>
      <c r="G188" t="s">
        <v>26</v>
      </c>
      <c r="H188">
        <v>3</v>
      </c>
      <c r="I188">
        <v>475</v>
      </c>
      <c r="J188">
        <v>5</v>
      </c>
    </row>
    <row r="189" spans="1:10">
      <c r="A189" t="s">
        <v>277</v>
      </c>
      <c r="B189" t="s">
        <v>274</v>
      </c>
      <c r="C189">
        <v>7</v>
      </c>
      <c r="D189">
        <v>2</v>
      </c>
      <c r="E189" t="s">
        <v>218</v>
      </c>
      <c r="F189" t="s">
        <v>86</v>
      </c>
      <c r="G189" t="s">
        <v>17</v>
      </c>
      <c r="H189">
        <v>4</v>
      </c>
      <c r="I189">
        <v>940</v>
      </c>
      <c r="J189">
        <v>0</v>
      </c>
    </row>
    <row r="190" spans="1:10">
      <c r="A190" t="s">
        <v>278</v>
      </c>
      <c r="B190" t="s">
        <v>279</v>
      </c>
      <c r="C190">
        <v>7</v>
      </c>
      <c r="D190">
        <v>2</v>
      </c>
      <c r="E190" t="s">
        <v>218</v>
      </c>
      <c r="F190" t="s">
        <v>35</v>
      </c>
      <c r="G190" t="s">
        <v>17</v>
      </c>
      <c r="H190">
        <v>3</v>
      </c>
      <c r="I190">
        <v>2835</v>
      </c>
      <c r="J190">
        <v>10</v>
      </c>
    </row>
    <row r="191" spans="1:10">
      <c r="A191" t="s">
        <v>280</v>
      </c>
      <c r="B191" t="s">
        <v>279</v>
      </c>
      <c r="C191">
        <v>7</v>
      </c>
      <c r="D191">
        <v>2</v>
      </c>
      <c r="E191" t="s">
        <v>218</v>
      </c>
      <c r="F191" t="s">
        <v>37</v>
      </c>
      <c r="G191" t="s">
        <v>20</v>
      </c>
      <c r="H191">
        <v>5</v>
      </c>
      <c r="I191">
        <v>2340</v>
      </c>
      <c r="J191">
        <v>0</v>
      </c>
    </row>
    <row r="192" spans="1:10">
      <c r="A192" t="s">
        <v>281</v>
      </c>
      <c r="B192" t="s">
        <v>279</v>
      </c>
      <c r="C192">
        <v>7</v>
      </c>
      <c r="D192">
        <v>2</v>
      </c>
      <c r="E192" t="s">
        <v>218</v>
      </c>
      <c r="F192" t="s">
        <v>13</v>
      </c>
      <c r="G192" t="s">
        <v>14</v>
      </c>
      <c r="H192">
        <v>3</v>
      </c>
      <c r="I192">
        <v>480</v>
      </c>
      <c r="J192">
        <v>0</v>
      </c>
    </row>
    <row r="193" spans="1:10">
      <c r="A193" t="s">
        <v>282</v>
      </c>
      <c r="B193" t="s">
        <v>279</v>
      </c>
      <c r="C193">
        <v>7</v>
      </c>
      <c r="D193">
        <v>2</v>
      </c>
      <c r="E193" t="s">
        <v>218</v>
      </c>
      <c r="F193" t="s">
        <v>82</v>
      </c>
      <c r="G193" t="s">
        <v>20</v>
      </c>
      <c r="H193">
        <v>5</v>
      </c>
      <c r="I193">
        <v>765</v>
      </c>
      <c r="J193">
        <v>15</v>
      </c>
    </row>
    <row r="194" spans="1:10">
      <c r="A194" t="s">
        <v>283</v>
      </c>
      <c r="B194" t="s">
        <v>284</v>
      </c>
      <c r="C194">
        <v>7</v>
      </c>
      <c r="D194">
        <v>2</v>
      </c>
      <c r="E194" t="s">
        <v>218</v>
      </c>
      <c r="F194" t="s">
        <v>97</v>
      </c>
      <c r="G194" t="s">
        <v>20</v>
      </c>
      <c r="H194">
        <v>1</v>
      </c>
      <c r="I194">
        <v>1881</v>
      </c>
      <c r="J194">
        <v>5</v>
      </c>
    </row>
    <row r="195" spans="1:10">
      <c r="A195" t="s">
        <v>285</v>
      </c>
      <c r="B195" t="s">
        <v>284</v>
      </c>
      <c r="C195">
        <v>7</v>
      </c>
      <c r="D195">
        <v>2</v>
      </c>
      <c r="E195" t="s">
        <v>218</v>
      </c>
      <c r="F195" t="s">
        <v>13</v>
      </c>
      <c r="G195" t="s">
        <v>14</v>
      </c>
      <c r="H195">
        <v>2</v>
      </c>
      <c r="I195">
        <v>480</v>
      </c>
      <c r="J195">
        <v>0</v>
      </c>
    </row>
    <row r="196" spans="1:10">
      <c r="A196" t="s">
        <v>286</v>
      </c>
      <c r="B196" t="s">
        <v>287</v>
      </c>
      <c r="C196">
        <v>7</v>
      </c>
      <c r="D196">
        <v>2</v>
      </c>
      <c r="E196" t="s">
        <v>218</v>
      </c>
      <c r="F196" t="s">
        <v>119</v>
      </c>
      <c r="G196" t="s">
        <v>14</v>
      </c>
      <c r="H196">
        <v>3</v>
      </c>
      <c r="I196">
        <v>770</v>
      </c>
      <c r="J196">
        <v>0</v>
      </c>
    </row>
    <row r="197" spans="1:10">
      <c r="A197" t="s">
        <v>288</v>
      </c>
      <c r="B197" t="s">
        <v>287</v>
      </c>
      <c r="C197">
        <v>7</v>
      </c>
      <c r="D197">
        <v>2</v>
      </c>
      <c r="E197" t="s">
        <v>218</v>
      </c>
      <c r="F197" t="s">
        <v>80</v>
      </c>
      <c r="G197" t="s">
        <v>14</v>
      </c>
      <c r="H197">
        <v>1</v>
      </c>
      <c r="I197">
        <v>400</v>
      </c>
      <c r="J197">
        <v>0</v>
      </c>
    </row>
    <row r="198" spans="1:10">
      <c r="A198" t="s">
        <v>289</v>
      </c>
      <c r="B198" t="s">
        <v>287</v>
      </c>
      <c r="C198">
        <v>7</v>
      </c>
      <c r="D198">
        <v>2</v>
      </c>
      <c r="E198" t="s">
        <v>218</v>
      </c>
      <c r="F198" t="s">
        <v>80</v>
      </c>
      <c r="G198" t="s">
        <v>14</v>
      </c>
      <c r="H198">
        <v>4</v>
      </c>
      <c r="I198">
        <v>400</v>
      </c>
      <c r="J198">
        <v>0</v>
      </c>
    </row>
    <row r="199" spans="1:10">
      <c r="A199" t="s">
        <v>290</v>
      </c>
      <c r="B199" t="s">
        <v>287</v>
      </c>
      <c r="C199">
        <v>7</v>
      </c>
      <c r="D199">
        <v>2</v>
      </c>
      <c r="E199" t="s">
        <v>218</v>
      </c>
      <c r="F199" t="s">
        <v>94</v>
      </c>
      <c r="G199" t="s">
        <v>17</v>
      </c>
      <c r="H199">
        <v>2</v>
      </c>
      <c r="I199">
        <v>1680</v>
      </c>
      <c r="J199">
        <v>0</v>
      </c>
    </row>
    <row r="200" spans="1:10">
      <c r="A200" t="s">
        <v>291</v>
      </c>
      <c r="B200" t="s">
        <v>287</v>
      </c>
      <c r="C200">
        <v>7</v>
      </c>
      <c r="D200">
        <v>2</v>
      </c>
      <c r="E200" t="s">
        <v>218</v>
      </c>
      <c r="F200" t="s">
        <v>146</v>
      </c>
      <c r="G200" t="s">
        <v>20</v>
      </c>
      <c r="H200">
        <v>5</v>
      </c>
      <c r="I200">
        <v>567</v>
      </c>
      <c r="J200">
        <v>10</v>
      </c>
    </row>
    <row r="201" spans="1:10">
      <c r="A201" t="s">
        <v>292</v>
      </c>
      <c r="B201" t="s">
        <v>293</v>
      </c>
      <c r="C201">
        <v>7</v>
      </c>
      <c r="D201">
        <v>2</v>
      </c>
      <c r="E201" t="s">
        <v>218</v>
      </c>
      <c r="F201" t="s">
        <v>66</v>
      </c>
      <c r="G201" t="s">
        <v>17</v>
      </c>
      <c r="H201">
        <v>3</v>
      </c>
      <c r="I201">
        <v>1470</v>
      </c>
      <c r="J201">
        <v>0</v>
      </c>
    </row>
    <row r="202" spans="1:10">
      <c r="A202" t="s">
        <v>294</v>
      </c>
      <c r="B202" t="s">
        <v>293</v>
      </c>
      <c r="C202">
        <v>7</v>
      </c>
      <c r="D202">
        <v>2</v>
      </c>
      <c r="E202" t="s">
        <v>218</v>
      </c>
      <c r="F202" t="s">
        <v>19</v>
      </c>
      <c r="G202" t="s">
        <v>20</v>
      </c>
      <c r="H202">
        <v>2</v>
      </c>
      <c r="I202">
        <v>1620</v>
      </c>
      <c r="J202">
        <v>0</v>
      </c>
    </row>
    <row r="203" spans="1:10">
      <c r="A203" t="s">
        <v>295</v>
      </c>
      <c r="B203" t="s">
        <v>296</v>
      </c>
      <c r="C203">
        <v>8</v>
      </c>
      <c r="D203">
        <v>2</v>
      </c>
      <c r="E203" t="s">
        <v>218</v>
      </c>
      <c r="F203" t="s">
        <v>45</v>
      </c>
      <c r="G203" t="s">
        <v>26</v>
      </c>
      <c r="H203">
        <v>2</v>
      </c>
      <c r="I203">
        <v>4275</v>
      </c>
      <c r="J203">
        <v>5</v>
      </c>
    </row>
    <row r="204" spans="1:10">
      <c r="A204" t="s">
        <v>297</v>
      </c>
      <c r="B204" t="s">
        <v>296</v>
      </c>
      <c r="C204">
        <v>8</v>
      </c>
      <c r="D204">
        <v>2</v>
      </c>
      <c r="E204" t="s">
        <v>218</v>
      </c>
      <c r="F204" t="s">
        <v>35</v>
      </c>
      <c r="G204" t="s">
        <v>17</v>
      </c>
      <c r="H204">
        <v>1</v>
      </c>
      <c r="I204">
        <v>2992.5</v>
      </c>
      <c r="J204">
        <v>5</v>
      </c>
    </row>
    <row r="205" spans="1:10">
      <c r="A205" t="s">
        <v>298</v>
      </c>
      <c r="B205" t="s">
        <v>296</v>
      </c>
      <c r="C205">
        <v>8</v>
      </c>
      <c r="D205">
        <v>2</v>
      </c>
      <c r="E205" t="s">
        <v>218</v>
      </c>
      <c r="F205" t="s">
        <v>82</v>
      </c>
      <c r="G205" t="s">
        <v>20</v>
      </c>
      <c r="H205">
        <v>5</v>
      </c>
      <c r="I205">
        <v>765</v>
      </c>
      <c r="J205">
        <v>15</v>
      </c>
    </row>
    <row r="206" spans="1:10">
      <c r="A206" t="s">
        <v>299</v>
      </c>
      <c r="B206" t="s">
        <v>296</v>
      </c>
      <c r="C206">
        <v>8</v>
      </c>
      <c r="D206">
        <v>2</v>
      </c>
      <c r="E206" t="s">
        <v>218</v>
      </c>
      <c r="F206" t="s">
        <v>45</v>
      </c>
      <c r="G206" t="s">
        <v>26</v>
      </c>
      <c r="H206">
        <v>5</v>
      </c>
      <c r="I206">
        <v>4050</v>
      </c>
      <c r="J206">
        <v>10</v>
      </c>
    </row>
    <row r="207" spans="1:10">
      <c r="A207" t="s">
        <v>300</v>
      </c>
      <c r="B207" t="s">
        <v>301</v>
      </c>
      <c r="C207">
        <v>8</v>
      </c>
      <c r="D207">
        <v>2</v>
      </c>
      <c r="E207" t="s">
        <v>218</v>
      </c>
      <c r="F207" t="s">
        <v>51</v>
      </c>
      <c r="G207" t="s">
        <v>26</v>
      </c>
      <c r="H207">
        <v>5</v>
      </c>
      <c r="I207">
        <v>425</v>
      </c>
      <c r="J207">
        <v>15</v>
      </c>
    </row>
    <row r="208" spans="1:10">
      <c r="A208" t="s">
        <v>302</v>
      </c>
      <c r="B208" t="s">
        <v>301</v>
      </c>
      <c r="C208">
        <v>8</v>
      </c>
      <c r="D208">
        <v>2</v>
      </c>
      <c r="E208" t="s">
        <v>218</v>
      </c>
      <c r="F208" t="s">
        <v>31</v>
      </c>
      <c r="G208" t="s">
        <v>23</v>
      </c>
      <c r="H208">
        <v>5</v>
      </c>
      <c r="I208">
        <v>1260</v>
      </c>
      <c r="J208">
        <v>10</v>
      </c>
    </row>
    <row r="209" spans="1:10">
      <c r="A209" t="s">
        <v>303</v>
      </c>
      <c r="B209" t="s">
        <v>301</v>
      </c>
      <c r="C209">
        <v>8</v>
      </c>
      <c r="D209">
        <v>2</v>
      </c>
      <c r="E209" t="s">
        <v>218</v>
      </c>
      <c r="F209" t="s">
        <v>80</v>
      </c>
      <c r="G209" t="s">
        <v>14</v>
      </c>
      <c r="H209">
        <v>2</v>
      </c>
      <c r="I209">
        <v>400</v>
      </c>
      <c r="J209">
        <v>0</v>
      </c>
    </row>
    <row r="210" spans="1:10">
      <c r="A210" t="s">
        <v>304</v>
      </c>
      <c r="B210" t="s">
        <v>301</v>
      </c>
      <c r="C210">
        <v>8</v>
      </c>
      <c r="D210">
        <v>2</v>
      </c>
      <c r="E210" t="s">
        <v>218</v>
      </c>
      <c r="F210" t="s">
        <v>39</v>
      </c>
      <c r="G210" t="s">
        <v>14</v>
      </c>
      <c r="H210">
        <v>2</v>
      </c>
      <c r="I210">
        <v>880</v>
      </c>
      <c r="J210">
        <v>0</v>
      </c>
    </row>
    <row r="211" spans="1:10">
      <c r="A211" t="s">
        <v>305</v>
      </c>
      <c r="B211" t="s">
        <v>306</v>
      </c>
      <c r="C211">
        <v>8</v>
      </c>
      <c r="D211">
        <v>2</v>
      </c>
      <c r="E211" t="s">
        <v>218</v>
      </c>
      <c r="F211" t="s">
        <v>119</v>
      </c>
      <c r="G211" t="s">
        <v>14</v>
      </c>
      <c r="H211">
        <v>4</v>
      </c>
      <c r="I211">
        <v>654.5</v>
      </c>
      <c r="J211">
        <v>15</v>
      </c>
    </row>
    <row r="212" spans="1:10">
      <c r="A212" t="s">
        <v>307</v>
      </c>
      <c r="B212" t="s">
        <v>306</v>
      </c>
      <c r="C212">
        <v>8</v>
      </c>
      <c r="D212">
        <v>2</v>
      </c>
      <c r="E212" t="s">
        <v>218</v>
      </c>
      <c r="F212" t="s">
        <v>35</v>
      </c>
      <c r="G212" t="s">
        <v>17</v>
      </c>
      <c r="H212">
        <v>1</v>
      </c>
      <c r="I212">
        <v>3150</v>
      </c>
      <c r="J212">
        <v>0</v>
      </c>
    </row>
    <row r="213" spans="1:10">
      <c r="A213" t="s">
        <v>308</v>
      </c>
      <c r="B213" t="s">
        <v>306</v>
      </c>
      <c r="C213">
        <v>8</v>
      </c>
      <c r="D213">
        <v>2</v>
      </c>
      <c r="E213" t="s">
        <v>218</v>
      </c>
      <c r="F213" t="s">
        <v>119</v>
      </c>
      <c r="G213" t="s">
        <v>14</v>
      </c>
      <c r="H213">
        <v>5</v>
      </c>
      <c r="I213">
        <v>693</v>
      </c>
      <c r="J213">
        <v>10</v>
      </c>
    </row>
    <row r="214" spans="1:10">
      <c r="A214" t="s">
        <v>309</v>
      </c>
      <c r="B214" t="s">
        <v>310</v>
      </c>
      <c r="C214">
        <v>8</v>
      </c>
      <c r="D214">
        <v>2</v>
      </c>
      <c r="E214" t="s">
        <v>218</v>
      </c>
      <c r="F214" t="s">
        <v>42</v>
      </c>
      <c r="G214" t="s">
        <v>23</v>
      </c>
      <c r="H214">
        <v>4</v>
      </c>
      <c r="I214">
        <v>510</v>
      </c>
      <c r="J214">
        <v>15</v>
      </c>
    </row>
    <row r="215" spans="1:10">
      <c r="A215" t="s">
        <v>311</v>
      </c>
      <c r="B215" t="s">
        <v>310</v>
      </c>
      <c r="C215">
        <v>8</v>
      </c>
      <c r="D215">
        <v>2</v>
      </c>
      <c r="E215" t="s">
        <v>218</v>
      </c>
      <c r="F215" t="s">
        <v>94</v>
      </c>
      <c r="G215" t="s">
        <v>17</v>
      </c>
      <c r="H215">
        <v>1</v>
      </c>
      <c r="I215">
        <v>1596</v>
      </c>
      <c r="J215">
        <v>5</v>
      </c>
    </row>
    <row r="216" spans="1:10">
      <c r="A216" t="s">
        <v>312</v>
      </c>
      <c r="B216" t="s">
        <v>310</v>
      </c>
      <c r="C216">
        <v>8</v>
      </c>
      <c r="D216">
        <v>2</v>
      </c>
      <c r="E216" t="s">
        <v>218</v>
      </c>
      <c r="F216" t="s">
        <v>42</v>
      </c>
      <c r="G216" t="s">
        <v>23</v>
      </c>
      <c r="H216">
        <v>4</v>
      </c>
      <c r="I216">
        <v>510</v>
      </c>
      <c r="J216">
        <v>15</v>
      </c>
    </row>
    <row r="217" spans="1:10">
      <c r="A217" t="s">
        <v>313</v>
      </c>
      <c r="B217" t="s">
        <v>310</v>
      </c>
      <c r="C217">
        <v>8</v>
      </c>
      <c r="D217">
        <v>2</v>
      </c>
      <c r="E217" t="s">
        <v>218</v>
      </c>
      <c r="F217" t="s">
        <v>22</v>
      </c>
      <c r="G217" t="s">
        <v>23</v>
      </c>
      <c r="H217">
        <v>3</v>
      </c>
      <c r="I217">
        <v>450</v>
      </c>
      <c r="J217">
        <v>10</v>
      </c>
    </row>
    <row r="218" spans="1:10">
      <c r="A218" t="s">
        <v>314</v>
      </c>
      <c r="B218" t="s">
        <v>315</v>
      </c>
      <c r="C218">
        <v>8</v>
      </c>
      <c r="D218">
        <v>2</v>
      </c>
      <c r="E218" t="s">
        <v>218</v>
      </c>
      <c r="F218" t="s">
        <v>22</v>
      </c>
      <c r="G218" t="s">
        <v>23</v>
      </c>
      <c r="H218">
        <v>4</v>
      </c>
      <c r="I218">
        <v>425</v>
      </c>
      <c r="J218">
        <v>15</v>
      </c>
    </row>
    <row r="219" spans="1:10">
      <c r="A219" t="s">
        <v>316</v>
      </c>
      <c r="B219" t="s">
        <v>315</v>
      </c>
      <c r="C219">
        <v>8</v>
      </c>
      <c r="D219">
        <v>2</v>
      </c>
      <c r="E219" t="s">
        <v>218</v>
      </c>
      <c r="F219" t="s">
        <v>16</v>
      </c>
      <c r="G219" t="s">
        <v>17</v>
      </c>
      <c r="H219">
        <v>4</v>
      </c>
      <c r="I219">
        <v>520</v>
      </c>
      <c r="J219">
        <v>0</v>
      </c>
    </row>
    <row r="220" spans="1:10">
      <c r="A220" t="s">
        <v>317</v>
      </c>
      <c r="B220" t="s">
        <v>318</v>
      </c>
      <c r="C220">
        <v>8</v>
      </c>
      <c r="D220">
        <v>2</v>
      </c>
      <c r="E220" t="s">
        <v>218</v>
      </c>
      <c r="F220" t="s">
        <v>16</v>
      </c>
      <c r="G220" t="s">
        <v>17</v>
      </c>
      <c r="H220">
        <v>4</v>
      </c>
      <c r="I220">
        <v>520</v>
      </c>
      <c r="J220">
        <v>0</v>
      </c>
    </row>
    <row r="221" spans="1:10">
      <c r="A221" t="s">
        <v>319</v>
      </c>
      <c r="B221" t="s">
        <v>320</v>
      </c>
      <c r="C221">
        <v>8</v>
      </c>
      <c r="D221">
        <v>2</v>
      </c>
      <c r="E221" t="s">
        <v>218</v>
      </c>
      <c r="F221" t="s">
        <v>66</v>
      </c>
      <c r="G221" t="s">
        <v>17</v>
      </c>
      <c r="H221">
        <v>3</v>
      </c>
      <c r="I221">
        <v>1470</v>
      </c>
      <c r="J221">
        <v>0</v>
      </c>
    </row>
    <row r="222" spans="1:10">
      <c r="A222" t="s">
        <v>321</v>
      </c>
      <c r="B222" t="s">
        <v>322</v>
      </c>
      <c r="C222">
        <v>9</v>
      </c>
      <c r="D222">
        <v>2</v>
      </c>
      <c r="E222" t="s">
        <v>218</v>
      </c>
      <c r="F222" t="s">
        <v>39</v>
      </c>
      <c r="G222" t="s">
        <v>14</v>
      </c>
      <c r="H222">
        <v>1</v>
      </c>
      <c r="I222">
        <v>792</v>
      </c>
      <c r="J222">
        <v>10</v>
      </c>
    </row>
    <row r="223" spans="1:10">
      <c r="A223" t="s">
        <v>323</v>
      </c>
      <c r="B223" t="s">
        <v>322</v>
      </c>
      <c r="C223">
        <v>9</v>
      </c>
      <c r="D223">
        <v>2</v>
      </c>
      <c r="E223" t="s">
        <v>218</v>
      </c>
      <c r="F223" t="s">
        <v>146</v>
      </c>
      <c r="G223" t="s">
        <v>20</v>
      </c>
      <c r="H223">
        <v>1</v>
      </c>
      <c r="I223">
        <v>598.5</v>
      </c>
      <c r="J223">
        <v>5</v>
      </c>
    </row>
    <row r="224" spans="1:10">
      <c r="A224" t="s">
        <v>324</v>
      </c>
      <c r="B224" t="s">
        <v>325</v>
      </c>
      <c r="C224">
        <v>9</v>
      </c>
      <c r="D224">
        <v>2</v>
      </c>
      <c r="E224" t="s">
        <v>218</v>
      </c>
      <c r="F224" t="s">
        <v>80</v>
      </c>
      <c r="G224" t="s">
        <v>14</v>
      </c>
      <c r="H224">
        <v>1</v>
      </c>
      <c r="I224">
        <v>400</v>
      </c>
      <c r="J224">
        <v>0</v>
      </c>
    </row>
    <row r="225" spans="1:10">
      <c r="A225" t="s">
        <v>326</v>
      </c>
      <c r="B225" t="s">
        <v>325</v>
      </c>
      <c r="C225">
        <v>9</v>
      </c>
      <c r="D225">
        <v>2</v>
      </c>
      <c r="E225" t="s">
        <v>218</v>
      </c>
      <c r="F225" t="s">
        <v>31</v>
      </c>
      <c r="G225" t="s">
        <v>23</v>
      </c>
      <c r="H225">
        <v>4</v>
      </c>
      <c r="I225">
        <v>1260</v>
      </c>
      <c r="J225">
        <v>10</v>
      </c>
    </row>
    <row r="226" spans="1:10">
      <c r="A226" t="s">
        <v>327</v>
      </c>
      <c r="B226" t="s">
        <v>328</v>
      </c>
      <c r="C226">
        <v>9</v>
      </c>
      <c r="D226">
        <v>2</v>
      </c>
      <c r="E226" t="s">
        <v>218</v>
      </c>
      <c r="F226" t="s">
        <v>35</v>
      </c>
      <c r="G226" t="s">
        <v>17</v>
      </c>
      <c r="H226">
        <v>4</v>
      </c>
      <c r="I226">
        <v>3150</v>
      </c>
      <c r="J226">
        <v>0</v>
      </c>
    </row>
    <row r="227" spans="1:10">
      <c r="A227" t="s">
        <v>329</v>
      </c>
      <c r="B227" t="s">
        <v>328</v>
      </c>
      <c r="C227">
        <v>9</v>
      </c>
      <c r="D227">
        <v>2</v>
      </c>
      <c r="E227" t="s">
        <v>218</v>
      </c>
      <c r="F227" t="s">
        <v>37</v>
      </c>
      <c r="G227" t="s">
        <v>20</v>
      </c>
      <c r="H227">
        <v>5</v>
      </c>
      <c r="I227">
        <v>2340</v>
      </c>
      <c r="J227">
        <v>0</v>
      </c>
    </row>
    <row r="228" spans="1:10">
      <c r="A228" t="s">
        <v>330</v>
      </c>
      <c r="B228" t="s">
        <v>331</v>
      </c>
      <c r="C228">
        <v>9</v>
      </c>
      <c r="D228">
        <v>2</v>
      </c>
      <c r="E228" t="s">
        <v>218</v>
      </c>
      <c r="F228" t="s">
        <v>45</v>
      </c>
      <c r="G228" t="s">
        <v>26</v>
      </c>
      <c r="H228">
        <v>5</v>
      </c>
      <c r="I228">
        <v>4500</v>
      </c>
      <c r="J228">
        <v>0</v>
      </c>
    </row>
    <row r="229" spans="1:10">
      <c r="A229" t="s">
        <v>332</v>
      </c>
      <c r="B229" t="s">
        <v>331</v>
      </c>
      <c r="C229">
        <v>9</v>
      </c>
      <c r="D229">
        <v>2</v>
      </c>
      <c r="E229" t="s">
        <v>218</v>
      </c>
      <c r="F229" t="s">
        <v>35</v>
      </c>
      <c r="G229" t="s">
        <v>17</v>
      </c>
      <c r="H229">
        <v>5</v>
      </c>
      <c r="I229">
        <v>3150</v>
      </c>
      <c r="J229">
        <v>0</v>
      </c>
    </row>
    <row r="230" spans="1:10">
      <c r="A230" t="s">
        <v>333</v>
      </c>
      <c r="B230" t="s">
        <v>331</v>
      </c>
      <c r="C230">
        <v>9</v>
      </c>
      <c r="D230">
        <v>2</v>
      </c>
      <c r="E230" t="s">
        <v>218</v>
      </c>
      <c r="F230" t="s">
        <v>16</v>
      </c>
      <c r="G230" t="s">
        <v>17</v>
      </c>
      <c r="H230">
        <v>2</v>
      </c>
      <c r="I230">
        <v>468</v>
      </c>
      <c r="J230">
        <v>10</v>
      </c>
    </row>
    <row r="231" spans="1:10">
      <c r="A231" t="s">
        <v>334</v>
      </c>
      <c r="B231" t="s">
        <v>331</v>
      </c>
      <c r="C231">
        <v>9</v>
      </c>
      <c r="D231">
        <v>2</v>
      </c>
      <c r="E231" t="s">
        <v>218</v>
      </c>
      <c r="F231" t="s">
        <v>42</v>
      </c>
      <c r="G231" t="s">
        <v>23</v>
      </c>
      <c r="H231">
        <v>2</v>
      </c>
      <c r="I231">
        <v>540</v>
      </c>
      <c r="J231">
        <v>10</v>
      </c>
    </row>
    <row r="232" spans="1:10">
      <c r="A232" t="s">
        <v>335</v>
      </c>
      <c r="B232" t="s">
        <v>331</v>
      </c>
      <c r="C232">
        <v>9</v>
      </c>
      <c r="D232">
        <v>2</v>
      </c>
      <c r="E232" t="s">
        <v>218</v>
      </c>
      <c r="F232" t="s">
        <v>86</v>
      </c>
      <c r="G232" t="s">
        <v>17</v>
      </c>
      <c r="H232">
        <v>1</v>
      </c>
      <c r="I232">
        <v>940</v>
      </c>
      <c r="J232">
        <v>0</v>
      </c>
    </row>
    <row r="233" spans="1:10">
      <c r="A233" t="s">
        <v>336</v>
      </c>
      <c r="B233" t="s">
        <v>337</v>
      </c>
      <c r="C233">
        <v>9</v>
      </c>
      <c r="D233">
        <v>3</v>
      </c>
      <c r="E233" t="s">
        <v>338</v>
      </c>
      <c r="F233" t="s">
        <v>25</v>
      </c>
      <c r="G233" t="s">
        <v>26</v>
      </c>
      <c r="H233">
        <v>2</v>
      </c>
      <c r="I233">
        <v>1000</v>
      </c>
      <c r="J233">
        <v>0</v>
      </c>
    </row>
    <row r="234" spans="1:10">
      <c r="A234" t="s">
        <v>339</v>
      </c>
      <c r="B234" t="s">
        <v>340</v>
      </c>
      <c r="C234">
        <v>9</v>
      </c>
      <c r="D234">
        <v>3</v>
      </c>
      <c r="E234" t="s">
        <v>338</v>
      </c>
      <c r="F234" t="s">
        <v>68</v>
      </c>
      <c r="G234" t="s">
        <v>26</v>
      </c>
      <c r="H234">
        <v>3</v>
      </c>
      <c r="I234">
        <v>323</v>
      </c>
      <c r="J234">
        <v>15</v>
      </c>
    </row>
    <row r="235" spans="1:10">
      <c r="A235" t="s">
        <v>341</v>
      </c>
      <c r="B235" t="s">
        <v>340</v>
      </c>
      <c r="C235">
        <v>9</v>
      </c>
      <c r="D235">
        <v>3</v>
      </c>
      <c r="E235" t="s">
        <v>338</v>
      </c>
      <c r="F235" t="s">
        <v>58</v>
      </c>
      <c r="G235" t="s">
        <v>23</v>
      </c>
      <c r="H235">
        <v>1</v>
      </c>
      <c r="I235">
        <v>1000</v>
      </c>
      <c r="J235">
        <v>0</v>
      </c>
    </row>
    <row r="236" spans="1:10">
      <c r="A236" t="s">
        <v>342</v>
      </c>
      <c r="B236" t="s">
        <v>340</v>
      </c>
      <c r="C236">
        <v>9</v>
      </c>
      <c r="D236">
        <v>3</v>
      </c>
      <c r="E236" t="s">
        <v>338</v>
      </c>
      <c r="F236" t="s">
        <v>146</v>
      </c>
      <c r="G236" t="s">
        <v>20</v>
      </c>
      <c r="H236">
        <v>1</v>
      </c>
      <c r="I236">
        <v>630</v>
      </c>
      <c r="J236">
        <v>0</v>
      </c>
    </row>
    <row r="237" spans="1:10">
      <c r="A237" t="s">
        <v>343</v>
      </c>
      <c r="B237" t="s">
        <v>344</v>
      </c>
      <c r="C237">
        <v>9</v>
      </c>
      <c r="D237">
        <v>3</v>
      </c>
      <c r="E237" t="s">
        <v>338</v>
      </c>
      <c r="F237" t="s">
        <v>45</v>
      </c>
      <c r="G237" t="s">
        <v>26</v>
      </c>
      <c r="H237">
        <v>5</v>
      </c>
      <c r="I237">
        <v>3825</v>
      </c>
      <c r="J237">
        <v>15</v>
      </c>
    </row>
    <row r="238" spans="1:10">
      <c r="A238" t="s">
        <v>345</v>
      </c>
      <c r="B238" t="s">
        <v>346</v>
      </c>
      <c r="C238">
        <v>10</v>
      </c>
      <c r="D238">
        <v>3</v>
      </c>
      <c r="E238" t="s">
        <v>338</v>
      </c>
      <c r="F238" t="s">
        <v>146</v>
      </c>
      <c r="G238" t="s">
        <v>20</v>
      </c>
      <c r="H238">
        <v>2</v>
      </c>
      <c r="I238">
        <v>630</v>
      </c>
      <c r="J238">
        <v>0</v>
      </c>
    </row>
    <row r="239" spans="1:10">
      <c r="A239" t="s">
        <v>347</v>
      </c>
      <c r="B239" t="s">
        <v>346</v>
      </c>
      <c r="C239">
        <v>10</v>
      </c>
      <c r="D239">
        <v>3</v>
      </c>
      <c r="E239" t="s">
        <v>338</v>
      </c>
      <c r="F239" t="s">
        <v>13</v>
      </c>
      <c r="G239" t="s">
        <v>14</v>
      </c>
      <c r="H239">
        <v>1</v>
      </c>
      <c r="I239">
        <v>480</v>
      </c>
      <c r="J239">
        <v>0</v>
      </c>
    </row>
    <row r="240" spans="1:10">
      <c r="A240" t="s">
        <v>348</v>
      </c>
      <c r="B240" t="s">
        <v>346</v>
      </c>
      <c r="C240">
        <v>10</v>
      </c>
      <c r="D240">
        <v>3</v>
      </c>
      <c r="E240" t="s">
        <v>338</v>
      </c>
      <c r="F240" t="s">
        <v>349</v>
      </c>
      <c r="G240" t="s">
        <v>221</v>
      </c>
      <c r="H240">
        <v>5</v>
      </c>
      <c r="I240">
        <v>380</v>
      </c>
      <c r="J240">
        <v>5</v>
      </c>
    </row>
    <row r="241" spans="1:10">
      <c r="A241" t="s">
        <v>350</v>
      </c>
      <c r="B241" t="s">
        <v>346</v>
      </c>
      <c r="C241">
        <v>10</v>
      </c>
      <c r="D241">
        <v>3</v>
      </c>
      <c r="E241" t="s">
        <v>338</v>
      </c>
      <c r="F241" t="s">
        <v>45</v>
      </c>
      <c r="G241" t="s">
        <v>26</v>
      </c>
      <c r="H241">
        <v>5</v>
      </c>
      <c r="I241">
        <v>4500</v>
      </c>
      <c r="J241">
        <v>0</v>
      </c>
    </row>
    <row r="242" spans="1:10">
      <c r="A242" t="s">
        <v>351</v>
      </c>
      <c r="B242" t="s">
        <v>352</v>
      </c>
      <c r="C242">
        <v>10</v>
      </c>
      <c r="D242">
        <v>3</v>
      </c>
      <c r="E242" t="s">
        <v>338</v>
      </c>
      <c r="F242" t="s">
        <v>119</v>
      </c>
      <c r="G242" t="s">
        <v>14</v>
      </c>
      <c r="H242">
        <v>5</v>
      </c>
      <c r="I242">
        <v>770</v>
      </c>
      <c r="J242">
        <v>0</v>
      </c>
    </row>
    <row r="243" spans="1:10">
      <c r="A243" t="s">
        <v>353</v>
      </c>
      <c r="B243" t="s">
        <v>352</v>
      </c>
      <c r="C243">
        <v>10</v>
      </c>
      <c r="D243">
        <v>3</v>
      </c>
      <c r="E243" t="s">
        <v>338</v>
      </c>
      <c r="F243" t="s">
        <v>58</v>
      </c>
      <c r="G243" t="s">
        <v>23</v>
      </c>
      <c r="H243">
        <v>2</v>
      </c>
      <c r="I243">
        <v>950</v>
      </c>
      <c r="J243">
        <v>5</v>
      </c>
    </row>
    <row r="244" spans="1:10">
      <c r="A244" t="s">
        <v>354</v>
      </c>
      <c r="B244" t="s">
        <v>352</v>
      </c>
      <c r="C244">
        <v>10</v>
      </c>
      <c r="D244">
        <v>3</v>
      </c>
      <c r="E244" t="s">
        <v>338</v>
      </c>
      <c r="F244" t="s">
        <v>19</v>
      </c>
      <c r="G244" t="s">
        <v>20</v>
      </c>
      <c r="H244">
        <v>2</v>
      </c>
      <c r="I244">
        <v>1620</v>
      </c>
      <c r="J244">
        <v>0</v>
      </c>
    </row>
    <row r="245" spans="1:10">
      <c r="A245" t="s">
        <v>355</v>
      </c>
      <c r="B245" t="s">
        <v>352</v>
      </c>
      <c r="C245">
        <v>10</v>
      </c>
      <c r="D245">
        <v>3</v>
      </c>
      <c r="E245" t="s">
        <v>338</v>
      </c>
      <c r="F245" t="s">
        <v>349</v>
      </c>
      <c r="G245" t="s">
        <v>221</v>
      </c>
      <c r="H245">
        <v>2</v>
      </c>
      <c r="I245">
        <v>400</v>
      </c>
      <c r="J245">
        <v>0</v>
      </c>
    </row>
    <row r="246" spans="1:10">
      <c r="A246" t="s">
        <v>356</v>
      </c>
      <c r="B246" t="s">
        <v>357</v>
      </c>
      <c r="C246">
        <v>10</v>
      </c>
      <c r="D246">
        <v>3</v>
      </c>
      <c r="E246" t="s">
        <v>338</v>
      </c>
      <c r="F246" t="s">
        <v>86</v>
      </c>
      <c r="G246" t="s">
        <v>17</v>
      </c>
      <c r="H246">
        <v>3</v>
      </c>
      <c r="I246">
        <v>799</v>
      </c>
      <c r="J246">
        <v>15</v>
      </c>
    </row>
    <row r="247" spans="1:10">
      <c r="A247" t="s">
        <v>358</v>
      </c>
      <c r="B247" t="s">
        <v>357</v>
      </c>
      <c r="C247">
        <v>10</v>
      </c>
      <c r="D247">
        <v>3</v>
      </c>
      <c r="E247" t="s">
        <v>338</v>
      </c>
      <c r="F247" t="s">
        <v>349</v>
      </c>
      <c r="G247" t="s">
        <v>221</v>
      </c>
      <c r="H247">
        <v>2</v>
      </c>
      <c r="I247">
        <v>360</v>
      </c>
      <c r="J247">
        <v>10</v>
      </c>
    </row>
    <row r="248" spans="1:10">
      <c r="A248" t="s">
        <v>359</v>
      </c>
      <c r="B248" t="s">
        <v>360</v>
      </c>
      <c r="C248">
        <v>10</v>
      </c>
      <c r="D248">
        <v>3</v>
      </c>
      <c r="E248" t="s">
        <v>338</v>
      </c>
      <c r="F248" t="s">
        <v>42</v>
      </c>
      <c r="G248" t="s">
        <v>23</v>
      </c>
      <c r="H248">
        <v>3</v>
      </c>
      <c r="I248">
        <v>510</v>
      </c>
      <c r="J248">
        <v>15</v>
      </c>
    </row>
    <row r="249" spans="1:10">
      <c r="A249" t="s">
        <v>361</v>
      </c>
      <c r="B249" t="s">
        <v>360</v>
      </c>
      <c r="C249">
        <v>10</v>
      </c>
      <c r="D249">
        <v>3</v>
      </c>
      <c r="E249" t="s">
        <v>338</v>
      </c>
      <c r="F249" t="s">
        <v>80</v>
      </c>
      <c r="G249" t="s">
        <v>14</v>
      </c>
      <c r="H249">
        <v>1</v>
      </c>
      <c r="I249">
        <v>380</v>
      </c>
      <c r="J249">
        <v>5</v>
      </c>
    </row>
    <row r="250" spans="1:10">
      <c r="A250" t="s">
        <v>362</v>
      </c>
      <c r="B250" t="s">
        <v>360</v>
      </c>
      <c r="C250">
        <v>10</v>
      </c>
      <c r="D250">
        <v>3</v>
      </c>
      <c r="E250" t="s">
        <v>338</v>
      </c>
      <c r="F250" t="s">
        <v>86</v>
      </c>
      <c r="G250" t="s">
        <v>17</v>
      </c>
      <c r="H250">
        <v>4</v>
      </c>
      <c r="I250">
        <v>799</v>
      </c>
      <c r="J250">
        <v>15</v>
      </c>
    </row>
    <row r="251" spans="1:10">
      <c r="A251" t="s">
        <v>363</v>
      </c>
      <c r="B251" t="s">
        <v>360</v>
      </c>
      <c r="C251">
        <v>10</v>
      </c>
      <c r="D251">
        <v>3</v>
      </c>
      <c r="E251" t="s">
        <v>338</v>
      </c>
      <c r="F251" t="s">
        <v>364</v>
      </c>
      <c r="G251" t="s">
        <v>221</v>
      </c>
      <c r="H251">
        <v>4</v>
      </c>
      <c r="I251">
        <v>960</v>
      </c>
      <c r="J251">
        <v>0</v>
      </c>
    </row>
    <row r="252" spans="1:10">
      <c r="A252" t="s">
        <v>365</v>
      </c>
      <c r="B252" t="s">
        <v>360</v>
      </c>
      <c r="C252">
        <v>10</v>
      </c>
      <c r="D252">
        <v>3</v>
      </c>
      <c r="E252" t="s">
        <v>338</v>
      </c>
      <c r="F252" t="s">
        <v>80</v>
      </c>
      <c r="G252" t="s">
        <v>14</v>
      </c>
      <c r="H252">
        <v>2</v>
      </c>
      <c r="I252">
        <v>400</v>
      </c>
      <c r="J252">
        <v>0</v>
      </c>
    </row>
    <row r="253" spans="1:10">
      <c r="A253" t="s">
        <v>366</v>
      </c>
      <c r="B253" t="s">
        <v>367</v>
      </c>
      <c r="C253">
        <v>10</v>
      </c>
      <c r="D253">
        <v>3</v>
      </c>
      <c r="E253" t="s">
        <v>338</v>
      </c>
      <c r="F253" t="s">
        <v>82</v>
      </c>
      <c r="G253" t="s">
        <v>20</v>
      </c>
      <c r="H253">
        <v>2</v>
      </c>
      <c r="I253">
        <v>900</v>
      </c>
      <c r="J253">
        <v>0</v>
      </c>
    </row>
    <row r="254" spans="1:10">
      <c r="A254" t="s">
        <v>368</v>
      </c>
      <c r="B254" t="s">
        <v>367</v>
      </c>
      <c r="C254">
        <v>10</v>
      </c>
      <c r="D254">
        <v>3</v>
      </c>
      <c r="E254" t="s">
        <v>338</v>
      </c>
      <c r="F254" t="s">
        <v>369</v>
      </c>
      <c r="G254" t="s">
        <v>221</v>
      </c>
      <c r="H254">
        <v>1</v>
      </c>
      <c r="I254">
        <v>700</v>
      </c>
      <c r="J254">
        <v>0</v>
      </c>
    </row>
    <row r="255" spans="1:10">
      <c r="A255" t="s">
        <v>370</v>
      </c>
      <c r="B255" t="s">
        <v>367</v>
      </c>
      <c r="C255">
        <v>10</v>
      </c>
      <c r="D255">
        <v>3</v>
      </c>
      <c r="E255" t="s">
        <v>338</v>
      </c>
      <c r="F255" t="s">
        <v>369</v>
      </c>
      <c r="G255" t="s">
        <v>221</v>
      </c>
      <c r="H255">
        <v>2</v>
      </c>
      <c r="I255">
        <v>595</v>
      </c>
      <c r="J255">
        <v>15</v>
      </c>
    </row>
    <row r="256" spans="1:10">
      <c r="A256" t="s">
        <v>371</v>
      </c>
      <c r="B256" t="s">
        <v>372</v>
      </c>
      <c r="C256">
        <v>10</v>
      </c>
      <c r="D256">
        <v>3</v>
      </c>
      <c r="E256" t="s">
        <v>338</v>
      </c>
      <c r="F256" t="s">
        <v>364</v>
      </c>
      <c r="G256" t="s">
        <v>221</v>
      </c>
      <c r="H256">
        <v>5</v>
      </c>
      <c r="I256">
        <v>960</v>
      </c>
      <c r="J256">
        <v>0</v>
      </c>
    </row>
    <row r="257" spans="1:10">
      <c r="A257" t="s">
        <v>373</v>
      </c>
      <c r="B257" t="s">
        <v>372</v>
      </c>
      <c r="C257">
        <v>10</v>
      </c>
      <c r="D257">
        <v>3</v>
      </c>
      <c r="E257" t="s">
        <v>338</v>
      </c>
      <c r="F257" t="s">
        <v>80</v>
      </c>
      <c r="G257" t="s">
        <v>14</v>
      </c>
      <c r="H257">
        <v>3</v>
      </c>
      <c r="I257">
        <v>400</v>
      </c>
      <c r="J257">
        <v>0</v>
      </c>
    </row>
    <row r="258" spans="1:10">
      <c r="A258" t="s">
        <v>374</v>
      </c>
      <c r="B258" t="s">
        <v>372</v>
      </c>
      <c r="C258">
        <v>10</v>
      </c>
      <c r="D258">
        <v>3</v>
      </c>
      <c r="E258" t="s">
        <v>338</v>
      </c>
      <c r="F258" t="s">
        <v>364</v>
      </c>
      <c r="G258" t="s">
        <v>221</v>
      </c>
      <c r="H258">
        <v>4</v>
      </c>
      <c r="I258">
        <v>960</v>
      </c>
      <c r="J258">
        <v>0</v>
      </c>
    </row>
    <row r="259" spans="1:10">
      <c r="A259" t="s">
        <v>375</v>
      </c>
      <c r="B259" t="s">
        <v>376</v>
      </c>
      <c r="C259">
        <v>10</v>
      </c>
      <c r="D259">
        <v>3</v>
      </c>
      <c r="E259" t="s">
        <v>338</v>
      </c>
      <c r="F259" t="s">
        <v>369</v>
      </c>
      <c r="G259" t="s">
        <v>221</v>
      </c>
      <c r="H259">
        <v>1</v>
      </c>
      <c r="I259">
        <v>630</v>
      </c>
      <c r="J259">
        <v>10</v>
      </c>
    </row>
    <row r="260" spans="1:10">
      <c r="A260" t="s">
        <v>377</v>
      </c>
      <c r="B260" t="s">
        <v>376</v>
      </c>
      <c r="C260">
        <v>10</v>
      </c>
      <c r="D260">
        <v>3</v>
      </c>
      <c r="E260" t="s">
        <v>338</v>
      </c>
      <c r="F260" t="s">
        <v>39</v>
      </c>
      <c r="G260" t="s">
        <v>14</v>
      </c>
      <c r="H260">
        <v>5</v>
      </c>
      <c r="I260">
        <v>880</v>
      </c>
      <c r="J260">
        <v>0</v>
      </c>
    </row>
    <row r="261" spans="1:10">
      <c r="A261" t="s">
        <v>378</v>
      </c>
      <c r="B261" t="s">
        <v>376</v>
      </c>
      <c r="C261">
        <v>10</v>
      </c>
      <c r="D261">
        <v>3</v>
      </c>
      <c r="E261" t="s">
        <v>338</v>
      </c>
      <c r="F261" t="s">
        <v>51</v>
      </c>
      <c r="G261" t="s">
        <v>26</v>
      </c>
      <c r="H261">
        <v>2</v>
      </c>
      <c r="I261">
        <v>475</v>
      </c>
      <c r="J261">
        <v>5</v>
      </c>
    </row>
    <row r="262" spans="1:10">
      <c r="A262" t="s">
        <v>379</v>
      </c>
      <c r="B262" t="s">
        <v>380</v>
      </c>
      <c r="C262">
        <v>11</v>
      </c>
      <c r="D262">
        <v>3</v>
      </c>
      <c r="E262" t="s">
        <v>338</v>
      </c>
      <c r="F262" t="s">
        <v>220</v>
      </c>
      <c r="G262" t="s">
        <v>221</v>
      </c>
      <c r="H262">
        <v>5</v>
      </c>
      <c r="I262">
        <v>600</v>
      </c>
      <c r="J262">
        <v>0</v>
      </c>
    </row>
    <row r="263" spans="1:10">
      <c r="A263" t="s">
        <v>381</v>
      </c>
      <c r="B263" t="s">
        <v>380</v>
      </c>
      <c r="C263">
        <v>11</v>
      </c>
      <c r="D263">
        <v>3</v>
      </c>
      <c r="E263" t="s">
        <v>338</v>
      </c>
      <c r="F263" t="s">
        <v>369</v>
      </c>
      <c r="G263" t="s">
        <v>221</v>
      </c>
      <c r="H263">
        <v>5</v>
      </c>
      <c r="I263">
        <v>700</v>
      </c>
      <c r="J263">
        <v>0</v>
      </c>
    </row>
    <row r="264" spans="1:10">
      <c r="A264" t="s">
        <v>382</v>
      </c>
      <c r="B264" t="s">
        <v>380</v>
      </c>
      <c r="C264">
        <v>11</v>
      </c>
      <c r="D264">
        <v>3</v>
      </c>
      <c r="E264" t="s">
        <v>338</v>
      </c>
      <c r="F264" t="s">
        <v>45</v>
      </c>
      <c r="G264" t="s">
        <v>26</v>
      </c>
      <c r="H264">
        <v>4</v>
      </c>
      <c r="I264">
        <v>4500</v>
      </c>
      <c r="J264">
        <v>0</v>
      </c>
    </row>
    <row r="265" spans="1:10">
      <c r="A265" t="s">
        <v>383</v>
      </c>
      <c r="B265" t="s">
        <v>380</v>
      </c>
      <c r="C265">
        <v>11</v>
      </c>
      <c r="D265">
        <v>3</v>
      </c>
      <c r="E265" t="s">
        <v>338</v>
      </c>
      <c r="F265" t="s">
        <v>28</v>
      </c>
      <c r="G265" t="s">
        <v>26</v>
      </c>
      <c r="H265">
        <v>2</v>
      </c>
      <c r="I265">
        <v>1425</v>
      </c>
      <c r="J265">
        <v>5</v>
      </c>
    </row>
    <row r="266" spans="1:10">
      <c r="A266" t="s">
        <v>384</v>
      </c>
      <c r="B266" t="s">
        <v>385</v>
      </c>
      <c r="C266">
        <v>11</v>
      </c>
      <c r="D266">
        <v>3</v>
      </c>
      <c r="E266" t="s">
        <v>338</v>
      </c>
      <c r="F266" t="s">
        <v>115</v>
      </c>
      <c r="G266" t="s">
        <v>23</v>
      </c>
      <c r="H266">
        <v>1</v>
      </c>
      <c r="I266">
        <v>1020</v>
      </c>
      <c r="J266">
        <v>15</v>
      </c>
    </row>
    <row r="267" spans="1:10">
      <c r="A267" t="s">
        <v>386</v>
      </c>
      <c r="B267" t="s">
        <v>385</v>
      </c>
      <c r="C267">
        <v>11</v>
      </c>
      <c r="D267">
        <v>3</v>
      </c>
      <c r="E267" t="s">
        <v>338</v>
      </c>
      <c r="F267" t="s">
        <v>82</v>
      </c>
      <c r="G267" t="s">
        <v>20</v>
      </c>
      <c r="H267">
        <v>1</v>
      </c>
      <c r="I267">
        <v>765</v>
      </c>
      <c r="J267">
        <v>15</v>
      </c>
    </row>
    <row r="268" spans="1:10">
      <c r="A268" t="s">
        <v>387</v>
      </c>
      <c r="B268" t="s">
        <v>385</v>
      </c>
      <c r="C268">
        <v>11</v>
      </c>
      <c r="D268">
        <v>3</v>
      </c>
      <c r="E268" t="s">
        <v>338</v>
      </c>
      <c r="F268" t="s">
        <v>119</v>
      </c>
      <c r="G268" t="s">
        <v>14</v>
      </c>
      <c r="H268">
        <v>1</v>
      </c>
      <c r="I268">
        <v>770</v>
      </c>
      <c r="J268">
        <v>0</v>
      </c>
    </row>
    <row r="269" spans="1:10">
      <c r="A269" t="s">
        <v>388</v>
      </c>
      <c r="B269" t="s">
        <v>389</v>
      </c>
      <c r="C269">
        <v>11</v>
      </c>
      <c r="D269">
        <v>3</v>
      </c>
      <c r="E269" t="s">
        <v>338</v>
      </c>
      <c r="F269" t="s">
        <v>97</v>
      </c>
      <c r="G269" t="s">
        <v>20</v>
      </c>
      <c r="H269">
        <v>3</v>
      </c>
      <c r="I269">
        <v>1980</v>
      </c>
      <c r="J269">
        <v>0</v>
      </c>
    </row>
    <row r="270" spans="1:10">
      <c r="A270" t="s">
        <v>390</v>
      </c>
      <c r="B270" t="s">
        <v>389</v>
      </c>
      <c r="C270">
        <v>11</v>
      </c>
      <c r="D270">
        <v>3</v>
      </c>
      <c r="E270" t="s">
        <v>338</v>
      </c>
      <c r="F270" t="s">
        <v>51</v>
      </c>
      <c r="G270" t="s">
        <v>26</v>
      </c>
      <c r="H270">
        <v>4</v>
      </c>
      <c r="I270">
        <v>450</v>
      </c>
      <c r="J270">
        <v>10</v>
      </c>
    </row>
    <row r="271" spans="1:10">
      <c r="A271" t="s">
        <v>391</v>
      </c>
      <c r="B271" t="s">
        <v>392</v>
      </c>
      <c r="C271">
        <v>11</v>
      </c>
      <c r="D271">
        <v>3</v>
      </c>
      <c r="E271" t="s">
        <v>338</v>
      </c>
      <c r="F271" t="s">
        <v>19</v>
      </c>
      <c r="G271" t="s">
        <v>20</v>
      </c>
      <c r="H271">
        <v>2</v>
      </c>
      <c r="I271">
        <v>1458</v>
      </c>
      <c r="J271">
        <v>10</v>
      </c>
    </row>
    <row r="272" spans="1:10">
      <c r="A272" t="s">
        <v>393</v>
      </c>
      <c r="B272" t="s">
        <v>392</v>
      </c>
      <c r="C272">
        <v>11</v>
      </c>
      <c r="D272">
        <v>3</v>
      </c>
      <c r="E272" t="s">
        <v>338</v>
      </c>
      <c r="F272" t="s">
        <v>19</v>
      </c>
      <c r="G272" t="s">
        <v>20</v>
      </c>
      <c r="H272">
        <v>4</v>
      </c>
      <c r="I272">
        <v>1620</v>
      </c>
      <c r="J272">
        <v>0</v>
      </c>
    </row>
    <row r="273" spans="1:10">
      <c r="A273" t="s">
        <v>394</v>
      </c>
      <c r="B273" t="s">
        <v>392</v>
      </c>
      <c r="C273">
        <v>11</v>
      </c>
      <c r="D273">
        <v>3</v>
      </c>
      <c r="E273" t="s">
        <v>338</v>
      </c>
      <c r="F273" t="s">
        <v>19</v>
      </c>
      <c r="G273" t="s">
        <v>20</v>
      </c>
      <c r="H273">
        <v>1</v>
      </c>
      <c r="I273">
        <v>1620</v>
      </c>
      <c r="J273">
        <v>0</v>
      </c>
    </row>
    <row r="274" spans="1:10">
      <c r="A274" t="s">
        <v>395</v>
      </c>
      <c r="B274" t="s">
        <v>392</v>
      </c>
      <c r="C274">
        <v>11</v>
      </c>
      <c r="D274">
        <v>3</v>
      </c>
      <c r="E274" t="s">
        <v>338</v>
      </c>
      <c r="F274" t="s">
        <v>97</v>
      </c>
      <c r="G274" t="s">
        <v>20</v>
      </c>
      <c r="H274">
        <v>5</v>
      </c>
      <c r="I274">
        <v>1980</v>
      </c>
      <c r="J274">
        <v>0</v>
      </c>
    </row>
    <row r="275" spans="1:10">
      <c r="A275" t="s">
        <v>396</v>
      </c>
      <c r="B275" t="s">
        <v>397</v>
      </c>
      <c r="C275">
        <v>11</v>
      </c>
      <c r="D275">
        <v>3</v>
      </c>
      <c r="E275" t="s">
        <v>338</v>
      </c>
      <c r="F275" t="s">
        <v>58</v>
      </c>
      <c r="G275" t="s">
        <v>23</v>
      </c>
      <c r="H275">
        <v>3</v>
      </c>
      <c r="I275">
        <v>900</v>
      </c>
      <c r="J275">
        <v>10</v>
      </c>
    </row>
    <row r="276" spans="1:10">
      <c r="A276" t="s">
        <v>398</v>
      </c>
      <c r="B276" t="s">
        <v>399</v>
      </c>
      <c r="C276">
        <v>11</v>
      </c>
      <c r="D276">
        <v>3</v>
      </c>
      <c r="E276" t="s">
        <v>338</v>
      </c>
      <c r="F276" t="s">
        <v>37</v>
      </c>
      <c r="G276" t="s">
        <v>20</v>
      </c>
      <c r="H276">
        <v>3</v>
      </c>
      <c r="I276">
        <v>2340</v>
      </c>
      <c r="J276">
        <v>0</v>
      </c>
    </row>
    <row r="277" spans="1:10">
      <c r="A277" t="s">
        <v>400</v>
      </c>
      <c r="B277" t="s">
        <v>399</v>
      </c>
      <c r="C277">
        <v>11</v>
      </c>
      <c r="D277">
        <v>3</v>
      </c>
      <c r="E277" t="s">
        <v>338</v>
      </c>
      <c r="F277" t="s">
        <v>28</v>
      </c>
      <c r="G277" t="s">
        <v>26</v>
      </c>
      <c r="H277">
        <v>2</v>
      </c>
      <c r="I277">
        <v>1350</v>
      </c>
      <c r="J277">
        <v>10</v>
      </c>
    </row>
    <row r="278" spans="1:10">
      <c r="A278" t="s">
        <v>401</v>
      </c>
      <c r="B278" t="s">
        <v>399</v>
      </c>
      <c r="C278">
        <v>11</v>
      </c>
      <c r="D278">
        <v>3</v>
      </c>
      <c r="E278" t="s">
        <v>338</v>
      </c>
      <c r="F278" t="s">
        <v>86</v>
      </c>
      <c r="G278" t="s">
        <v>17</v>
      </c>
      <c r="H278">
        <v>4</v>
      </c>
      <c r="I278">
        <v>940</v>
      </c>
      <c r="J278">
        <v>0</v>
      </c>
    </row>
    <row r="279" spans="1:10">
      <c r="A279" t="s">
        <v>402</v>
      </c>
      <c r="B279" t="s">
        <v>399</v>
      </c>
      <c r="C279">
        <v>11</v>
      </c>
      <c r="D279">
        <v>3</v>
      </c>
      <c r="E279" t="s">
        <v>338</v>
      </c>
      <c r="F279" t="s">
        <v>119</v>
      </c>
      <c r="G279" t="s">
        <v>14</v>
      </c>
      <c r="H279">
        <v>4</v>
      </c>
      <c r="I279">
        <v>731.5</v>
      </c>
      <c r="J279">
        <v>5</v>
      </c>
    </row>
    <row r="280" spans="1:10">
      <c r="A280" t="s">
        <v>403</v>
      </c>
      <c r="B280" t="s">
        <v>399</v>
      </c>
      <c r="C280">
        <v>11</v>
      </c>
      <c r="D280">
        <v>3</v>
      </c>
      <c r="E280" t="s">
        <v>338</v>
      </c>
      <c r="F280" t="s">
        <v>187</v>
      </c>
      <c r="G280" t="s">
        <v>14</v>
      </c>
      <c r="H280">
        <v>5</v>
      </c>
      <c r="I280">
        <v>4180</v>
      </c>
      <c r="J280">
        <v>5</v>
      </c>
    </row>
    <row r="281" spans="1:10">
      <c r="A281" t="s">
        <v>404</v>
      </c>
      <c r="B281" t="s">
        <v>405</v>
      </c>
      <c r="C281">
        <v>12</v>
      </c>
      <c r="D281">
        <v>3</v>
      </c>
      <c r="E281" t="s">
        <v>338</v>
      </c>
      <c r="F281" t="s">
        <v>42</v>
      </c>
      <c r="G281" t="s">
        <v>23</v>
      </c>
      <c r="H281">
        <v>2</v>
      </c>
      <c r="I281">
        <v>600</v>
      </c>
      <c r="J281">
        <v>0</v>
      </c>
    </row>
    <row r="282" spans="1:10">
      <c r="A282" t="s">
        <v>406</v>
      </c>
      <c r="B282" t="s">
        <v>405</v>
      </c>
      <c r="C282">
        <v>12</v>
      </c>
      <c r="D282">
        <v>3</v>
      </c>
      <c r="E282" t="s">
        <v>338</v>
      </c>
      <c r="F282" t="s">
        <v>45</v>
      </c>
      <c r="G282" t="s">
        <v>26</v>
      </c>
      <c r="H282">
        <v>3</v>
      </c>
      <c r="I282">
        <v>4500</v>
      </c>
      <c r="J282">
        <v>0</v>
      </c>
    </row>
    <row r="283" spans="1:10">
      <c r="A283" t="s">
        <v>407</v>
      </c>
      <c r="B283" t="s">
        <v>405</v>
      </c>
      <c r="C283">
        <v>12</v>
      </c>
      <c r="D283">
        <v>3</v>
      </c>
      <c r="E283" t="s">
        <v>338</v>
      </c>
      <c r="F283" t="s">
        <v>66</v>
      </c>
      <c r="G283" t="s">
        <v>17</v>
      </c>
      <c r="H283">
        <v>4</v>
      </c>
      <c r="I283">
        <v>1470</v>
      </c>
      <c r="J283">
        <v>0</v>
      </c>
    </row>
    <row r="284" spans="1:10">
      <c r="A284" t="s">
        <v>408</v>
      </c>
      <c r="B284" t="s">
        <v>409</v>
      </c>
      <c r="C284">
        <v>12</v>
      </c>
      <c r="D284">
        <v>3</v>
      </c>
      <c r="E284" t="s">
        <v>338</v>
      </c>
      <c r="F284" t="s">
        <v>22</v>
      </c>
      <c r="G284" t="s">
        <v>23</v>
      </c>
      <c r="H284">
        <v>1</v>
      </c>
      <c r="I284">
        <v>450</v>
      </c>
      <c r="J284">
        <v>10</v>
      </c>
    </row>
    <row r="285" spans="1:10">
      <c r="A285" t="s">
        <v>410</v>
      </c>
      <c r="B285" t="s">
        <v>411</v>
      </c>
      <c r="C285">
        <v>12</v>
      </c>
      <c r="D285">
        <v>3</v>
      </c>
      <c r="E285" t="s">
        <v>338</v>
      </c>
      <c r="F285" t="s">
        <v>220</v>
      </c>
      <c r="G285" t="s">
        <v>221</v>
      </c>
      <c r="H285">
        <v>3</v>
      </c>
      <c r="I285">
        <v>540</v>
      </c>
      <c r="J285">
        <v>10</v>
      </c>
    </row>
    <row r="286" spans="1:10">
      <c r="A286" t="s">
        <v>412</v>
      </c>
      <c r="B286" t="s">
        <v>411</v>
      </c>
      <c r="C286">
        <v>12</v>
      </c>
      <c r="D286">
        <v>3</v>
      </c>
      <c r="E286" t="s">
        <v>338</v>
      </c>
      <c r="F286" t="s">
        <v>220</v>
      </c>
      <c r="G286" t="s">
        <v>221</v>
      </c>
      <c r="H286">
        <v>5</v>
      </c>
      <c r="I286">
        <v>600</v>
      </c>
      <c r="J286">
        <v>0</v>
      </c>
    </row>
    <row r="287" spans="1:10">
      <c r="A287" t="s">
        <v>413</v>
      </c>
      <c r="B287" t="s">
        <v>411</v>
      </c>
      <c r="C287">
        <v>12</v>
      </c>
      <c r="D287">
        <v>3</v>
      </c>
      <c r="E287" t="s">
        <v>338</v>
      </c>
      <c r="F287" t="s">
        <v>369</v>
      </c>
      <c r="G287" t="s">
        <v>221</v>
      </c>
      <c r="H287">
        <v>5</v>
      </c>
      <c r="I287">
        <v>665</v>
      </c>
      <c r="J287">
        <v>5</v>
      </c>
    </row>
    <row r="288" spans="1:10">
      <c r="A288" t="s">
        <v>414</v>
      </c>
      <c r="B288" t="s">
        <v>411</v>
      </c>
      <c r="C288">
        <v>12</v>
      </c>
      <c r="D288">
        <v>3</v>
      </c>
      <c r="E288" t="s">
        <v>338</v>
      </c>
      <c r="F288" t="s">
        <v>220</v>
      </c>
      <c r="G288" t="s">
        <v>221</v>
      </c>
      <c r="H288">
        <v>1</v>
      </c>
      <c r="I288">
        <v>510</v>
      </c>
      <c r="J288">
        <v>15</v>
      </c>
    </row>
    <row r="289" spans="1:10">
      <c r="A289" t="s">
        <v>415</v>
      </c>
      <c r="B289" t="s">
        <v>416</v>
      </c>
      <c r="C289">
        <v>12</v>
      </c>
      <c r="D289">
        <v>3</v>
      </c>
      <c r="E289" t="s">
        <v>338</v>
      </c>
      <c r="F289" t="s">
        <v>97</v>
      </c>
      <c r="G289" t="s">
        <v>20</v>
      </c>
      <c r="H289">
        <v>3</v>
      </c>
      <c r="I289">
        <v>1980</v>
      </c>
      <c r="J289">
        <v>0</v>
      </c>
    </row>
    <row r="290" spans="1:10">
      <c r="A290" t="s">
        <v>417</v>
      </c>
      <c r="B290" t="s">
        <v>418</v>
      </c>
      <c r="C290">
        <v>12</v>
      </c>
      <c r="D290">
        <v>3</v>
      </c>
      <c r="E290" t="s">
        <v>338</v>
      </c>
      <c r="F290" t="s">
        <v>146</v>
      </c>
      <c r="G290" t="s">
        <v>20</v>
      </c>
      <c r="H290">
        <v>2</v>
      </c>
      <c r="I290">
        <v>598.5</v>
      </c>
      <c r="J290">
        <v>5</v>
      </c>
    </row>
    <row r="291" spans="1:10">
      <c r="A291" t="s">
        <v>419</v>
      </c>
      <c r="B291" t="s">
        <v>418</v>
      </c>
      <c r="C291">
        <v>12</v>
      </c>
      <c r="D291">
        <v>3</v>
      </c>
      <c r="E291" t="s">
        <v>338</v>
      </c>
      <c r="F291" t="s">
        <v>97</v>
      </c>
      <c r="G291" t="s">
        <v>20</v>
      </c>
      <c r="H291">
        <v>2</v>
      </c>
      <c r="I291">
        <v>1980</v>
      </c>
      <c r="J291">
        <v>0</v>
      </c>
    </row>
    <row r="292" spans="1:10">
      <c r="A292" t="s">
        <v>420</v>
      </c>
      <c r="B292" t="s">
        <v>418</v>
      </c>
      <c r="C292">
        <v>12</v>
      </c>
      <c r="D292">
        <v>3</v>
      </c>
      <c r="E292" t="s">
        <v>338</v>
      </c>
      <c r="F292" t="s">
        <v>16</v>
      </c>
      <c r="G292" t="s">
        <v>17</v>
      </c>
      <c r="H292">
        <v>2</v>
      </c>
      <c r="I292">
        <v>520</v>
      </c>
      <c r="J292">
        <v>0</v>
      </c>
    </row>
    <row r="293" spans="1:10">
      <c r="A293" t="s">
        <v>421</v>
      </c>
      <c r="B293" t="s">
        <v>418</v>
      </c>
      <c r="C293">
        <v>12</v>
      </c>
      <c r="D293">
        <v>3</v>
      </c>
      <c r="E293" t="s">
        <v>338</v>
      </c>
      <c r="F293" t="s">
        <v>58</v>
      </c>
      <c r="G293" t="s">
        <v>23</v>
      </c>
      <c r="H293">
        <v>1</v>
      </c>
      <c r="I293">
        <v>850</v>
      </c>
      <c r="J293">
        <v>15</v>
      </c>
    </row>
    <row r="294" spans="1:10">
      <c r="A294" t="s">
        <v>422</v>
      </c>
      <c r="B294" t="s">
        <v>418</v>
      </c>
      <c r="C294">
        <v>12</v>
      </c>
      <c r="D294">
        <v>3</v>
      </c>
      <c r="E294" t="s">
        <v>338</v>
      </c>
      <c r="F294" t="s">
        <v>364</v>
      </c>
      <c r="G294" t="s">
        <v>221</v>
      </c>
      <c r="H294">
        <v>5</v>
      </c>
      <c r="I294">
        <v>864</v>
      </c>
      <c r="J294">
        <v>10</v>
      </c>
    </row>
    <row r="295" spans="1:10">
      <c r="A295" t="s">
        <v>423</v>
      </c>
      <c r="B295" t="s">
        <v>418</v>
      </c>
      <c r="C295">
        <v>12</v>
      </c>
      <c r="D295">
        <v>3</v>
      </c>
      <c r="E295" t="s">
        <v>338</v>
      </c>
      <c r="F295" t="s">
        <v>16</v>
      </c>
      <c r="G295" t="s">
        <v>17</v>
      </c>
      <c r="H295">
        <v>4</v>
      </c>
      <c r="I295">
        <v>442</v>
      </c>
      <c r="J295">
        <v>15</v>
      </c>
    </row>
    <row r="296" spans="1:10">
      <c r="A296" t="s">
        <v>424</v>
      </c>
      <c r="B296" t="s">
        <v>418</v>
      </c>
      <c r="C296">
        <v>12</v>
      </c>
      <c r="D296">
        <v>3</v>
      </c>
      <c r="E296" t="s">
        <v>338</v>
      </c>
      <c r="F296" t="s">
        <v>187</v>
      </c>
      <c r="G296" t="s">
        <v>14</v>
      </c>
      <c r="H296">
        <v>4</v>
      </c>
      <c r="I296">
        <v>3740</v>
      </c>
      <c r="J296">
        <v>15</v>
      </c>
    </row>
    <row r="297" spans="1:10">
      <c r="A297" t="s">
        <v>425</v>
      </c>
      <c r="B297" t="s">
        <v>418</v>
      </c>
      <c r="C297">
        <v>12</v>
      </c>
      <c r="D297">
        <v>3</v>
      </c>
      <c r="E297" t="s">
        <v>338</v>
      </c>
      <c r="F297" t="s">
        <v>146</v>
      </c>
      <c r="G297" t="s">
        <v>20</v>
      </c>
      <c r="H297">
        <v>3</v>
      </c>
      <c r="I297">
        <v>598.5</v>
      </c>
      <c r="J297">
        <v>5</v>
      </c>
    </row>
    <row r="298" spans="1:10">
      <c r="A298" t="s">
        <v>426</v>
      </c>
      <c r="B298" t="s">
        <v>427</v>
      </c>
      <c r="C298">
        <v>12</v>
      </c>
      <c r="D298">
        <v>3</v>
      </c>
      <c r="E298" t="s">
        <v>338</v>
      </c>
      <c r="F298" t="s">
        <v>31</v>
      </c>
      <c r="G298" t="s">
        <v>23</v>
      </c>
      <c r="H298">
        <v>3</v>
      </c>
      <c r="I298">
        <v>1400</v>
      </c>
      <c r="J298">
        <v>0</v>
      </c>
    </row>
    <row r="299" spans="1:10">
      <c r="A299" t="s">
        <v>428</v>
      </c>
      <c r="B299" t="s">
        <v>427</v>
      </c>
      <c r="C299">
        <v>12</v>
      </c>
      <c r="D299">
        <v>3</v>
      </c>
      <c r="E299" t="s">
        <v>338</v>
      </c>
      <c r="F299" t="s">
        <v>64</v>
      </c>
      <c r="G299" t="s">
        <v>14</v>
      </c>
      <c r="H299">
        <v>3</v>
      </c>
      <c r="I299">
        <v>2508</v>
      </c>
      <c r="J299">
        <v>5</v>
      </c>
    </row>
    <row r="300" spans="1:10">
      <c r="A300" t="s">
        <v>429</v>
      </c>
      <c r="B300" t="s">
        <v>430</v>
      </c>
      <c r="C300">
        <v>12</v>
      </c>
      <c r="D300">
        <v>3</v>
      </c>
      <c r="E300" t="s">
        <v>338</v>
      </c>
      <c r="F300" t="s">
        <v>58</v>
      </c>
      <c r="G300" t="s">
        <v>23</v>
      </c>
      <c r="H300">
        <v>4</v>
      </c>
      <c r="I300">
        <v>1000</v>
      </c>
      <c r="J300">
        <v>0</v>
      </c>
    </row>
    <row r="301" spans="1:10">
      <c r="A301" t="s">
        <v>431</v>
      </c>
      <c r="B301" t="s">
        <v>430</v>
      </c>
      <c r="C301">
        <v>12</v>
      </c>
      <c r="D301">
        <v>3</v>
      </c>
      <c r="E301" t="s">
        <v>338</v>
      </c>
      <c r="F301" t="s">
        <v>146</v>
      </c>
      <c r="G301" t="s">
        <v>20</v>
      </c>
      <c r="H301">
        <v>5</v>
      </c>
      <c r="I301">
        <v>567</v>
      </c>
      <c r="J301">
        <v>10</v>
      </c>
    </row>
    <row r="302" spans="1:10">
      <c r="A302" t="s">
        <v>432</v>
      </c>
      <c r="B302" t="s">
        <v>430</v>
      </c>
      <c r="C302">
        <v>12</v>
      </c>
      <c r="D302">
        <v>3</v>
      </c>
      <c r="E302" t="s">
        <v>338</v>
      </c>
      <c r="F302" t="s">
        <v>349</v>
      </c>
      <c r="G302" t="s">
        <v>221</v>
      </c>
      <c r="H302">
        <v>2</v>
      </c>
      <c r="I302">
        <v>400</v>
      </c>
      <c r="J302">
        <v>0</v>
      </c>
    </row>
    <row r="303" spans="1:10">
      <c r="A303" t="s">
        <v>433</v>
      </c>
      <c r="B303" t="s">
        <v>430</v>
      </c>
      <c r="C303">
        <v>12</v>
      </c>
      <c r="D303">
        <v>3</v>
      </c>
      <c r="E303" t="s">
        <v>338</v>
      </c>
      <c r="F303" t="s">
        <v>45</v>
      </c>
      <c r="G303" t="s">
        <v>26</v>
      </c>
      <c r="H303">
        <v>3</v>
      </c>
      <c r="I303">
        <v>3825</v>
      </c>
      <c r="J303">
        <v>15</v>
      </c>
    </row>
    <row r="304" spans="1:10">
      <c r="A304" t="s">
        <v>434</v>
      </c>
      <c r="B304" t="s">
        <v>435</v>
      </c>
      <c r="C304">
        <v>13</v>
      </c>
      <c r="D304">
        <v>3</v>
      </c>
      <c r="E304" t="s">
        <v>338</v>
      </c>
      <c r="F304" t="s">
        <v>35</v>
      </c>
      <c r="G304" t="s">
        <v>17</v>
      </c>
      <c r="H304">
        <v>1</v>
      </c>
      <c r="I304">
        <v>2835</v>
      </c>
      <c r="J304">
        <v>10</v>
      </c>
    </row>
    <row r="305" spans="1:10">
      <c r="A305" t="s">
        <v>436</v>
      </c>
      <c r="B305" t="s">
        <v>437</v>
      </c>
      <c r="C305">
        <v>13</v>
      </c>
      <c r="D305">
        <v>3</v>
      </c>
      <c r="E305" t="s">
        <v>338</v>
      </c>
      <c r="F305" t="s">
        <v>42</v>
      </c>
      <c r="G305" t="s">
        <v>23</v>
      </c>
      <c r="H305">
        <v>5</v>
      </c>
      <c r="I305">
        <v>600</v>
      </c>
      <c r="J305">
        <v>0</v>
      </c>
    </row>
    <row r="306" spans="1:10">
      <c r="A306" t="s">
        <v>438</v>
      </c>
      <c r="B306" t="s">
        <v>437</v>
      </c>
      <c r="C306">
        <v>13</v>
      </c>
      <c r="D306">
        <v>3</v>
      </c>
      <c r="E306" t="s">
        <v>338</v>
      </c>
      <c r="F306" t="s">
        <v>66</v>
      </c>
      <c r="G306" t="s">
        <v>17</v>
      </c>
      <c r="H306">
        <v>2</v>
      </c>
      <c r="I306">
        <v>1470</v>
      </c>
      <c r="J306">
        <v>0</v>
      </c>
    </row>
    <row r="307" spans="1:10">
      <c r="A307" t="s">
        <v>439</v>
      </c>
      <c r="B307" t="s">
        <v>437</v>
      </c>
      <c r="C307">
        <v>13</v>
      </c>
      <c r="D307">
        <v>3</v>
      </c>
      <c r="E307" t="s">
        <v>338</v>
      </c>
      <c r="F307" t="s">
        <v>42</v>
      </c>
      <c r="G307" t="s">
        <v>23</v>
      </c>
      <c r="H307">
        <v>3</v>
      </c>
      <c r="I307">
        <v>510</v>
      </c>
      <c r="J307">
        <v>15</v>
      </c>
    </row>
    <row r="308" spans="1:10">
      <c r="A308" t="s">
        <v>440</v>
      </c>
      <c r="B308" t="s">
        <v>437</v>
      </c>
      <c r="C308">
        <v>13</v>
      </c>
      <c r="D308">
        <v>3</v>
      </c>
      <c r="E308" t="s">
        <v>338</v>
      </c>
      <c r="F308" t="s">
        <v>64</v>
      </c>
      <c r="G308" t="s">
        <v>14</v>
      </c>
      <c r="H308">
        <v>5</v>
      </c>
      <c r="I308">
        <v>2640</v>
      </c>
      <c r="J308">
        <v>0</v>
      </c>
    </row>
    <row r="309" spans="1:10">
      <c r="A309" t="s">
        <v>441</v>
      </c>
      <c r="B309" t="s">
        <v>437</v>
      </c>
      <c r="C309">
        <v>13</v>
      </c>
      <c r="D309">
        <v>3</v>
      </c>
      <c r="E309" t="s">
        <v>338</v>
      </c>
      <c r="F309" t="s">
        <v>80</v>
      </c>
      <c r="G309" t="s">
        <v>14</v>
      </c>
      <c r="H309">
        <v>1</v>
      </c>
      <c r="I309">
        <v>380</v>
      </c>
      <c r="J309">
        <v>5</v>
      </c>
    </row>
    <row r="310" spans="1:10">
      <c r="A310" t="s">
        <v>442</v>
      </c>
      <c r="B310" t="s">
        <v>437</v>
      </c>
      <c r="C310">
        <v>13</v>
      </c>
      <c r="D310">
        <v>3</v>
      </c>
      <c r="E310" t="s">
        <v>338</v>
      </c>
      <c r="F310" t="s">
        <v>42</v>
      </c>
      <c r="G310" t="s">
        <v>23</v>
      </c>
      <c r="H310">
        <v>5</v>
      </c>
      <c r="I310">
        <v>510</v>
      </c>
      <c r="J310">
        <v>15</v>
      </c>
    </row>
    <row r="311" spans="1:10">
      <c r="A311" t="s">
        <v>443</v>
      </c>
      <c r="B311" t="s">
        <v>444</v>
      </c>
      <c r="C311">
        <v>13</v>
      </c>
      <c r="D311">
        <v>3</v>
      </c>
      <c r="E311" t="s">
        <v>338</v>
      </c>
      <c r="F311" t="s">
        <v>369</v>
      </c>
      <c r="G311" t="s">
        <v>221</v>
      </c>
      <c r="H311">
        <v>4</v>
      </c>
      <c r="I311">
        <v>700</v>
      </c>
      <c r="J311">
        <v>0</v>
      </c>
    </row>
    <row r="312" spans="1:10">
      <c r="A312" t="s">
        <v>445</v>
      </c>
      <c r="B312" t="s">
        <v>444</v>
      </c>
      <c r="C312">
        <v>13</v>
      </c>
      <c r="D312">
        <v>3</v>
      </c>
      <c r="E312" t="s">
        <v>338</v>
      </c>
      <c r="F312" t="s">
        <v>68</v>
      </c>
      <c r="G312" t="s">
        <v>26</v>
      </c>
      <c r="H312">
        <v>5</v>
      </c>
      <c r="I312">
        <v>361</v>
      </c>
      <c r="J312">
        <v>5</v>
      </c>
    </row>
    <row r="313" spans="1:10">
      <c r="A313" t="s">
        <v>446</v>
      </c>
      <c r="B313" t="s">
        <v>444</v>
      </c>
      <c r="C313">
        <v>13</v>
      </c>
      <c r="D313">
        <v>3</v>
      </c>
      <c r="E313" t="s">
        <v>338</v>
      </c>
      <c r="F313" t="s">
        <v>86</v>
      </c>
      <c r="G313" t="s">
        <v>17</v>
      </c>
      <c r="H313">
        <v>2</v>
      </c>
      <c r="I313">
        <v>940</v>
      </c>
      <c r="J313">
        <v>0</v>
      </c>
    </row>
    <row r="314" spans="1:10">
      <c r="A314" t="s">
        <v>447</v>
      </c>
      <c r="B314" t="s">
        <v>448</v>
      </c>
      <c r="C314">
        <v>13</v>
      </c>
      <c r="D314">
        <v>3</v>
      </c>
      <c r="E314" t="s">
        <v>338</v>
      </c>
      <c r="F314" t="s">
        <v>349</v>
      </c>
      <c r="G314" t="s">
        <v>221</v>
      </c>
      <c r="H314">
        <v>3</v>
      </c>
      <c r="I314">
        <v>400</v>
      </c>
      <c r="J314">
        <v>0</v>
      </c>
    </row>
    <row r="315" spans="1:10">
      <c r="A315" t="s">
        <v>449</v>
      </c>
      <c r="B315" t="s">
        <v>448</v>
      </c>
      <c r="C315">
        <v>13</v>
      </c>
      <c r="D315">
        <v>3</v>
      </c>
      <c r="E315" t="s">
        <v>338</v>
      </c>
      <c r="F315" t="s">
        <v>35</v>
      </c>
      <c r="G315" t="s">
        <v>17</v>
      </c>
      <c r="H315">
        <v>1</v>
      </c>
      <c r="I315">
        <v>2677.5</v>
      </c>
      <c r="J315">
        <v>15</v>
      </c>
    </row>
    <row r="316" spans="1:10">
      <c r="A316" t="s">
        <v>450</v>
      </c>
      <c r="B316" t="s">
        <v>448</v>
      </c>
      <c r="C316">
        <v>13</v>
      </c>
      <c r="D316">
        <v>3</v>
      </c>
      <c r="E316" t="s">
        <v>338</v>
      </c>
      <c r="F316" t="s">
        <v>349</v>
      </c>
      <c r="G316" t="s">
        <v>221</v>
      </c>
      <c r="H316">
        <v>4</v>
      </c>
      <c r="I316">
        <v>400</v>
      </c>
      <c r="J316">
        <v>0</v>
      </c>
    </row>
    <row r="317" spans="1:10">
      <c r="A317" t="s">
        <v>451</v>
      </c>
      <c r="B317" t="s">
        <v>448</v>
      </c>
      <c r="C317">
        <v>13</v>
      </c>
      <c r="D317">
        <v>3</v>
      </c>
      <c r="E317" t="s">
        <v>338</v>
      </c>
      <c r="F317" t="s">
        <v>94</v>
      </c>
      <c r="G317" t="s">
        <v>17</v>
      </c>
      <c r="H317">
        <v>1</v>
      </c>
      <c r="I317">
        <v>1596</v>
      </c>
      <c r="J317">
        <v>5</v>
      </c>
    </row>
    <row r="318" spans="1:10">
      <c r="A318" t="s">
        <v>452</v>
      </c>
      <c r="B318" t="s">
        <v>448</v>
      </c>
      <c r="C318">
        <v>13</v>
      </c>
      <c r="D318">
        <v>3</v>
      </c>
      <c r="E318" t="s">
        <v>338</v>
      </c>
      <c r="F318" t="s">
        <v>364</v>
      </c>
      <c r="G318" t="s">
        <v>221</v>
      </c>
      <c r="H318">
        <v>2</v>
      </c>
      <c r="I318">
        <v>960</v>
      </c>
      <c r="J318">
        <v>0</v>
      </c>
    </row>
    <row r="319" spans="1:10">
      <c r="A319" t="s">
        <v>453</v>
      </c>
      <c r="B319" t="s">
        <v>454</v>
      </c>
      <c r="C319">
        <v>13</v>
      </c>
      <c r="D319">
        <v>3</v>
      </c>
      <c r="E319" t="s">
        <v>338</v>
      </c>
      <c r="F319" t="s">
        <v>13</v>
      </c>
      <c r="G319" t="s">
        <v>14</v>
      </c>
      <c r="H319">
        <v>1</v>
      </c>
      <c r="I319">
        <v>480</v>
      </c>
      <c r="J319">
        <v>0</v>
      </c>
    </row>
    <row r="320" spans="1:10">
      <c r="A320" t="s">
        <v>455</v>
      </c>
      <c r="B320" t="s">
        <v>454</v>
      </c>
      <c r="C320">
        <v>13</v>
      </c>
      <c r="D320">
        <v>3</v>
      </c>
      <c r="E320" t="s">
        <v>338</v>
      </c>
      <c r="F320" t="s">
        <v>37</v>
      </c>
      <c r="G320" t="s">
        <v>20</v>
      </c>
      <c r="H320">
        <v>2</v>
      </c>
      <c r="I320">
        <v>2340</v>
      </c>
      <c r="J320">
        <v>0</v>
      </c>
    </row>
    <row r="321" spans="1:10">
      <c r="A321" t="s">
        <v>456</v>
      </c>
      <c r="B321" t="s">
        <v>454</v>
      </c>
      <c r="C321">
        <v>13</v>
      </c>
      <c r="D321">
        <v>3</v>
      </c>
      <c r="E321" t="s">
        <v>338</v>
      </c>
      <c r="F321" t="s">
        <v>42</v>
      </c>
      <c r="G321" t="s">
        <v>23</v>
      </c>
      <c r="H321">
        <v>4</v>
      </c>
      <c r="I321">
        <v>570</v>
      </c>
      <c r="J321">
        <v>5</v>
      </c>
    </row>
    <row r="322" spans="1:10">
      <c r="A322" t="s">
        <v>457</v>
      </c>
      <c r="B322" t="s">
        <v>454</v>
      </c>
      <c r="C322">
        <v>13</v>
      </c>
      <c r="D322">
        <v>3</v>
      </c>
      <c r="E322" t="s">
        <v>338</v>
      </c>
      <c r="F322" t="s">
        <v>25</v>
      </c>
      <c r="G322" t="s">
        <v>26</v>
      </c>
      <c r="H322">
        <v>3</v>
      </c>
      <c r="I322">
        <v>950</v>
      </c>
      <c r="J322">
        <v>5</v>
      </c>
    </row>
    <row r="323" spans="1:10">
      <c r="A323" t="s">
        <v>458</v>
      </c>
      <c r="B323" t="s">
        <v>454</v>
      </c>
      <c r="C323">
        <v>13</v>
      </c>
      <c r="D323">
        <v>3</v>
      </c>
      <c r="E323" t="s">
        <v>338</v>
      </c>
      <c r="F323" t="s">
        <v>364</v>
      </c>
      <c r="G323" t="s">
        <v>221</v>
      </c>
      <c r="H323">
        <v>1</v>
      </c>
      <c r="I323">
        <v>960</v>
      </c>
      <c r="J323">
        <v>0</v>
      </c>
    </row>
    <row r="324" spans="1:10">
      <c r="A324" t="s">
        <v>459</v>
      </c>
      <c r="B324" t="s">
        <v>454</v>
      </c>
      <c r="C324">
        <v>13</v>
      </c>
      <c r="D324">
        <v>3</v>
      </c>
      <c r="E324" t="s">
        <v>338</v>
      </c>
      <c r="F324" t="s">
        <v>39</v>
      </c>
      <c r="G324" t="s">
        <v>14</v>
      </c>
      <c r="H324">
        <v>5</v>
      </c>
      <c r="I324">
        <v>880</v>
      </c>
      <c r="J324">
        <v>0</v>
      </c>
    </row>
    <row r="325" spans="1:10">
      <c r="A325" t="s">
        <v>460</v>
      </c>
      <c r="B325" t="s">
        <v>454</v>
      </c>
      <c r="C325">
        <v>13</v>
      </c>
      <c r="D325">
        <v>3</v>
      </c>
      <c r="E325" t="s">
        <v>338</v>
      </c>
      <c r="F325" t="s">
        <v>369</v>
      </c>
      <c r="G325" t="s">
        <v>221</v>
      </c>
      <c r="H325">
        <v>5</v>
      </c>
      <c r="I325">
        <v>700</v>
      </c>
      <c r="J325">
        <v>0</v>
      </c>
    </row>
    <row r="326" spans="1:10">
      <c r="A326" t="s">
        <v>461</v>
      </c>
      <c r="B326" t="s">
        <v>462</v>
      </c>
      <c r="C326">
        <v>13</v>
      </c>
      <c r="D326">
        <v>3</v>
      </c>
      <c r="E326" t="s">
        <v>338</v>
      </c>
      <c r="F326" t="s">
        <v>22</v>
      </c>
      <c r="G326" t="s">
        <v>23</v>
      </c>
      <c r="H326">
        <v>2</v>
      </c>
      <c r="I326">
        <v>500</v>
      </c>
      <c r="J326">
        <v>0</v>
      </c>
    </row>
    <row r="327" spans="1:10">
      <c r="A327" t="s">
        <v>463</v>
      </c>
      <c r="B327" t="s">
        <v>464</v>
      </c>
      <c r="C327">
        <v>13</v>
      </c>
      <c r="D327">
        <v>3</v>
      </c>
      <c r="E327" t="s">
        <v>338</v>
      </c>
      <c r="F327" t="s">
        <v>16</v>
      </c>
      <c r="G327" t="s">
        <v>17</v>
      </c>
      <c r="H327">
        <v>4</v>
      </c>
      <c r="I327">
        <v>442</v>
      </c>
      <c r="J327">
        <v>15</v>
      </c>
    </row>
    <row r="328" spans="1:10">
      <c r="A328" t="s">
        <v>465</v>
      </c>
      <c r="B328" t="s">
        <v>464</v>
      </c>
      <c r="C328">
        <v>13</v>
      </c>
      <c r="D328">
        <v>3</v>
      </c>
      <c r="E328" t="s">
        <v>338</v>
      </c>
      <c r="F328" t="s">
        <v>80</v>
      </c>
      <c r="G328" t="s">
        <v>14</v>
      </c>
      <c r="H328">
        <v>1</v>
      </c>
      <c r="I328">
        <v>400</v>
      </c>
      <c r="J328">
        <v>0</v>
      </c>
    </row>
    <row r="329" spans="1:10">
      <c r="A329" t="s">
        <v>466</v>
      </c>
      <c r="B329" t="s">
        <v>464</v>
      </c>
      <c r="C329">
        <v>13</v>
      </c>
      <c r="D329">
        <v>3</v>
      </c>
      <c r="E329" t="s">
        <v>338</v>
      </c>
      <c r="F329" t="s">
        <v>369</v>
      </c>
      <c r="G329" t="s">
        <v>221</v>
      </c>
      <c r="H329">
        <v>2</v>
      </c>
      <c r="I329">
        <v>595</v>
      </c>
      <c r="J329">
        <v>15</v>
      </c>
    </row>
    <row r="330" spans="1:10">
      <c r="A330" t="s">
        <v>467</v>
      </c>
      <c r="B330" t="s">
        <v>464</v>
      </c>
      <c r="C330">
        <v>13</v>
      </c>
      <c r="D330">
        <v>3</v>
      </c>
      <c r="E330" t="s">
        <v>338</v>
      </c>
      <c r="F330" t="s">
        <v>97</v>
      </c>
      <c r="G330" t="s">
        <v>20</v>
      </c>
      <c r="H330">
        <v>5</v>
      </c>
      <c r="I330">
        <v>1980</v>
      </c>
      <c r="J330">
        <v>0</v>
      </c>
    </row>
    <row r="331" spans="1:10">
      <c r="A331" t="s">
        <v>468</v>
      </c>
      <c r="B331" t="s">
        <v>464</v>
      </c>
      <c r="C331">
        <v>13</v>
      </c>
      <c r="D331">
        <v>3</v>
      </c>
      <c r="E331" t="s">
        <v>338</v>
      </c>
      <c r="F331" t="s">
        <v>94</v>
      </c>
      <c r="G331" t="s">
        <v>17</v>
      </c>
      <c r="H331">
        <v>5</v>
      </c>
      <c r="I331">
        <v>1428</v>
      </c>
      <c r="J331">
        <v>15</v>
      </c>
    </row>
    <row r="332" spans="1:10">
      <c r="A332" t="s">
        <v>469</v>
      </c>
      <c r="B332" t="s">
        <v>470</v>
      </c>
      <c r="C332">
        <v>14</v>
      </c>
      <c r="D332">
        <v>4</v>
      </c>
      <c r="E332" t="s">
        <v>471</v>
      </c>
      <c r="F332" t="s">
        <v>364</v>
      </c>
      <c r="G332" t="s">
        <v>221</v>
      </c>
      <c r="H332">
        <v>1</v>
      </c>
      <c r="I332">
        <v>912</v>
      </c>
      <c r="J332">
        <v>5</v>
      </c>
    </row>
    <row r="333" spans="1:10">
      <c r="A333" t="s">
        <v>472</v>
      </c>
      <c r="B333" t="s">
        <v>470</v>
      </c>
      <c r="C333">
        <v>14</v>
      </c>
      <c r="D333">
        <v>4</v>
      </c>
      <c r="E333" t="s">
        <v>471</v>
      </c>
      <c r="F333" t="s">
        <v>187</v>
      </c>
      <c r="G333" t="s">
        <v>14</v>
      </c>
      <c r="H333">
        <v>5</v>
      </c>
      <c r="I333">
        <v>4400</v>
      </c>
      <c r="J333">
        <v>0</v>
      </c>
    </row>
    <row r="334" spans="1:10">
      <c r="A334" t="s">
        <v>473</v>
      </c>
      <c r="B334" t="s">
        <v>474</v>
      </c>
      <c r="C334">
        <v>14</v>
      </c>
      <c r="D334">
        <v>4</v>
      </c>
      <c r="E334" t="s">
        <v>471</v>
      </c>
      <c r="F334" t="s">
        <v>28</v>
      </c>
      <c r="G334" t="s">
        <v>26</v>
      </c>
      <c r="H334">
        <v>4</v>
      </c>
      <c r="I334">
        <v>1500</v>
      </c>
      <c r="J334">
        <v>0</v>
      </c>
    </row>
    <row r="335" spans="1:10">
      <c r="A335" t="s">
        <v>475</v>
      </c>
      <c r="B335" t="s">
        <v>474</v>
      </c>
      <c r="C335">
        <v>14</v>
      </c>
      <c r="D335">
        <v>4</v>
      </c>
      <c r="E335" t="s">
        <v>471</v>
      </c>
      <c r="F335" t="s">
        <v>369</v>
      </c>
      <c r="G335" t="s">
        <v>221</v>
      </c>
      <c r="H335">
        <v>5</v>
      </c>
      <c r="I335">
        <v>700</v>
      </c>
      <c r="J335">
        <v>0</v>
      </c>
    </row>
    <row r="336" spans="1:10">
      <c r="A336" t="s">
        <v>476</v>
      </c>
      <c r="B336" t="s">
        <v>474</v>
      </c>
      <c r="C336">
        <v>14</v>
      </c>
      <c r="D336">
        <v>4</v>
      </c>
      <c r="E336" t="s">
        <v>471</v>
      </c>
      <c r="F336" t="s">
        <v>66</v>
      </c>
      <c r="G336" t="s">
        <v>17</v>
      </c>
      <c r="H336">
        <v>2</v>
      </c>
      <c r="I336">
        <v>1323</v>
      </c>
      <c r="J336">
        <v>10</v>
      </c>
    </row>
    <row r="337" spans="1:10">
      <c r="A337" t="s">
        <v>477</v>
      </c>
      <c r="B337" t="s">
        <v>474</v>
      </c>
      <c r="C337">
        <v>14</v>
      </c>
      <c r="D337">
        <v>4</v>
      </c>
      <c r="E337" t="s">
        <v>471</v>
      </c>
      <c r="F337" t="s">
        <v>349</v>
      </c>
      <c r="G337" t="s">
        <v>221</v>
      </c>
      <c r="H337">
        <v>3</v>
      </c>
      <c r="I337">
        <v>400</v>
      </c>
      <c r="J337">
        <v>0</v>
      </c>
    </row>
    <row r="338" spans="1:10">
      <c r="A338" t="s">
        <v>478</v>
      </c>
      <c r="B338" t="s">
        <v>474</v>
      </c>
      <c r="C338">
        <v>14</v>
      </c>
      <c r="D338">
        <v>4</v>
      </c>
      <c r="E338" t="s">
        <v>471</v>
      </c>
      <c r="F338" t="s">
        <v>369</v>
      </c>
      <c r="G338" t="s">
        <v>221</v>
      </c>
      <c r="H338">
        <v>4</v>
      </c>
      <c r="I338">
        <v>700</v>
      </c>
      <c r="J338">
        <v>0</v>
      </c>
    </row>
    <row r="339" spans="1:10">
      <c r="A339" t="s">
        <v>479</v>
      </c>
      <c r="B339" t="s">
        <v>480</v>
      </c>
      <c r="C339">
        <v>14</v>
      </c>
      <c r="D339">
        <v>4</v>
      </c>
      <c r="E339" t="s">
        <v>471</v>
      </c>
      <c r="F339" t="s">
        <v>16</v>
      </c>
      <c r="G339" t="s">
        <v>17</v>
      </c>
      <c r="H339">
        <v>5</v>
      </c>
      <c r="I339">
        <v>442</v>
      </c>
      <c r="J339">
        <v>15</v>
      </c>
    </row>
    <row r="340" spans="1:10">
      <c r="A340" t="s">
        <v>481</v>
      </c>
      <c r="B340" t="s">
        <v>480</v>
      </c>
      <c r="C340">
        <v>14</v>
      </c>
      <c r="D340">
        <v>4</v>
      </c>
      <c r="E340" t="s">
        <v>471</v>
      </c>
      <c r="F340" t="s">
        <v>146</v>
      </c>
      <c r="G340" t="s">
        <v>20</v>
      </c>
      <c r="H340">
        <v>5</v>
      </c>
      <c r="I340">
        <v>630</v>
      </c>
      <c r="J340">
        <v>0</v>
      </c>
    </row>
    <row r="341" spans="1:10">
      <c r="A341" t="s">
        <v>482</v>
      </c>
      <c r="B341" t="s">
        <v>480</v>
      </c>
      <c r="C341">
        <v>14</v>
      </c>
      <c r="D341">
        <v>4</v>
      </c>
      <c r="E341" t="s">
        <v>471</v>
      </c>
      <c r="F341" t="s">
        <v>349</v>
      </c>
      <c r="G341" t="s">
        <v>221</v>
      </c>
      <c r="H341">
        <v>5</v>
      </c>
      <c r="I341">
        <v>400</v>
      </c>
      <c r="J341">
        <v>0</v>
      </c>
    </row>
    <row r="342" spans="1:10">
      <c r="A342" t="s">
        <v>483</v>
      </c>
      <c r="B342" t="s">
        <v>480</v>
      </c>
      <c r="C342">
        <v>14</v>
      </c>
      <c r="D342">
        <v>4</v>
      </c>
      <c r="E342" t="s">
        <v>471</v>
      </c>
      <c r="F342" t="s">
        <v>25</v>
      </c>
      <c r="G342" t="s">
        <v>26</v>
      </c>
      <c r="H342">
        <v>4</v>
      </c>
      <c r="I342">
        <v>850</v>
      </c>
      <c r="J342">
        <v>15</v>
      </c>
    </row>
    <row r="343" spans="1:10">
      <c r="A343" t="s">
        <v>484</v>
      </c>
      <c r="B343" t="s">
        <v>485</v>
      </c>
      <c r="C343">
        <v>14</v>
      </c>
      <c r="D343">
        <v>4</v>
      </c>
      <c r="E343" t="s">
        <v>471</v>
      </c>
      <c r="F343" t="s">
        <v>86</v>
      </c>
      <c r="G343" t="s">
        <v>17</v>
      </c>
      <c r="H343">
        <v>1</v>
      </c>
      <c r="I343">
        <v>846</v>
      </c>
      <c r="J343">
        <v>10</v>
      </c>
    </row>
    <row r="344" spans="1:10">
      <c r="A344" t="s">
        <v>486</v>
      </c>
      <c r="B344" t="s">
        <v>487</v>
      </c>
      <c r="C344">
        <v>14</v>
      </c>
      <c r="D344">
        <v>4</v>
      </c>
      <c r="E344" t="s">
        <v>471</v>
      </c>
      <c r="F344" t="s">
        <v>80</v>
      </c>
      <c r="G344" t="s">
        <v>14</v>
      </c>
      <c r="H344">
        <v>5</v>
      </c>
      <c r="I344">
        <v>340</v>
      </c>
      <c r="J344">
        <v>15</v>
      </c>
    </row>
    <row r="345" spans="1:10">
      <c r="A345" t="s">
        <v>488</v>
      </c>
      <c r="B345" t="s">
        <v>487</v>
      </c>
      <c r="C345">
        <v>14</v>
      </c>
      <c r="D345">
        <v>4</v>
      </c>
      <c r="E345" t="s">
        <v>471</v>
      </c>
      <c r="F345" t="s">
        <v>39</v>
      </c>
      <c r="G345" t="s">
        <v>14</v>
      </c>
      <c r="H345">
        <v>4</v>
      </c>
      <c r="I345">
        <v>880</v>
      </c>
      <c r="J345">
        <v>0</v>
      </c>
    </row>
    <row r="346" spans="1:10">
      <c r="A346" t="s">
        <v>489</v>
      </c>
      <c r="B346" t="s">
        <v>487</v>
      </c>
      <c r="C346">
        <v>14</v>
      </c>
      <c r="D346">
        <v>4</v>
      </c>
      <c r="E346" t="s">
        <v>471</v>
      </c>
      <c r="F346" t="s">
        <v>37</v>
      </c>
      <c r="G346" t="s">
        <v>20</v>
      </c>
      <c r="H346">
        <v>2</v>
      </c>
      <c r="I346">
        <v>1989</v>
      </c>
      <c r="J346">
        <v>15</v>
      </c>
    </row>
    <row r="347" spans="1:10">
      <c r="A347" t="s">
        <v>490</v>
      </c>
      <c r="B347" t="s">
        <v>487</v>
      </c>
      <c r="C347">
        <v>14</v>
      </c>
      <c r="D347">
        <v>4</v>
      </c>
      <c r="E347" t="s">
        <v>471</v>
      </c>
      <c r="F347" t="s">
        <v>58</v>
      </c>
      <c r="G347" t="s">
        <v>23</v>
      </c>
      <c r="H347">
        <v>3</v>
      </c>
      <c r="I347">
        <v>1000</v>
      </c>
      <c r="J347">
        <v>0</v>
      </c>
    </row>
    <row r="348" spans="1:10">
      <c r="A348" t="s">
        <v>491</v>
      </c>
      <c r="B348" t="s">
        <v>492</v>
      </c>
      <c r="C348">
        <v>14</v>
      </c>
      <c r="D348">
        <v>4</v>
      </c>
      <c r="E348" t="s">
        <v>471</v>
      </c>
      <c r="F348" t="s">
        <v>97</v>
      </c>
      <c r="G348" t="s">
        <v>20</v>
      </c>
      <c r="H348">
        <v>5</v>
      </c>
      <c r="I348">
        <v>1980</v>
      </c>
      <c r="J348">
        <v>0</v>
      </c>
    </row>
    <row r="349" spans="1:10">
      <c r="A349" t="s">
        <v>493</v>
      </c>
      <c r="B349" t="s">
        <v>492</v>
      </c>
      <c r="C349">
        <v>14</v>
      </c>
      <c r="D349">
        <v>4</v>
      </c>
      <c r="E349" t="s">
        <v>471</v>
      </c>
      <c r="F349" t="s">
        <v>64</v>
      </c>
      <c r="G349" t="s">
        <v>14</v>
      </c>
      <c r="H349">
        <v>1</v>
      </c>
      <c r="I349">
        <v>2376</v>
      </c>
      <c r="J349">
        <v>10</v>
      </c>
    </row>
    <row r="350" spans="1:10">
      <c r="A350" t="s">
        <v>494</v>
      </c>
      <c r="B350" t="s">
        <v>492</v>
      </c>
      <c r="C350">
        <v>14</v>
      </c>
      <c r="D350">
        <v>4</v>
      </c>
      <c r="E350" t="s">
        <v>471</v>
      </c>
      <c r="F350" t="s">
        <v>94</v>
      </c>
      <c r="G350" t="s">
        <v>17</v>
      </c>
      <c r="H350">
        <v>3</v>
      </c>
      <c r="I350">
        <v>1428</v>
      </c>
      <c r="J350">
        <v>15</v>
      </c>
    </row>
    <row r="351" spans="1:10">
      <c r="A351" t="s">
        <v>495</v>
      </c>
      <c r="B351" t="s">
        <v>496</v>
      </c>
      <c r="C351">
        <v>14</v>
      </c>
      <c r="D351">
        <v>4</v>
      </c>
      <c r="E351" t="s">
        <v>471</v>
      </c>
      <c r="F351" t="s">
        <v>119</v>
      </c>
      <c r="G351" t="s">
        <v>14</v>
      </c>
      <c r="H351">
        <v>1</v>
      </c>
      <c r="I351">
        <v>770</v>
      </c>
      <c r="J351">
        <v>0</v>
      </c>
    </row>
    <row r="352" spans="1:10">
      <c r="A352" t="s">
        <v>497</v>
      </c>
      <c r="B352" t="s">
        <v>496</v>
      </c>
      <c r="C352">
        <v>14</v>
      </c>
      <c r="D352">
        <v>4</v>
      </c>
      <c r="E352" t="s">
        <v>471</v>
      </c>
      <c r="F352" t="s">
        <v>349</v>
      </c>
      <c r="G352" t="s">
        <v>221</v>
      </c>
      <c r="H352">
        <v>1</v>
      </c>
      <c r="I352">
        <v>380</v>
      </c>
      <c r="J352">
        <v>5</v>
      </c>
    </row>
    <row r="353" spans="1:10">
      <c r="A353" t="s">
        <v>498</v>
      </c>
      <c r="B353" t="s">
        <v>496</v>
      </c>
      <c r="C353">
        <v>14</v>
      </c>
      <c r="D353">
        <v>4</v>
      </c>
      <c r="E353" t="s">
        <v>471</v>
      </c>
      <c r="F353" t="s">
        <v>31</v>
      </c>
      <c r="G353" t="s">
        <v>23</v>
      </c>
      <c r="H353">
        <v>2</v>
      </c>
      <c r="I353">
        <v>1330</v>
      </c>
      <c r="J353">
        <v>5</v>
      </c>
    </row>
    <row r="354" spans="1:10">
      <c r="A354" t="s">
        <v>499</v>
      </c>
      <c r="B354" t="s">
        <v>500</v>
      </c>
      <c r="C354">
        <v>15</v>
      </c>
      <c r="D354">
        <v>4</v>
      </c>
      <c r="E354" t="s">
        <v>471</v>
      </c>
      <c r="F354" t="s">
        <v>51</v>
      </c>
      <c r="G354" t="s">
        <v>26</v>
      </c>
      <c r="H354">
        <v>4</v>
      </c>
      <c r="I354">
        <v>500</v>
      </c>
      <c r="J354">
        <v>0</v>
      </c>
    </row>
    <row r="355" spans="1:10">
      <c r="A355" t="s">
        <v>501</v>
      </c>
      <c r="B355" t="s">
        <v>500</v>
      </c>
      <c r="C355">
        <v>15</v>
      </c>
      <c r="D355">
        <v>4</v>
      </c>
      <c r="E355" t="s">
        <v>471</v>
      </c>
      <c r="F355" t="s">
        <v>58</v>
      </c>
      <c r="G355" t="s">
        <v>23</v>
      </c>
      <c r="H355">
        <v>3</v>
      </c>
      <c r="I355">
        <v>1000</v>
      </c>
      <c r="J355">
        <v>0</v>
      </c>
    </row>
    <row r="356" spans="1:10">
      <c r="A356" t="s">
        <v>502</v>
      </c>
      <c r="B356" t="s">
        <v>500</v>
      </c>
      <c r="C356">
        <v>15</v>
      </c>
      <c r="D356">
        <v>4</v>
      </c>
      <c r="E356" t="s">
        <v>471</v>
      </c>
      <c r="F356" t="s">
        <v>16</v>
      </c>
      <c r="G356" t="s">
        <v>17</v>
      </c>
      <c r="H356">
        <v>3</v>
      </c>
      <c r="I356">
        <v>520</v>
      </c>
      <c r="J356">
        <v>0</v>
      </c>
    </row>
    <row r="357" spans="1:10">
      <c r="A357" t="s">
        <v>503</v>
      </c>
      <c r="B357" t="s">
        <v>500</v>
      </c>
      <c r="C357">
        <v>15</v>
      </c>
      <c r="D357">
        <v>4</v>
      </c>
      <c r="E357" t="s">
        <v>471</v>
      </c>
      <c r="F357" t="s">
        <v>45</v>
      </c>
      <c r="G357" t="s">
        <v>26</v>
      </c>
      <c r="H357">
        <v>1</v>
      </c>
      <c r="I357">
        <v>4500</v>
      </c>
      <c r="J357">
        <v>0</v>
      </c>
    </row>
    <row r="358" spans="1:10">
      <c r="A358" t="s">
        <v>504</v>
      </c>
      <c r="B358" t="s">
        <v>500</v>
      </c>
      <c r="C358">
        <v>15</v>
      </c>
      <c r="D358">
        <v>4</v>
      </c>
      <c r="E358" t="s">
        <v>471</v>
      </c>
      <c r="F358" t="s">
        <v>13</v>
      </c>
      <c r="G358" t="s">
        <v>14</v>
      </c>
      <c r="H358">
        <v>4</v>
      </c>
      <c r="I358">
        <v>480</v>
      </c>
      <c r="J358">
        <v>0</v>
      </c>
    </row>
    <row r="359" spans="1:10">
      <c r="A359" t="s">
        <v>505</v>
      </c>
      <c r="B359" t="s">
        <v>500</v>
      </c>
      <c r="C359">
        <v>15</v>
      </c>
      <c r="D359">
        <v>4</v>
      </c>
      <c r="E359" t="s">
        <v>471</v>
      </c>
      <c r="F359" t="s">
        <v>45</v>
      </c>
      <c r="G359" t="s">
        <v>26</v>
      </c>
      <c r="H359">
        <v>4</v>
      </c>
      <c r="I359">
        <v>4500</v>
      </c>
      <c r="J359">
        <v>0</v>
      </c>
    </row>
    <row r="360" spans="1:10">
      <c r="A360" t="s">
        <v>506</v>
      </c>
      <c r="B360" t="s">
        <v>500</v>
      </c>
      <c r="C360">
        <v>15</v>
      </c>
      <c r="D360">
        <v>4</v>
      </c>
      <c r="E360" t="s">
        <v>471</v>
      </c>
      <c r="F360" t="s">
        <v>16</v>
      </c>
      <c r="G360" t="s">
        <v>17</v>
      </c>
      <c r="H360">
        <v>2</v>
      </c>
      <c r="I360">
        <v>520</v>
      </c>
      <c r="J360">
        <v>0</v>
      </c>
    </row>
    <row r="361" spans="1:10">
      <c r="A361" t="s">
        <v>507</v>
      </c>
      <c r="B361" t="s">
        <v>500</v>
      </c>
      <c r="C361">
        <v>15</v>
      </c>
      <c r="D361">
        <v>4</v>
      </c>
      <c r="E361" t="s">
        <v>471</v>
      </c>
      <c r="F361" t="s">
        <v>349</v>
      </c>
      <c r="G361" t="s">
        <v>221</v>
      </c>
      <c r="H361">
        <v>2</v>
      </c>
      <c r="I361">
        <v>340</v>
      </c>
      <c r="J361">
        <v>15</v>
      </c>
    </row>
    <row r="362" spans="1:10">
      <c r="A362" t="s">
        <v>508</v>
      </c>
      <c r="B362" t="s">
        <v>509</v>
      </c>
      <c r="C362">
        <v>15</v>
      </c>
      <c r="D362">
        <v>4</v>
      </c>
      <c r="E362" t="s">
        <v>471</v>
      </c>
      <c r="F362" t="s">
        <v>115</v>
      </c>
      <c r="G362" t="s">
        <v>23</v>
      </c>
      <c r="H362">
        <v>1</v>
      </c>
      <c r="I362">
        <v>1140</v>
      </c>
      <c r="J362">
        <v>5</v>
      </c>
    </row>
    <row r="363" spans="1:10">
      <c r="A363" t="s">
        <v>510</v>
      </c>
      <c r="B363" t="s">
        <v>509</v>
      </c>
      <c r="C363">
        <v>15</v>
      </c>
      <c r="D363">
        <v>4</v>
      </c>
      <c r="E363" t="s">
        <v>471</v>
      </c>
      <c r="F363" t="s">
        <v>68</v>
      </c>
      <c r="G363" t="s">
        <v>26</v>
      </c>
      <c r="H363">
        <v>5</v>
      </c>
      <c r="I363">
        <v>361</v>
      </c>
      <c r="J363">
        <v>5</v>
      </c>
    </row>
    <row r="364" spans="1:10">
      <c r="A364" t="s">
        <v>511</v>
      </c>
      <c r="B364" t="s">
        <v>509</v>
      </c>
      <c r="C364">
        <v>15</v>
      </c>
      <c r="D364">
        <v>4</v>
      </c>
      <c r="E364" t="s">
        <v>471</v>
      </c>
      <c r="F364" t="s">
        <v>45</v>
      </c>
      <c r="G364" t="s">
        <v>26</v>
      </c>
      <c r="H364">
        <v>2</v>
      </c>
      <c r="I364">
        <v>4275</v>
      </c>
      <c r="J364">
        <v>5</v>
      </c>
    </row>
    <row r="365" spans="1:10">
      <c r="A365" t="s">
        <v>512</v>
      </c>
      <c r="B365" t="s">
        <v>509</v>
      </c>
      <c r="C365">
        <v>15</v>
      </c>
      <c r="D365">
        <v>4</v>
      </c>
      <c r="E365" t="s">
        <v>471</v>
      </c>
      <c r="F365" t="s">
        <v>58</v>
      </c>
      <c r="G365" t="s">
        <v>23</v>
      </c>
      <c r="H365">
        <v>5</v>
      </c>
      <c r="I365">
        <v>1000</v>
      </c>
      <c r="J365">
        <v>0</v>
      </c>
    </row>
    <row r="366" spans="1:10">
      <c r="A366" t="s">
        <v>513</v>
      </c>
      <c r="B366" t="s">
        <v>509</v>
      </c>
      <c r="C366">
        <v>15</v>
      </c>
      <c r="D366">
        <v>4</v>
      </c>
      <c r="E366" t="s">
        <v>471</v>
      </c>
      <c r="F366" t="s">
        <v>115</v>
      </c>
      <c r="G366" t="s">
        <v>23</v>
      </c>
      <c r="H366">
        <v>2</v>
      </c>
      <c r="I366">
        <v>1080</v>
      </c>
      <c r="J366">
        <v>10</v>
      </c>
    </row>
    <row r="367" spans="1:10">
      <c r="A367" t="s">
        <v>514</v>
      </c>
      <c r="B367" t="s">
        <v>515</v>
      </c>
      <c r="C367">
        <v>15</v>
      </c>
      <c r="D367">
        <v>4</v>
      </c>
      <c r="E367" t="s">
        <v>471</v>
      </c>
      <c r="F367" t="s">
        <v>13</v>
      </c>
      <c r="G367" t="s">
        <v>14</v>
      </c>
      <c r="H367">
        <v>3</v>
      </c>
      <c r="I367">
        <v>456</v>
      </c>
      <c r="J367">
        <v>5</v>
      </c>
    </row>
    <row r="368" spans="1:10">
      <c r="A368" t="s">
        <v>516</v>
      </c>
      <c r="B368" t="s">
        <v>515</v>
      </c>
      <c r="C368">
        <v>15</v>
      </c>
      <c r="D368">
        <v>4</v>
      </c>
      <c r="E368" t="s">
        <v>471</v>
      </c>
      <c r="F368" t="s">
        <v>39</v>
      </c>
      <c r="G368" t="s">
        <v>14</v>
      </c>
      <c r="H368">
        <v>5</v>
      </c>
      <c r="I368">
        <v>880</v>
      </c>
      <c r="J368">
        <v>0</v>
      </c>
    </row>
    <row r="369" spans="1:10">
      <c r="A369" t="s">
        <v>517</v>
      </c>
      <c r="B369" t="s">
        <v>518</v>
      </c>
      <c r="C369">
        <v>15</v>
      </c>
      <c r="D369">
        <v>4</v>
      </c>
      <c r="E369" t="s">
        <v>471</v>
      </c>
      <c r="F369" t="s">
        <v>115</v>
      </c>
      <c r="G369" t="s">
        <v>23</v>
      </c>
      <c r="H369">
        <v>4</v>
      </c>
      <c r="I369">
        <v>1200</v>
      </c>
      <c r="J369">
        <v>0</v>
      </c>
    </row>
    <row r="370" spans="1:10">
      <c r="A370" t="s">
        <v>519</v>
      </c>
      <c r="B370" t="s">
        <v>518</v>
      </c>
      <c r="C370">
        <v>15</v>
      </c>
      <c r="D370">
        <v>4</v>
      </c>
      <c r="E370" t="s">
        <v>471</v>
      </c>
      <c r="F370" t="s">
        <v>19</v>
      </c>
      <c r="G370" t="s">
        <v>20</v>
      </c>
      <c r="H370">
        <v>1</v>
      </c>
      <c r="I370">
        <v>1458</v>
      </c>
      <c r="J370">
        <v>10</v>
      </c>
    </row>
    <row r="371" spans="1:10">
      <c r="A371" t="s">
        <v>520</v>
      </c>
      <c r="B371" t="s">
        <v>518</v>
      </c>
      <c r="C371">
        <v>15</v>
      </c>
      <c r="D371">
        <v>4</v>
      </c>
      <c r="E371" t="s">
        <v>471</v>
      </c>
      <c r="F371" t="s">
        <v>66</v>
      </c>
      <c r="G371" t="s">
        <v>17</v>
      </c>
      <c r="H371">
        <v>3</v>
      </c>
      <c r="I371">
        <v>1396.5</v>
      </c>
      <c r="J371">
        <v>5</v>
      </c>
    </row>
    <row r="372" spans="1:10">
      <c r="A372" t="s">
        <v>521</v>
      </c>
      <c r="B372" t="s">
        <v>518</v>
      </c>
      <c r="C372">
        <v>15</v>
      </c>
      <c r="D372">
        <v>4</v>
      </c>
      <c r="E372" t="s">
        <v>471</v>
      </c>
      <c r="F372" t="s">
        <v>28</v>
      </c>
      <c r="G372" t="s">
        <v>26</v>
      </c>
      <c r="H372">
        <v>4</v>
      </c>
      <c r="I372">
        <v>1500</v>
      </c>
      <c r="J372">
        <v>0</v>
      </c>
    </row>
    <row r="373" spans="1:10">
      <c r="A373" t="s">
        <v>522</v>
      </c>
      <c r="B373" t="s">
        <v>518</v>
      </c>
      <c r="C373">
        <v>15</v>
      </c>
      <c r="D373">
        <v>4</v>
      </c>
      <c r="E373" t="s">
        <v>471</v>
      </c>
      <c r="F373" t="s">
        <v>31</v>
      </c>
      <c r="G373" t="s">
        <v>23</v>
      </c>
      <c r="H373">
        <v>3</v>
      </c>
      <c r="I373">
        <v>1400</v>
      </c>
      <c r="J373">
        <v>0</v>
      </c>
    </row>
    <row r="374" spans="1:10">
      <c r="A374" t="s">
        <v>523</v>
      </c>
      <c r="B374" t="s">
        <v>518</v>
      </c>
      <c r="C374">
        <v>15</v>
      </c>
      <c r="D374">
        <v>4</v>
      </c>
      <c r="E374" t="s">
        <v>471</v>
      </c>
      <c r="F374" t="s">
        <v>37</v>
      </c>
      <c r="G374" t="s">
        <v>20</v>
      </c>
      <c r="H374">
        <v>2</v>
      </c>
      <c r="I374">
        <v>2223</v>
      </c>
      <c r="J374">
        <v>5</v>
      </c>
    </row>
    <row r="375" spans="1:10">
      <c r="A375" t="s">
        <v>524</v>
      </c>
      <c r="B375" t="s">
        <v>518</v>
      </c>
      <c r="C375">
        <v>15</v>
      </c>
      <c r="D375">
        <v>4</v>
      </c>
      <c r="E375" t="s">
        <v>471</v>
      </c>
      <c r="F375" t="s">
        <v>80</v>
      </c>
      <c r="G375" t="s">
        <v>14</v>
      </c>
      <c r="H375">
        <v>3</v>
      </c>
      <c r="I375">
        <v>380</v>
      </c>
      <c r="J375">
        <v>5</v>
      </c>
    </row>
    <row r="376" spans="1:10">
      <c r="A376" t="s">
        <v>525</v>
      </c>
      <c r="B376" t="s">
        <v>526</v>
      </c>
      <c r="C376">
        <v>15</v>
      </c>
      <c r="D376">
        <v>4</v>
      </c>
      <c r="E376" t="s">
        <v>471</v>
      </c>
      <c r="F376" t="s">
        <v>68</v>
      </c>
      <c r="G376" t="s">
        <v>26</v>
      </c>
      <c r="H376">
        <v>3</v>
      </c>
      <c r="I376">
        <v>380</v>
      </c>
      <c r="J376">
        <v>0</v>
      </c>
    </row>
    <row r="377" spans="1:10">
      <c r="A377" t="s">
        <v>527</v>
      </c>
      <c r="B377" t="s">
        <v>526</v>
      </c>
      <c r="C377">
        <v>15</v>
      </c>
      <c r="D377">
        <v>4</v>
      </c>
      <c r="E377" t="s">
        <v>471</v>
      </c>
      <c r="F377" t="s">
        <v>364</v>
      </c>
      <c r="G377" t="s">
        <v>221</v>
      </c>
      <c r="H377">
        <v>4</v>
      </c>
      <c r="I377">
        <v>912</v>
      </c>
      <c r="J377">
        <v>5</v>
      </c>
    </row>
    <row r="378" spans="1:10">
      <c r="A378" t="s">
        <v>528</v>
      </c>
      <c r="B378" t="s">
        <v>526</v>
      </c>
      <c r="C378">
        <v>15</v>
      </c>
      <c r="D378">
        <v>4</v>
      </c>
      <c r="E378" t="s">
        <v>471</v>
      </c>
      <c r="F378" t="s">
        <v>13</v>
      </c>
      <c r="G378" t="s">
        <v>14</v>
      </c>
      <c r="H378">
        <v>2</v>
      </c>
      <c r="I378">
        <v>408</v>
      </c>
      <c r="J378">
        <v>15</v>
      </c>
    </row>
    <row r="379" spans="1:10">
      <c r="A379" t="s">
        <v>529</v>
      </c>
      <c r="B379" t="s">
        <v>526</v>
      </c>
      <c r="C379">
        <v>15</v>
      </c>
      <c r="D379">
        <v>4</v>
      </c>
      <c r="E379" t="s">
        <v>471</v>
      </c>
      <c r="F379" t="s">
        <v>349</v>
      </c>
      <c r="G379" t="s">
        <v>221</v>
      </c>
      <c r="H379">
        <v>4</v>
      </c>
      <c r="I379">
        <v>400</v>
      </c>
      <c r="J379">
        <v>0</v>
      </c>
    </row>
    <row r="380" spans="1:10">
      <c r="A380" t="s">
        <v>530</v>
      </c>
      <c r="B380" t="s">
        <v>526</v>
      </c>
      <c r="C380">
        <v>15</v>
      </c>
      <c r="D380">
        <v>4</v>
      </c>
      <c r="E380" t="s">
        <v>471</v>
      </c>
      <c r="F380" t="s">
        <v>68</v>
      </c>
      <c r="G380" t="s">
        <v>26</v>
      </c>
      <c r="H380">
        <v>1</v>
      </c>
      <c r="I380">
        <v>361</v>
      </c>
      <c r="J380">
        <v>5</v>
      </c>
    </row>
    <row r="381" spans="1:10">
      <c r="A381" t="s">
        <v>531</v>
      </c>
      <c r="B381" t="s">
        <v>526</v>
      </c>
      <c r="C381">
        <v>15</v>
      </c>
      <c r="D381">
        <v>4</v>
      </c>
      <c r="E381" t="s">
        <v>471</v>
      </c>
      <c r="F381" t="s">
        <v>115</v>
      </c>
      <c r="G381" t="s">
        <v>23</v>
      </c>
      <c r="H381">
        <v>3</v>
      </c>
      <c r="I381">
        <v>1080</v>
      </c>
      <c r="J381">
        <v>10</v>
      </c>
    </row>
    <row r="382" spans="1:10">
      <c r="A382" t="s">
        <v>532</v>
      </c>
      <c r="B382" t="s">
        <v>533</v>
      </c>
      <c r="C382">
        <v>15</v>
      </c>
      <c r="D382">
        <v>4</v>
      </c>
      <c r="E382" t="s">
        <v>471</v>
      </c>
      <c r="F382" t="s">
        <v>28</v>
      </c>
      <c r="G382" t="s">
        <v>26</v>
      </c>
      <c r="H382">
        <v>3</v>
      </c>
      <c r="I382">
        <v>1425</v>
      </c>
      <c r="J382">
        <v>5</v>
      </c>
    </row>
    <row r="383" spans="1:10">
      <c r="A383" t="s">
        <v>534</v>
      </c>
      <c r="B383" t="s">
        <v>533</v>
      </c>
      <c r="C383">
        <v>15</v>
      </c>
      <c r="D383">
        <v>4</v>
      </c>
      <c r="E383" t="s">
        <v>471</v>
      </c>
      <c r="F383" t="s">
        <v>28</v>
      </c>
      <c r="G383" t="s">
        <v>26</v>
      </c>
      <c r="H383">
        <v>3</v>
      </c>
      <c r="I383">
        <v>1350</v>
      </c>
      <c r="J383">
        <v>10</v>
      </c>
    </row>
    <row r="384" spans="1:10">
      <c r="A384" t="s">
        <v>535</v>
      </c>
      <c r="B384" t="s">
        <v>533</v>
      </c>
      <c r="C384">
        <v>15</v>
      </c>
      <c r="D384">
        <v>4</v>
      </c>
      <c r="E384" t="s">
        <v>471</v>
      </c>
      <c r="F384" t="s">
        <v>64</v>
      </c>
      <c r="G384" t="s">
        <v>14</v>
      </c>
      <c r="H384">
        <v>4</v>
      </c>
      <c r="I384">
        <v>2640</v>
      </c>
      <c r="J384">
        <v>0</v>
      </c>
    </row>
    <row r="385" spans="1:10">
      <c r="A385" t="s">
        <v>536</v>
      </c>
      <c r="B385" t="s">
        <v>537</v>
      </c>
      <c r="C385">
        <v>16</v>
      </c>
      <c r="D385">
        <v>4</v>
      </c>
      <c r="E385" t="s">
        <v>471</v>
      </c>
      <c r="F385" t="s">
        <v>364</v>
      </c>
      <c r="G385" t="s">
        <v>221</v>
      </c>
      <c r="H385">
        <v>2</v>
      </c>
      <c r="I385">
        <v>960</v>
      </c>
      <c r="J385">
        <v>0</v>
      </c>
    </row>
    <row r="386" spans="1:10">
      <c r="A386" t="s">
        <v>538</v>
      </c>
      <c r="B386" t="s">
        <v>537</v>
      </c>
      <c r="C386">
        <v>16</v>
      </c>
      <c r="D386">
        <v>4</v>
      </c>
      <c r="E386" t="s">
        <v>471</v>
      </c>
      <c r="F386" t="s">
        <v>220</v>
      </c>
      <c r="G386" t="s">
        <v>221</v>
      </c>
      <c r="H386">
        <v>1</v>
      </c>
      <c r="I386">
        <v>600</v>
      </c>
      <c r="J386">
        <v>0</v>
      </c>
    </row>
    <row r="387" spans="1:10">
      <c r="A387" t="s">
        <v>539</v>
      </c>
      <c r="B387" t="s">
        <v>537</v>
      </c>
      <c r="C387">
        <v>16</v>
      </c>
      <c r="D387">
        <v>4</v>
      </c>
      <c r="E387" t="s">
        <v>471</v>
      </c>
      <c r="F387" t="s">
        <v>349</v>
      </c>
      <c r="G387" t="s">
        <v>221</v>
      </c>
      <c r="H387">
        <v>1</v>
      </c>
      <c r="I387">
        <v>380</v>
      </c>
      <c r="J387">
        <v>5</v>
      </c>
    </row>
    <row r="388" spans="1:10">
      <c r="A388" t="s">
        <v>540</v>
      </c>
      <c r="B388" t="s">
        <v>537</v>
      </c>
      <c r="C388">
        <v>16</v>
      </c>
      <c r="D388">
        <v>4</v>
      </c>
      <c r="E388" t="s">
        <v>471</v>
      </c>
      <c r="F388" t="s">
        <v>369</v>
      </c>
      <c r="G388" t="s">
        <v>221</v>
      </c>
      <c r="H388">
        <v>5</v>
      </c>
      <c r="I388">
        <v>700</v>
      </c>
      <c r="J388">
        <v>0</v>
      </c>
    </row>
    <row r="389" spans="1:10">
      <c r="A389" t="s">
        <v>541</v>
      </c>
      <c r="B389" t="s">
        <v>537</v>
      </c>
      <c r="C389">
        <v>16</v>
      </c>
      <c r="D389">
        <v>4</v>
      </c>
      <c r="E389" t="s">
        <v>471</v>
      </c>
      <c r="F389" t="s">
        <v>16</v>
      </c>
      <c r="G389" t="s">
        <v>17</v>
      </c>
      <c r="H389">
        <v>3</v>
      </c>
      <c r="I389">
        <v>520</v>
      </c>
      <c r="J389">
        <v>0</v>
      </c>
    </row>
    <row r="390" spans="1:10">
      <c r="A390" t="s">
        <v>542</v>
      </c>
      <c r="B390" t="s">
        <v>537</v>
      </c>
      <c r="C390">
        <v>16</v>
      </c>
      <c r="D390">
        <v>4</v>
      </c>
      <c r="E390" t="s">
        <v>471</v>
      </c>
      <c r="F390" t="s">
        <v>220</v>
      </c>
      <c r="G390" t="s">
        <v>221</v>
      </c>
      <c r="H390">
        <v>4</v>
      </c>
      <c r="I390">
        <v>570</v>
      </c>
      <c r="J390">
        <v>5</v>
      </c>
    </row>
    <row r="391" spans="1:10">
      <c r="A391" t="s">
        <v>543</v>
      </c>
      <c r="B391" t="s">
        <v>537</v>
      </c>
      <c r="C391">
        <v>16</v>
      </c>
      <c r="D391">
        <v>4</v>
      </c>
      <c r="E391" t="s">
        <v>471</v>
      </c>
      <c r="F391" t="s">
        <v>58</v>
      </c>
      <c r="G391" t="s">
        <v>23</v>
      </c>
      <c r="H391">
        <v>1</v>
      </c>
      <c r="I391">
        <v>1000</v>
      </c>
      <c r="J391">
        <v>0</v>
      </c>
    </row>
    <row r="392" spans="1:10">
      <c r="A392" t="s">
        <v>544</v>
      </c>
      <c r="B392" t="s">
        <v>537</v>
      </c>
      <c r="C392">
        <v>16</v>
      </c>
      <c r="D392">
        <v>4</v>
      </c>
      <c r="E392" t="s">
        <v>471</v>
      </c>
      <c r="F392" t="s">
        <v>97</v>
      </c>
      <c r="G392" t="s">
        <v>20</v>
      </c>
      <c r="H392">
        <v>1</v>
      </c>
      <c r="I392">
        <v>1881</v>
      </c>
      <c r="J392">
        <v>5</v>
      </c>
    </row>
    <row r="393" spans="1:10">
      <c r="A393" t="s">
        <v>545</v>
      </c>
      <c r="B393" t="s">
        <v>546</v>
      </c>
      <c r="C393">
        <v>16</v>
      </c>
      <c r="D393">
        <v>4</v>
      </c>
      <c r="E393" t="s">
        <v>471</v>
      </c>
      <c r="F393" t="s">
        <v>68</v>
      </c>
      <c r="G393" t="s">
        <v>26</v>
      </c>
      <c r="H393">
        <v>5</v>
      </c>
      <c r="I393">
        <v>342</v>
      </c>
      <c r="J393">
        <v>10</v>
      </c>
    </row>
    <row r="394" spans="1:10">
      <c r="A394" t="s">
        <v>547</v>
      </c>
      <c r="B394" t="s">
        <v>546</v>
      </c>
      <c r="C394">
        <v>16</v>
      </c>
      <c r="D394">
        <v>4</v>
      </c>
      <c r="E394" t="s">
        <v>471</v>
      </c>
      <c r="F394" t="s">
        <v>16</v>
      </c>
      <c r="G394" t="s">
        <v>17</v>
      </c>
      <c r="H394">
        <v>1</v>
      </c>
      <c r="I394">
        <v>520</v>
      </c>
      <c r="J394">
        <v>0</v>
      </c>
    </row>
    <row r="395" spans="1:10">
      <c r="A395" t="s">
        <v>548</v>
      </c>
      <c r="B395" t="s">
        <v>546</v>
      </c>
      <c r="C395">
        <v>16</v>
      </c>
      <c r="D395">
        <v>4</v>
      </c>
      <c r="E395" t="s">
        <v>471</v>
      </c>
      <c r="F395" t="s">
        <v>97</v>
      </c>
      <c r="G395" t="s">
        <v>20</v>
      </c>
      <c r="H395">
        <v>2</v>
      </c>
      <c r="I395">
        <v>1980</v>
      </c>
      <c r="J395">
        <v>0</v>
      </c>
    </row>
    <row r="396" spans="1:10">
      <c r="A396" t="s">
        <v>549</v>
      </c>
      <c r="B396" t="s">
        <v>546</v>
      </c>
      <c r="C396">
        <v>16</v>
      </c>
      <c r="D396">
        <v>4</v>
      </c>
      <c r="E396" t="s">
        <v>471</v>
      </c>
      <c r="F396" t="s">
        <v>31</v>
      </c>
      <c r="G396" t="s">
        <v>23</v>
      </c>
      <c r="H396">
        <v>3</v>
      </c>
      <c r="I396">
        <v>1190</v>
      </c>
      <c r="J396">
        <v>15</v>
      </c>
    </row>
    <row r="397" spans="1:10">
      <c r="A397" t="s">
        <v>550</v>
      </c>
      <c r="B397" t="s">
        <v>546</v>
      </c>
      <c r="C397">
        <v>16</v>
      </c>
      <c r="D397">
        <v>4</v>
      </c>
      <c r="E397" t="s">
        <v>471</v>
      </c>
      <c r="F397" t="s">
        <v>80</v>
      </c>
      <c r="G397" t="s">
        <v>14</v>
      </c>
      <c r="H397">
        <v>3</v>
      </c>
      <c r="I397">
        <v>340</v>
      </c>
      <c r="J397">
        <v>15</v>
      </c>
    </row>
    <row r="398" spans="1:10">
      <c r="A398" t="s">
        <v>551</v>
      </c>
      <c r="B398" t="s">
        <v>546</v>
      </c>
      <c r="C398">
        <v>16</v>
      </c>
      <c r="D398">
        <v>4</v>
      </c>
      <c r="E398" t="s">
        <v>471</v>
      </c>
      <c r="F398" t="s">
        <v>364</v>
      </c>
      <c r="G398" t="s">
        <v>221</v>
      </c>
      <c r="H398">
        <v>2</v>
      </c>
      <c r="I398">
        <v>960</v>
      </c>
      <c r="J398">
        <v>0</v>
      </c>
    </row>
    <row r="399" spans="1:10">
      <c r="A399" t="s">
        <v>552</v>
      </c>
      <c r="B399" t="s">
        <v>553</v>
      </c>
      <c r="C399">
        <v>16</v>
      </c>
      <c r="D399">
        <v>4</v>
      </c>
      <c r="E399" t="s">
        <v>471</v>
      </c>
      <c r="F399" t="s">
        <v>31</v>
      </c>
      <c r="G399" t="s">
        <v>23</v>
      </c>
      <c r="H399">
        <v>2</v>
      </c>
      <c r="I399">
        <v>1330</v>
      </c>
      <c r="J399">
        <v>5</v>
      </c>
    </row>
    <row r="400" spans="1:10">
      <c r="A400" t="s">
        <v>554</v>
      </c>
      <c r="B400" t="s">
        <v>553</v>
      </c>
      <c r="C400">
        <v>16</v>
      </c>
      <c r="D400">
        <v>4</v>
      </c>
      <c r="E400" t="s">
        <v>471</v>
      </c>
      <c r="F400" t="s">
        <v>119</v>
      </c>
      <c r="G400" t="s">
        <v>14</v>
      </c>
      <c r="H400">
        <v>4</v>
      </c>
      <c r="I400">
        <v>654.5</v>
      </c>
      <c r="J400">
        <v>15</v>
      </c>
    </row>
    <row r="401" spans="1:10">
      <c r="A401" t="s">
        <v>555</v>
      </c>
      <c r="B401" t="s">
        <v>553</v>
      </c>
      <c r="C401">
        <v>16</v>
      </c>
      <c r="D401">
        <v>4</v>
      </c>
      <c r="E401" t="s">
        <v>471</v>
      </c>
      <c r="F401" t="s">
        <v>42</v>
      </c>
      <c r="G401" t="s">
        <v>23</v>
      </c>
      <c r="H401">
        <v>4</v>
      </c>
      <c r="I401">
        <v>570</v>
      </c>
      <c r="J401">
        <v>5</v>
      </c>
    </row>
    <row r="402" spans="1:10">
      <c r="A402" t="s">
        <v>556</v>
      </c>
      <c r="B402" t="s">
        <v>557</v>
      </c>
      <c r="C402">
        <v>16</v>
      </c>
      <c r="D402">
        <v>4</v>
      </c>
      <c r="E402" t="s">
        <v>471</v>
      </c>
      <c r="F402" t="s">
        <v>28</v>
      </c>
      <c r="G402" t="s">
        <v>26</v>
      </c>
      <c r="H402">
        <v>3</v>
      </c>
      <c r="I402">
        <v>1500</v>
      </c>
      <c r="J402">
        <v>0</v>
      </c>
    </row>
    <row r="403" spans="1:10">
      <c r="A403" t="s">
        <v>558</v>
      </c>
      <c r="B403" t="s">
        <v>557</v>
      </c>
      <c r="C403">
        <v>16</v>
      </c>
      <c r="D403">
        <v>4</v>
      </c>
      <c r="E403" t="s">
        <v>471</v>
      </c>
      <c r="F403" t="s">
        <v>349</v>
      </c>
      <c r="G403" t="s">
        <v>221</v>
      </c>
      <c r="H403">
        <v>1</v>
      </c>
      <c r="I403">
        <v>340</v>
      </c>
      <c r="J403">
        <v>15</v>
      </c>
    </row>
    <row r="404" spans="1:10">
      <c r="A404" t="s">
        <v>559</v>
      </c>
      <c r="B404" t="s">
        <v>557</v>
      </c>
      <c r="C404">
        <v>16</v>
      </c>
      <c r="D404">
        <v>4</v>
      </c>
      <c r="E404" t="s">
        <v>471</v>
      </c>
      <c r="F404" t="s">
        <v>220</v>
      </c>
      <c r="G404" t="s">
        <v>221</v>
      </c>
      <c r="H404">
        <v>1</v>
      </c>
      <c r="I404">
        <v>540</v>
      </c>
      <c r="J404">
        <v>10</v>
      </c>
    </row>
    <row r="405" spans="1:10">
      <c r="A405" t="s">
        <v>560</v>
      </c>
      <c r="B405" t="s">
        <v>561</v>
      </c>
      <c r="C405">
        <v>16</v>
      </c>
      <c r="D405">
        <v>4</v>
      </c>
      <c r="E405" t="s">
        <v>471</v>
      </c>
      <c r="F405" t="s">
        <v>119</v>
      </c>
      <c r="G405" t="s">
        <v>14</v>
      </c>
      <c r="H405">
        <v>2</v>
      </c>
      <c r="I405">
        <v>693</v>
      </c>
      <c r="J405">
        <v>10</v>
      </c>
    </row>
    <row r="406" spans="1:10">
      <c r="A406" t="s">
        <v>562</v>
      </c>
      <c r="B406" t="s">
        <v>561</v>
      </c>
      <c r="C406">
        <v>16</v>
      </c>
      <c r="D406">
        <v>4</v>
      </c>
      <c r="E406" t="s">
        <v>471</v>
      </c>
      <c r="F406" t="s">
        <v>119</v>
      </c>
      <c r="G406" t="s">
        <v>14</v>
      </c>
      <c r="H406">
        <v>1</v>
      </c>
      <c r="I406">
        <v>770</v>
      </c>
      <c r="J406">
        <v>0</v>
      </c>
    </row>
    <row r="407" spans="1:10">
      <c r="A407" t="s">
        <v>563</v>
      </c>
      <c r="B407" t="s">
        <v>564</v>
      </c>
      <c r="C407">
        <v>16</v>
      </c>
      <c r="D407">
        <v>4</v>
      </c>
      <c r="E407" t="s">
        <v>471</v>
      </c>
      <c r="F407" t="s">
        <v>45</v>
      </c>
      <c r="G407" t="s">
        <v>26</v>
      </c>
      <c r="H407">
        <v>5</v>
      </c>
      <c r="I407">
        <v>3825</v>
      </c>
      <c r="J407">
        <v>15</v>
      </c>
    </row>
    <row r="408" spans="1:10">
      <c r="A408" t="s">
        <v>565</v>
      </c>
      <c r="B408" t="s">
        <v>564</v>
      </c>
      <c r="C408">
        <v>16</v>
      </c>
      <c r="D408">
        <v>4</v>
      </c>
      <c r="E408" t="s">
        <v>471</v>
      </c>
      <c r="F408" t="s">
        <v>22</v>
      </c>
      <c r="G408" t="s">
        <v>23</v>
      </c>
      <c r="H408">
        <v>5</v>
      </c>
      <c r="I408">
        <v>450</v>
      </c>
      <c r="J408">
        <v>10</v>
      </c>
    </row>
    <row r="409" spans="1:10">
      <c r="A409" t="s">
        <v>566</v>
      </c>
      <c r="B409" t="s">
        <v>564</v>
      </c>
      <c r="C409">
        <v>16</v>
      </c>
      <c r="D409">
        <v>4</v>
      </c>
      <c r="E409" t="s">
        <v>471</v>
      </c>
      <c r="F409" t="s">
        <v>31</v>
      </c>
      <c r="G409" t="s">
        <v>23</v>
      </c>
      <c r="H409">
        <v>3</v>
      </c>
      <c r="I409">
        <v>1190</v>
      </c>
      <c r="J409">
        <v>15</v>
      </c>
    </row>
    <row r="410" spans="1:10">
      <c r="A410" t="s">
        <v>567</v>
      </c>
      <c r="B410" t="s">
        <v>564</v>
      </c>
      <c r="C410">
        <v>16</v>
      </c>
      <c r="D410">
        <v>4</v>
      </c>
      <c r="E410" t="s">
        <v>471</v>
      </c>
      <c r="F410" t="s">
        <v>119</v>
      </c>
      <c r="G410" t="s">
        <v>14</v>
      </c>
      <c r="H410">
        <v>5</v>
      </c>
      <c r="I410">
        <v>654.5</v>
      </c>
      <c r="J410">
        <v>15</v>
      </c>
    </row>
    <row r="411" spans="1:10">
      <c r="A411" t="s">
        <v>568</v>
      </c>
      <c r="B411" t="s">
        <v>564</v>
      </c>
      <c r="C411">
        <v>16</v>
      </c>
      <c r="D411">
        <v>4</v>
      </c>
      <c r="E411" t="s">
        <v>471</v>
      </c>
      <c r="F411" t="s">
        <v>94</v>
      </c>
      <c r="G411" t="s">
        <v>17</v>
      </c>
      <c r="H411">
        <v>2</v>
      </c>
      <c r="I411">
        <v>1680</v>
      </c>
      <c r="J411">
        <v>0</v>
      </c>
    </row>
    <row r="412" spans="1:10">
      <c r="A412" t="s">
        <v>569</v>
      </c>
      <c r="B412" t="s">
        <v>570</v>
      </c>
      <c r="C412">
        <v>16</v>
      </c>
      <c r="D412">
        <v>4</v>
      </c>
      <c r="E412" t="s">
        <v>471</v>
      </c>
      <c r="F412" t="s">
        <v>364</v>
      </c>
      <c r="G412" t="s">
        <v>221</v>
      </c>
      <c r="H412">
        <v>1</v>
      </c>
      <c r="I412">
        <v>864</v>
      </c>
      <c r="J412">
        <v>10</v>
      </c>
    </row>
    <row r="413" spans="1:10">
      <c r="A413" t="s">
        <v>571</v>
      </c>
      <c r="B413" t="s">
        <v>572</v>
      </c>
      <c r="C413">
        <v>17</v>
      </c>
      <c r="D413">
        <v>4</v>
      </c>
      <c r="E413" t="s">
        <v>471</v>
      </c>
      <c r="F413" t="s">
        <v>16</v>
      </c>
      <c r="G413" t="s">
        <v>17</v>
      </c>
      <c r="H413">
        <v>2</v>
      </c>
      <c r="I413">
        <v>520</v>
      </c>
      <c r="J413">
        <v>0</v>
      </c>
    </row>
    <row r="414" spans="1:10">
      <c r="A414" t="s">
        <v>573</v>
      </c>
      <c r="B414" t="s">
        <v>572</v>
      </c>
      <c r="C414">
        <v>17</v>
      </c>
      <c r="D414">
        <v>4</v>
      </c>
      <c r="E414" t="s">
        <v>471</v>
      </c>
      <c r="F414" t="s">
        <v>16</v>
      </c>
      <c r="G414" t="s">
        <v>17</v>
      </c>
      <c r="H414">
        <v>3</v>
      </c>
      <c r="I414">
        <v>520</v>
      </c>
      <c r="J414">
        <v>0</v>
      </c>
    </row>
    <row r="415" spans="1:10">
      <c r="A415" t="s">
        <v>574</v>
      </c>
      <c r="B415" t="s">
        <v>572</v>
      </c>
      <c r="C415">
        <v>17</v>
      </c>
      <c r="D415">
        <v>4</v>
      </c>
      <c r="E415" t="s">
        <v>471</v>
      </c>
      <c r="F415" t="s">
        <v>51</v>
      </c>
      <c r="G415" t="s">
        <v>26</v>
      </c>
      <c r="H415">
        <v>5</v>
      </c>
      <c r="I415">
        <v>500</v>
      </c>
      <c r="J415">
        <v>0</v>
      </c>
    </row>
    <row r="416" spans="1:10">
      <c r="A416" t="s">
        <v>575</v>
      </c>
      <c r="B416" t="s">
        <v>572</v>
      </c>
      <c r="C416">
        <v>17</v>
      </c>
      <c r="D416">
        <v>4</v>
      </c>
      <c r="E416" t="s">
        <v>471</v>
      </c>
      <c r="F416" t="s">
        <v>80</v>
      </c>
      <c r="G416" t="s">
        <v>14</v>
      </c>
      <c r="H416">
        <v>4</v>
      </c>
      <c r="I416">
        <v>360</v>
      </c>
      <c r="J416">
        <v>10</v>
      </c>
    </row>
    <row r="417" spans="1:10">
      <c r="A417" t="s">
        <v>576</v>
      </c>
      <c r="B417" t="s">
        <v>572</v>
      </c>
      <c r="C417">
        <v>17</v>
      </c>
      <c r="D417">
        <v>4</v>
      </c>
      <c r="E417" t="s">
        <v>471</v>
      </c>
      <c r="F417" t="s">
        <v>68</v>
      </c>
      <c r="G417" t="s">
        <v>26</v>
      </c>
      <c r="H417">
        <v>3</v>
      </c>
      <c r="I417">
        <v>323</v>
      </c>
      <c r="J417">
        <v>15</v>
      </c>
    </row>
    <row r="418" spans="1:10">
      <c r="A418" t="s">
        <v>577</v>
      </c>
      <c r="B418" t="s">
        <v>578</v>
      </c>
      <c r="C418">
        <v>17</v>
      </c>
      <c r="D418">
        <v>4</v>
      </c>
      <c r="E418" t="s">
        <v>471</v>
      </c>
      <c r="F418" t="s">
        <v>364</v>
      </c>
      <c r="G418" t="s">
        <v>221</v>
      </c>
      <c r="H418">
        <v>5</v>
      </c>
      <c r="I418">
        <v>960</v>
      </c>
      <c r="J418">
        <v>0</v>
      </c>
    </row>
    <row r="419" spans="1:10">
      <c r="A419" t="s">
        <v>579</v>
      </c>
      <c r="B419" t="s">
        <v>578</v>
      </c>
      <c r="C419">
        <v>17</v>
      </c>
      <c r="D419">
        <v>4</v>
      </c>
      <c r="E419" t="s">
        <v>471</v>
      </c>
      <c r="F419" t="s">
        <v>220</v>
      </c>
      <c r="G419" t="s">
        <v>221</v>
      </c>
      <c r="H419">
        <v>2</v>
      </c>
      <c r="I419">
        <v>510</v>
      </c>
      <c r="J419">
        <v>15</v>
      </c>
    </row>
    <row r="420" spans="1:10">
      <c r="A420" t="s">
        <v>580</v>
      </c>
      <c r="B420" t="s">
        <v>578</v>
      </c>
      <c r="C420">
        <v>17</v>
      </c>
      <c r="D420">
        <v>4</v>
      </c>
      <c r="E420" t="s">
        <v>471</v>
      </c>
      <c r="F420" t="s">
        <v>28</v>
      </c>
      <c r="G420" t="s">
        <v>26</v>
      </c>
      <c r="H420">
        <v>5</v>
      </c>
      <c r="I420">
        <v>1500</v>
      </c>
      <c r="J420">
        <v>0</v>
      </c>
    </row>
    <row r="421" spans="1:10">
      <c r="A421" t="s">
        <v>581</v>
      </c>
      <c r="B421" t="s">
        <v>578</v>
      </c>
      <c r="C421">
        <v>17</v>
      </c>
      <c r="D421">
        <v>4</v>
      </c>
      <c r="E421" t="s">
        <v>471</v>
      </c>
      <c r="F421" t="s">
        <v>25</v>
      </c>
      <c r="G421" t="s">
        <v>26</v>
      </c>
      <c r="H421">
        <v>5</v>
      </c>
      <c r="I421">
        <v>1000</v>
      </c>
      <c r="J421">
        <v>0</v>
      </c>
    </row>
    <row r="422" spans="1:10">
      <c r="A422" t="s">
        <v>582</v>
      </c>
      <c r="B422" t="s">
        <v>578</v>
      </c>
      <c r="C422">
        <v>17</v>
      </c>
      <c r="D422">
        <v>4</v>
      </c>
      <c r="E422" t="s">
        <v>471</v>
      </c>
      <c r="F422" t="s">
        <v>64</v>
      </c>
      <c r="G422" t="s">
        <v>14</v>
      </c>
      <c r="H422">
        <v>5</v>
      </c>
      <c r="I422">
        <v>2640</v>
      </c>
      <c r="J422">
        <v>0</v>
      </c>
    </row>
    <row r="423" spans="1:10">
      <c r="A423" t="s">
        <v>583</v>
      </c>
      <c r="B423" t="s">
        <v>578</v>
      </c>
      <c r="C423">
        <v>17</v>
      </c>
      <c r="D423">
        <v>4</v>
      </c>
      <c r="E423" t="s">
        <v>471</v>
      </c>
      <c r="F423" t="s">
        <v>39</v>
      </c>
      <c r="G423" t="s">
        <v>14</v>
      </c>
      <c r="H423">
        <v>4</v>
      </c>
      <c r="I423">
        <v>880</v>
      </c>
      <c r="J423">
        <v>0</v>
      </c>
    </row>
    <row r="424" spans="1:10">
      <c r="A424" t="s">
        <v>584</v>
      </c>
      <c r="B424" t="s">
        <v>585</v>
      </c>
      <c r="C424">
        <v>17</v>
      </c>
      <c r="D424">
        <v>4</v>
      </c>
      <c r="E424" t="s">
        <v>471</v>
      </c>
      <c r="F424" t="s">
        <v>187</v>
      </c>
      <c r="G424" t="s">
        <v>14</v>
      </c>
      <c r="H424">
        <v>5</v>
      </c>
      <c r="I424">
        <v>4400</v>
      </c>
      <c r="J424">
        <v>0</v>
      </c>
    </row>
    <row r="425" spans="1:10">
      <c r="A425" t="s">
        <v>586</v>
      </c>
      <c r="B425" t="s">
        <v>585</v>
      </c>
      <c r="C425">
        <v>17</v>
      </c>
      <c r="D425">
        <v>4</v>
      </c>
      <c r="E425" t="s">
        <v>471</v>
      </c>
      <c r="F425" t="s">
        <v>220</v>
      </c>
      <c r="G425" t="s">
        <v>221</v>
      </c>
      <c r="H425">
        <v>1</v>
      </c>
      <c r="I425">
        <v>540</v>
      </c>
      <c r="J425">
        <v>10</v>
      </c>
    </row>
    <row r="426" spans="1:10">
      <c r="A426" t="s">
        <v>587</v>
      </c>
      <c r="B426" t="s">
        <v>585</v>
      </c>
      <c r="C426">
        <v>17</v>
      </c>
      <c r="D426">
        <v>4</v>
      </c>
      <c r="E426" t="s">
        <v>471</v>
      </c>
      <c r="F426" t="s">
        <v>31</v>
      </c>
      <c r="G426" t="s">
        <v>23</v>
      </c>
      <c r="H426">
        <v>2</v>
      </c>
      <c r="I426">
        <v>1260</v>
      </c>
      <c r="J426">
        <v>10</v>
      </c>
    </row>
    <row r="427" spans="1:10">
      <c r="A427" t="s">
        <v>588</v>
      </c>
      <c r="B427" t="s">
        <v>585</v>
      </c>
      <c r="C427">
        <v>17</v>
      </c>
      <c r="D427">
        <v>4</v>
      </c>
      <c r="E427" t="s">
        <v>471</v>
      </c>
      <c r="F427" t="s">
        <v>51</v>
      </c>
      <c r="G427" t="s">
        <v>26</v>
      </c>
      <c r="H427">
        <v>3</v>
      </c>
      <c r="I427">
        <v>475</v>
      </c>
      <c r="J427">
        <v>5</v>
      </c>
    </row>
    <row r="428" spans="1:10">
      <c r="A428" t="s">
        <v>589</v>
      </c>
      <c r="B428" t="s">
        <v>590</v>
      </c>
      <c r="C428">
        <v>17</v>
      </c>
      <c r="D428">
        <v>4</v>
      </c>
      <c r="E428" t="s">
        <v>471</v>
      </c>
      <c r="F428" t="s">
        <v>187</v>
      </c>
      <c r="G428" t="s">
        <v>14</v>
      </c>
      <c r="H428">
        <v>4</v>
      </c>
      <c r="I428">
        <v>4400</v>
      </c>
      <c r="J428">
        <v>0</v>
      </c>
    </row>
    <row r="429" spans="1:10">
      <c r="A429" t="s">
        <v>591</v>
      </c>
      <c r="B429" t="s">
        <v>590</v>
      </c>
      <c r="C429">
        <v>17</v>
      </c>
      <c r="D429">
        <v>4</v>
      </c>
      <c r="E429" t="s">
        <v>471</v>
      </c>
      <c r="F429" t="s">
        <v>68</v>
      </c>
      <c r="G429" t="s">
        <v>26</v>
      </c>
      <c r="H429">
        <v>2</v>
      </c>
      <c r="I429">
        <v>361</v>
      </c>
      <c r="J429">
        <v>5</v>
      </c>
    </row>
    <row r="430" spans="1:10">
      <c r="A430" t="s">
        <v>592</v>
      </c>
      <c r="B430" t="s">
        <v>590</v>
      </c>
      <c r="C430">
        <v>17</v>
      </c>
      <c r="D430">
        <v>4</v>
      </c>
      <c r="E430" t="s">
        <v>471</v>
      </c>
      <c r="F430" t="s">
        <v>45</v>
      </c>
      <c r="G430" t="s">
        <v>26</v>
      </c>
      <c r="H430">
        <v>2</v>
      </c>
      <c r="I430">
        <v>4500</v>
      </c>
      <c r="J430">
        <v>0</v>
      </c>
    </row>
    <row r="431" spans="1:10">
      <c r="A431" t="s">
        <v>593</v>
      </c>
      <c r="B431" t="s">
        <v>590</v>
      </c>
      <c r="C431">
        <v>17</v>
      </c>
      <c r="D431">
        <v>4</v>
      </c>
      <c r="E431" t="s">
        <v>471</v>
      </c>
      <c r="F431" t="s">
        <v>97</v>
      </c>
      <c r="G431" t="s">
        <v>20</v>
      </c>
      <c r="H431">
        <v>5</v>
      </c>
      <c r="I431">
        <v>1980</v>
      </c>
      <c r="J431">
        <v>0</v>
      </c>
    </row>
    <row r="432" spans="1:10">
      <c r="A432" t="s">
        <v>594</v>
      </c>
      <c r="B432" t="s">
        <v>595</v>
      </c>
      <c r="C432">
        <v>17</v>
      </c>
      <c r="D432">
        <v>4</v>
      </c>
      <c r="E432" t="s">
        <v>471</v>
      </c>
      <c r="F432" t="s">
        <v>25</v>
      </c>
      <c r="G432" t="s">
        <v>26</v>
      </c>
      <c r="H432">
        <v>2</v>
      </c>
      <c r="I432">
        <v>950</v>
      </c>
      <c r="J432">
        <v>5</v>
      </c>
    </row>
    <row r="433" spans="1:10">
      <c r="A433" t="s">
        <v>596</v>
      </c>
      <c r="B433" t="s">
        <v>595</v>
      </c>
      <c r="C433">
        <v>17</v>
      </c>
      <c r="D433">
        <v>4</v>
      </c>
      <c r="E433" t="s">
        <v>471</v>
      </c>
      <c r="F433" t="s">
        <v>35</v>
      </c>
      <c r="G433" t="s">
        <v>17</v>
      </c>
      <c r="H433">
        <v>3</v>
      </c>
      <c r="I433">
        <v>2835</v>
      </c>
      <c r="J433">
        <v>10</v>
      </c>
    </row>
    <row r="434" spans="1:10">
      <c r="A434" t="s">
        <v>597</v>
      </c>
      <c r="B434" t="s">
        <v>595</v>
      </c>
      <c r="C434">
        <v>17</v>
      </c>
      <c r="D434">
        <v>4</v>
      </c>
      <c r="E434" t="s">
        <v>471</v>
      </c>
      <c r="F434" t="s">
        <v>13</v>
      </c>
      <c r="G434" t="s">
        <v>14</v>
      </c>
      <c r="H434">
        <v>5</v>
      </c>
      <c r="I434">
        <v>432</v>
      </c>
      <c r="J434">
        <v>10</v>
      </c>
    </row>
    <row r="435" spans="1:10">
      <c r="A435" t="s">
        <v>598</v>
      </c>
      <c r="B435" t="s">
        <v>595</v>
      </c>
      <c r="C435">
        <v>17</v>
      </c>
      <c r="D435">
        <v>4</v>
      </c>
      <c r="E435" t="s">
        <v>471</v>
      </c>
      <c r="F435" t="s">
        <v>45</v>
      </c>
      <c r="G435" t="s">
        <v>26</v>
      </c>
      <c r="H435">
        <v>2</v>
      </c>
      <c r="I435">
        <v>3825</v>
      </c>
      <c r="J435">
        <v>15</v>
      </c>
    </row>
    <row r="436" spans="1:10">
      <c r="A436" t="s">
        <v>599</v>
      </c>
      <c r="B436" t="s">
        <v>595</v>
      </c>
      <c r="C436">
        <v>17</v>
      </c>
      <c r="D436">
        <v>4</v>
      </c>
      <c r="E436" t="s">
        <v>471</v>
      </c>
      <c r="F436" t="s">
        <v>364</v>
      </c>
      <c r="G436" t="s">
        <v>221</v>
      </c>
      <c r="H436">
        <v>1</v>
      </c>
      <c r="I436">
        <v>816</v>
      </c>
      <c r="J436">
        <v>15</v>
      </c>
    </row>
    <row r="437" spans="1:10">
      <c r="A437" t="s">
        <v>600</v>
      </c>
      <c r="B437" t="s">
        <v>595</v>
      </c>
      <c r="C437">
        <v>17</v>
      </c>
      <c r="D437">
        <v>4</v>
      </c>
      <c r="E437" t="s">
        <v>471</v>
      </c>
      <c r="F437" t="s">
        <v>349</v>
      </c>
      <c r="G437" t="s">
        <v>221</v>
      </c>
      <c r="H437">
        <v>5</v>
      </c>
      <c r="I437">
        <v>380</v>
      </c>
      <c r="J437">
        <v>5</v>
      </c>
    </row>
    <row r="438" spans="1:10">
      <c r="A438" t="s">
        <v>601</v>
      </c>
      <c r="B438" t="s">
        <v>602</v>
      </c>
      <c r="C438">
        <v>17</v>
      </c>
      <c r="D438">
        <v>4</v>
      </c>
      <c r="E438" t="s">
        <v>471</v>
      </c>
      <c r="F438" t="s">
        <v>364</v>
      </c>
      <c r="G438" t="s">
        <v>221</v>
      </c>
      <c r="H438">
        <v>5</v>
      </c>
      <c r="I438">
        <v>960</v>
      </c>
      <c r="J438">
        <v>0</v>
      </c>
    </row>
    <row r="439" spans="1:10">
      <c r="A439" t="s">
        <v>603</v>
      </c>
      <c r="B439" t="s">
        <v>602</v>
      </c>
      <c r="C439">
        <v>17</v>
      </c>
      <c r="D439">
        <v>4</v>
      </c>
      <c r="E439" t="s">
        <v>471</v>
      </c>
      <c r="F439" t="s">
        <v>42</v>
      </c>
      <c r="G439" t="s">
        <v>23</v>
      </c>
      <c r="H439">
        <v>4</v>
      </c>
      <c r="I439">
        <v>510</v>
      </c>
      <c r="J439">
        <v>15</v>
      </c>
    </row>
    <row r="440" spans="1:10">
      <c r="A440" t="s">
        <v>604</v>
      </c>
      <c r="B440" t="s">
        <v>602</v>
      </c>
      <c r="C440">
        <v>17</v>
      </c>
      <c r="D440">
        <v>4</v>
      </c>
      <c r="E440" t="s">
        <v>471</v>
      </c>
      <c r="F440" t="s">
        <v>51</v>
      </c>
      <c r="G440" t="s">
        <v>26</v>
      </c>
      <c r="H440">
        <v>3</v>
      </c>
      <c r="I440">
        <v>475</v>
      </c>
      <c r="J440">
        <v>5</v>
      </c>
    </row>
    <row r="441" spans="1:10">
      <c r="A441" t="s">
        <v>605</v>
      </c>
      <c r="B441" t="s">
        <v>602</v>
      </c>
      <c r="C441">
        <v>17</v>
      </c>
      <c r="D441">
        <v>4</v>
      </c>
      <c r="E441" t="s">
        <v>471</v>
      </c>
      <c r="F441" t="s">
        <v>86</v>
      </c>
      <c r="G441" t="s">
        <v>17</v>
      </c>
      <c r="H441">
        <v>1</v>
      </c>
      <c r="I441">
        <v>893</v>
      </c>
      <c r="J441">
        <v>5</v>
      </c>
    </row>
    <row r="442" spans="1:10">
      <c r="A442" t="s">
        <v>606</v>
      </c>
      <c r="B442" t="s">
        <v>602</v>
      </c>
      <c r="C442">
        <v>17</v>
      </c>
      <c r="D442">
        <v>4</v>
      </c>
      <c r="E442" t="s">
        <v>471</v>
      </c>
      <c r="F442" t="s">
        <v>115</v>
      </c>
      <c r="G442" t="s">
        <v>23</v>
      </c>
      <c r="H442">
        <v>2</v>
      </c>
      <c r="I442">
        <v>1200</v>
      </c>
      <c r="J442">
        <v>0</v>
      </c>
    </row>
    <row r="443" spans="1:10">
      <c r="A443" t="s">
        <v>607</v>
      </c>
      <c r="B443" t="s">
        <v>608</v>
      </c>
      <c r="C443">
        <v>17</v>
      </c>
      <c r="D443">
        <v>4</v>
      </c>
      <c r="E443" t="s">
        <v>471</v>
      </c>
      <c r="F443" t="s">
        <v>35</v>
      </c>
      <c r="G443" t="s">
        <v>17</v>
      </c>
      <c r="H443">
        <v>2</v>
      </c>
      <c r="I443">
        <v>2992.5</v>
      </c>
      <c r="J443">
        <v>5</v>
      </c>
    </row>
    <row r="444" spans="1:10">
      <c r="A444" t="s">
        <v>609</v>
      </c>
      <c r="B444" t="s">
        <v>608</v>
      </c>
      <c r="C444">
        <v>17</v>
      </c>
      <c r="D444">
        <v>4</v>
      </c>
      <c r="E444" t="s">
        <v>471</v>
      </c>
      <c r="F444" t="s">
        <v>220</v>
      </c>
      <c r="G444" t="s">
        <v>221</v>
      </c>
      <c r="H444">
        <v>3</v>
      </c>
      <c r="I444">
        <v>540</v>
      </c>
      <c r="J444">
        <v>10</v>
      </c>
    </row>
    <row r="445" spans="1:10">
      <c r="A445" t="s">
        <v>610</v>
      </c>
      <c r="B445" t="s">
        <v>608</v>
      </c>
      <c r="C445">
        <v>17</v>
      </c>
      <c r="D445">
        <v>4</v>
      </c>
      <c r="E445" t="s">
        <v>471</v>
      </c>
      <c r="F445" t="s">
        <v>146</v>
      </c>
      <c r="G445" t="s">
        <v>20</v>
      </c>
      <c r="H445">
        <v>4</v>
      </c>
      <c r="I445">
        <v>598.5</v>
      </c>
      <c r="J445">
        <v>5</v>
      </c>
    </row>
    <row r="446" spans="1:10">
      <c r="A446" t="s">
        <v>611</v>
      </c>
      <c r="B446" t="s">
        <v>608</v>
      </c>
      <c r="C446">
        <v>17</v>
      </c>
      <c r="D446">
        <v>4</v>
      </c>
      <c r="E446" t="s">
        <v>471</v>
      </c>
      <c r="F446" t="s">
        <v>220</v>
      </c>
      <c r="G446" t="s">
        <v>221</v>
      </c>
      <c r="H446">
        <v>3</v>
      </c>
      <c r="I446">
        <v>600</v>
      </c>
      <c r="J446">
        <v>0</v>
      </c>
    </row>
    <row r="447" spans="1:10">
      <c r="A447" t="s">
        <v>612</v>
      </c>
      <c r="B447" t="s">
        <v>613</v>
      </c>
      <c r="C447">
        <v>18</v>
      </c>
      <c r="D447">
        <v>4</v>
      </c>
      <c r="E447" t="s">
        <v>471</v>
      </c>
      <c r="F447" t="s">
        <v>25</v>
      </c>
      <c r="G447" t="s">
        <v>26</v>
      </c>
      <c r="H447">
        <v>1</v>
      </c>
      <c r="I447">
        <v>1000</v>
      </c>
      <c r="J447">
        <v>0</v>
      </c>
    </row>
    <row r="448" spans="1:10">
      <c r="A448" t="s">
        <v>614</v>
      </c>
      <c r="B448" t="s">
        <v>613</v>
      </c>
      <c r="C448">
        <v>18</v>
      </c>
      <c r="D448">
        <v>4</v>
      </c>
      <c r="E448" t="s">
        <v>471</v>
      </c>
      <c r="F448" t="s">
        <v>39</v>
      </c>
      <c r="G448" t="s">
        <v>14</v>
      </c>
      <c r="H448">
        <v>2</v>
      </c>
      <c r="I448">
        <v>792</v>
      </c>
      <c r="J448">
        <v>10</v>
      </c>
    </row>
    <row r="449" spans="1:10">
      <c r="A449" t="s">
        <v>615</v>
      </c>
      <c r="B449" t="s">
        <v>613</v>
      </c>
      <c r="C449">
        <v>18</v>
      </c>
      <c r="D449">
        <v>4</v>
      </c>
      <c r="E449" t="s">
        <v>471</v>
      </c>
      <c r="F449" t="s">
        <v>369</v>
      </c>
      <c r="G449" t="s">
        <v>221</v>
      </c>
      <c r="H449">
        <v>2</v>
      </c>
      <c r="I449">
        <v>630</v>
      </c>
      <c r="J449">
        <v>10</v>
      </c>
    </row>
    <row r="450" spans="1:10">
      <c r="A450" t="s">
        <v>616</v>
      </c>
      <c r="B450" t="s">
        <v>613</v>
      </c>
      <c r="C450">
        <v>18</v>
      </c>
      <c r="D450">
        <v>4</v>
      </c>
      <c r="E450" t="s">
        <v>471</v>
      </c>
      <c r="F450" t="s">
        <v>37</v>
      </c>
      <c r="G450" t="s">
        <v>20</v>
      </c>
      <c r="H450">
        <v>4</v>
      </c>
      <c r="I450">
        <v>2340</v>
      </c>
      <c r="J450">
        <v>0</v>
      </c>
    </row>
    <row r="451" spans="1:10">
      <c r="A451" t="s">
        <v>617</v>
      </c>
      <c r="B451" t="s">
        <v>613</v>
      </c>
      <c r="C451">
        <v>18</v>
      </c>
      <c r="D451">
        <v>4</v>
      </c>
      <c r="E451" t="s">
        <v>471</v>
      </c>
      <c r="F451" t="s">
        <v>86</v>
      </c>
      <c r="G451" t="s">
        <v>17</v>
      </c>
      <c r="H451">
        <v>4</v>
      </c>
      <c r="I451">
        <v>799</v>
      </c>
      <c r="J451">
        <v>15</v>
      </c>
    </row>
    <row r="452" spans="1:10">
      <c r="A452" t="s">
        <v>618</v>
      </c>
      <c r="B452" t="s">
        <v>619</v>
      </c>
      <c r="C452">
        <v>18</v>
      </c>
      <c r="D452">
        <v>4</v>
      </c>
      <c r="E452" t="s">
        <v>471</v>
      </c>
      <c r="F452" t="s">
        <v>364</v>
      </c>
      <c r="G452" t="s">
        <v>221</v>
      </c>
      <c r="H452">
        <v>1</v>
      </c>
      <c r="I452">
        <v>960</v>
      </c>
      <c r="J452">
        <v>0</v>
      </c>
    </row>
    <row r="453" spans="1:10">
      <c r="A453" t="s">
        <v>620</v>
      </c>
      <c r="B453" t="s">
        <v>621</v>
      </c>
      <c r="C453">
        <v>18</v>
      </c>
      <c r="D453">
        <v>5</v>
      </c>
      <c r="E453" t="s">
        <v>622</v>
      </c>
      <c r="F453" t="s">
        <v>31</v>
      </c>
      <c r="G453" t="s">
        <v>23</v>
      </c>
      <c r="H453">
        <v>4</v>
      </c>
      <c r="I453">
        <v>1400</v>
      </c>
      <c r="J453">
        <v>0</v>
      </c>
    </row>
    <row r="454" spans="1:10">
      <c r="A454" t="s">
        <v>623</v>
      </c>
      <c r="B454" t="s">
        <v>624</v>
      </c>
      <c r="C454">
        <v>18</v>
      </c>
      <c r="D454">
        <v>5</v>
      </c>
      <c r="E454" t="s">
        <v>622</v>
      </c>
      <c r="F454" t="s">
        <v>369</v>
      </c>
      <c r="G454" t="s">
        <v>221</v>
      </c>
      <c r="H454">
        <v>1</v>
      </c>
      <c r="I454">
        <v>700</v>
      </c>
      <c r="J454">
        <v>0</v>
      </c>
    </row>
    <row r="455" spans="1:10">
      <c r="A455" t="s">
        <v>625</v>
      </c>
      <c r="B455" t="s">
        <v>624</v>
      </c>
      <c r="C455">
        <v>18</v>
      </c>
      <c r="D455">
        <v>5</v>
      </c>
      <c r="E455" t="s">
        <v>622</v>
      </c>
      <c r="F455" t="s">
        <v>369</v>
      </c>
      <c r="G455" t="s">
        <v>221</v>
      </c>
      <c r="H455">
        <v>2</v>
      </c>
      <c r="I455">
        <v>630</v>
      </c>
      <c r="J455">
        <v>10</v>
      </c>
    </row>
    <row r="456" spans="1:10">
      <c r="A456" t="s">
        <v>626</v>
      </c>
      <c r="B456" t="s">
        <v>624</v>
      </c>
      <c r="C456">
        <v>18</v>
      </c>
      <c r="D456">
        <v>5</v>
      </c>
      <c r="E456" t="s">
        <v>622</v>
      </c>
      <c r="F456" t="s">
        <v>119</v>
      </c>
      <c r="G456" t="s">
        <v>14</v>
      </c>
      <c r="H456">
        <v>4</v>
      </c>
      <c r="I456">
        <v>770</v>
      </c>
      <c r="J456">
        <v>0</v>
      </c>
    </row>
    <row r="457" spans="1:10">
      <c r="A457" t="s">
        <v>627</v>
      </c>
      <c r="B457" t="s">
        <v>624</v>
      </c>
      <c r="C457">
        <v>18</v>
      </c>
      <c r="D457">
        <v>5</v>
      </c>
      <c r="E457" t="s">
        <v>622</v>
      </c>
      <c r="F457" t="s">
        <v>364</v>
      </c>
      <c r="G457" t="s">
        <v>221</v>
      </c>
      <c r="H457">
        <v>1</v>
      </c>
      <c r="I457">
        <v>960</v>
      </c>
      <c r="J457">
        <v>0</v>
      </c>
    </row>
    <row r="458" spans="1:10">
      <c r="A458" t="s">
        <v>628</v>
      </c>
      <c r="B458" t="s">
        <v>629</v>
      </c>
      <c r="C458">
        <v>18</v>
      </c>
      <c r="D458">
        <v>5</v>
      </c>
      <c r="E458" t="s">
        <v>622</v>
      </c>
      <c r="F458" t="s">
        <v>19</v>
      </c>
      <c r="G458" t="s">
        <v>20</v>
      </c>
      <c r="H458">
        <v>4</v>
      </c>
      <c r="I458">
        <v>1620</v>
      </c>
      <c r="J458">
        <v>0</v>
      </c>
    </row>
    <row r="459" spans="1:10">
      <c r="A459" t="s">
        <v>630</v>
      </c>
      <c r="B459" t="s">
        <v>629</v>
      </c>
      <c r="C459">
        <v>18</v>
      </c>
      <c r="D459">
        <v>5</v>
      </c>
      <c r="E459" t="s">
        <v>622</v>
      </c>
      <c r="F459" t="s">
        <v>25</v>
      </c>
      <c r="G459" t="s">
        <v>26</v>
      </c>
      <c r="H459">
        <v>3</v>
      </c>
      <c r="I459">
        <v>1000</v>
      </c>
      <c r="J459">
        <v>0</v>
      </c>
    </row>
    <row r="460" spans="1:10">
      <c r="A460" t="s">
        <v>631</v>
      </c>
      <c r="B460" t="s">
        <v>629</v>
      </c>
      <c r="C460">
        <v>18</v>
      </c>
      <c r="D460">
        <v>5</v>
      </c>
      <c r="E460" t="s">
        <v>622</v>
      </c>
      <c r="F460" t="s">
        <v>37</v>
      </c>
      <c r="G460" t="s">
        <v>20</v>
      </c>
      <c r="H460">
        <v>1</v>
      </c>
      <c r="I460">
        <v>2340</v>
      </c>
      <c r="J460">
        <v>0</v>
      </c>
    </row>
    <row r="461" spans="1:10">
      <c r="A461" t="s">
        <v>632</v>
      </c>
      <c r="B461" t="s">
        <v>629</v>
      </c>
      <c r="C461">
        <v>18</v>
      </c>
      <c r="D461">
        <v>5</v>
      </c>
      <c r="E461" t="s">
        <v>622</v>
      </c>
      <c r="F461" t="s">
        <v>364</v>
      </c>
      <c r="G461" t="s">
        <v>221</v>
      </c>
      <c r="H461">
        <v>5</v>
      </c>
      <c r="I461">
        <v>960</v>
      </c>
      <c r="J461">
        <v>0</v>
      </c>
    </row>
    <row r="462" spans="1:10">
      <c r="A462" t="s">
        <v>633</v>
      </c>
      <c r="B462" t="s">
        <v>629</v>
      </c>
      <c r="C462">
        <v>18</v>
      </c>
      <c r="D462">
        <v>5</v>
      </c>
      <c r="E462" t="s">
        <v>622</v>
      </c>
      <c r="F462" t="s">
        <v>64</v>
      </c>
      <c r="G462" t="s">
        <v>14</v>
      </c>
      <c r="H462">
        <v>5</v>
      </c>
      <c r="I462">
        <v>2376</v>
      </c>
      <c r="J462">
        <v>10</v>
      </c>
    </row>
    <row r="463" spans="1:10">
      <c r="A463" t="s">
        <v>634</v>
      </c>
      <c r="B463" t="s">
        <v>635</v>
      </c>
      <c r="C463">
        <v>18</v>
      </c>
      <c r="D463">
        <v>5</v>
      </c>
      <c r="E463" t="s">
        <v>622</v>
      </c>
      <c r="F463" t="s">
        <v>45</v>
      </c>
      <c r="G463" t="s">
        <v>26</v>
      </c>
      <c r="H463">
        <v>2</v>
      </c>
      <c r="I463">
        <v>4500</v>
      </c>
      <c r="J463">
        <v>0</v>
      </c>
    </row>
    <row r="464" spans="1:10">
      <c r="A464" t="s">
        <v>636</v>
      </c>
      <c r="B464" t="s">
        <v>635</v>
      </c>
      <c r="C464">
        <v>18</v>
      </c>
      <c r="D464">
        <v>5</v>
      </c>
      <c r="E464" t="s">
        <v>622</v>
      </c>
      <c r="F464" t="s">
        <v>28</v>
      </c>
      <c r="G464" t="s">
        <v>26</v>
      </c>
      <c r="H464">
        <v>2</v>
      </c>
      <c r="I464">
        <v>1500</v>
      </c>
      <c r="J464">
        <v>0</v>
      </c>
    </row>
    <row r="465" spans="1:10">
      <c r="A465" t="s">
        <v>637</v>
      </c>
      <c r="B465" t="s">
        <v>635</v>
      </c>
      <c r="C465">
        <v>18</v>
      </c>
      <c r="D465">
        <v>5</v>
      </c>
      <c r="E465" t="s">
        <v>622</v>
      </c>
      <c r="F465" t="s">
        <v>220</v>
      </c>
      <c r="G465" t="s">
        <v>221</v>
      </c>
      <c r="H465">
        <v>2</v>
      </c>
      <c r="I465">
        <v>540</v>
      </c>
      <c r="J465">
        <v>10</v>
      </c>
    </row>
    <row r="466" spans="1:10">
      <c r="A466" t="s">
        <v>638</v>
      </c>
      <c r="B466" t="s">
        <v>635</v>
      </c>
      <c r="C466">
        <v>18</v>
      </c>
      <c r="D466">
        <v>5</v>
      </c>
      <c r="E466" t="s">
        <v>622</v>
      </c>
      <c r="F466" t="s">
        <v>364</v>
      </c>
      <c r="G466" t="s">
        <v>221</v>
      </c>
      <c r="H466">
        <v>5</v>
      </c>
      <c r="I466">
        <v>864</v>
      </c>
      <c r="J466">
        <v>10</v>
      </c>
    </row>
    <row r="467" spans="1:10">
      <c r="A467" t="s">
        <v>639</v>
      </c>
      <c r="B467" t="s">
        <v>635</v>
      </c>
      <c r="C467">
        <v>18</v>
      </c>
      <c r="D467">
        <v>5</v>
      </c>
      <c r="E467" t="s">
        <v>622</v>
      </c>
      <c r="F467" t="s">
        <v>146</v>
      </c>
      <c r="G467" t="s">
        <v>20</v>
      </c>
      <c r="H467">
        <v>4</v>
      </c>
      <c r="I467">
        <v>630</v>
      </c>
      <c r="J467">
        <v>0</v>
      </c>
    </row>
    <row r="468" spans="1:10">
      <c r="A468" t="s">
        <v>640</v>
      </c>
      <c r="B468" t="s">
        <v>635</v>
      </c>
      <c r="C468">
        <v>18</v>
      </c>
      <c r="D468">
        <v>5</v>
      </c>
      <c r="E468" t="s">
        <v>622</v>
      </c>
      <c r="F468" t="s">
        <v>80</v>
      </c>
      <c r="G468" t="s">
        <v>14</v>
      </c>
      <c r="H468">
        <v>4</v>
      </c>
      <c r="I468">
        <v>400</v>
      </c>
      <c r="J468">
        <v>0</v>
      </c>
    </row>
    <row r="469" spans="1:10">
      <c r="A469" t="s">
        <v>641</v>
      </c>
      <c r="B469" t="s">
        <v>635</v>
      </c>
      <c r="C469">
        <v>18</v>
      </c>
      <c r="D469">
        <v>5</v>
      </c>
      <c r="E469" t="s">
        <v>622</v>
      </c>
      <c r="F469" t="s">
        <v>28</v>
      </c>
      <c r="G469" t="s">
        <v>26</v>
      </c>
      <c r="H469">
        <v>5</v>
      </c>
      <c r="I469">
        <v>1425</v>
      </c>
      <c r="J469">
        <v>5</v>
      </c>
    </row>
    <row r="470" spans="1:10">
      <c r="A470" t="s">
        <v>642</v>
      </c>
      <c r="B470" t="s">
        <v>643</v>
      </c>
      <c r="C470">
        <v>18</v>
      </c>
      <c r="D470">
        <v>5</v>
      </c>
      <c r="E470" t="s">
        <v>622</v>
      </c>
      <c r="F470" t="s">
        <v>369</v>
      </c>
      <c r="G470" t="s">
        <v>221</v>
      </c>
      <c r="H470">
        <v>1</v>
      </c>
      <c r="I470">
        <v>630</v>
      </c>
      <c r="J470">
        <v>10</v>
      </c>
    </row>
    <row r="471" spans="1:10">
      <c r="A471" t="s">
        <v>644</v>
      </c>
      <c r="B471" t="s">
        <v>643</v>
      </c>
      <c r="C471">
        <v>18</v>
      </c>
      <c r="D471">
        <v>5</v>
      </c>
      <c r="E471" t="s">
        <v>622</v>
      </c>
      <c r="F471" t="s">
        <v>37</v>
      </c>
      <c r="G471" t="s">
        <v>20</v>
      </c>
      <c r="H471">
        <v>2</v>
      </c>
      <c r="I471">
        <v>2340</v>
      </c>
      <c r="J471">
        <v>0</v>
      </c>
    </row>
    <row r="472" spans="1:10">
      <c r="A472" t="s">
        <v>645</v>
      </c>
      <c r="B472" t="s">
        <v>646</v>
      </c>
      <c r="C472">
        <v>19</v>
      </c>
      <c r="D472">
        <v>5</v>
      </c>
      <c r="E472" t="s">
        <v>622</v>
      </c>
      <c r="F472" t="s">
        <v>97</v>
      </c>
      <c r="G472" t="s">
        <v>20</v>
      </c>
      <c r="H472">
        <v>2</v>
      </c>
      <c r="I472">
        <v>1881</v>
      </c>
      <c r="J472">
        <v>5</v>
      </c>
    </row>
    <row r="473" spans="1:10">
      <c r="A473" t="s">
        <v>647</v>
      </c>
      <c r="B473" t="s">
        <v>646</v>
      </c>
      <c r="C473">
        <v>19</v>
      </c>
      <c r="D473">
        <v>5</v>
      </c>
      <c r="E473" t="s">
        <v>622</v>
      </c>
      <c r="F473" t="s">
        <v>51</v>
      </c>
      <c r="G473" t="s">
        <v>26</v>
      </c>
      <c r="H473">
        <v>2</v>
      </c>
      <c r="I473">
        <v>500</v>
      </c>
      <c r="J473">
        <v>0</v>
      </c>
    </row>
    <row r="474" spans="1:10">
      <c r="A474" t="s">
        <v>648</v>
      </c>
      <c r="B474" t="s">
        <v>646</v>
      </c>
      <c r="C474">
        <v>19</v>
      </c>
      <c r="D474">
        <v>5</v>
      </c>
      <c r="E474" t="s">
        <v>622</v>
      </c>
      <c r="F474" t="s">
        <v>45</v>
      </c>
      <c r="G474" t="s">
        <v>26</v>
      </c>
      <c r="H474">
        <v>1</v>
      </c>
      <c r="I474">
        <v>4500</v>
      </c>
      <c r="J474">
        <v>0</v>
      </c>
    </row>
    <row r="475" spans="1:10">
      <c r="A475" t="s">
        <v>649</v>
      </c>
      <c r="B475" t="s">
        <v>646</v>
      </c>
      <c r="C475">
        <v>19</v>
      </c>
      <c r="D475">
        <v>5</v>
      </c>
      <c r="E475" t="s">
        <v>622</v>
      </c>
      <c r="F475" t="s">
        <v>13</v>
      </c>
      <c r="G475" t="s">
        <v>14</v>
      </c>
      <c r="H475">
        <v>5</v>
      </c>
      <c r="I475">
        <v>480</v>
      </c>
      <c r="J475">
        <v>0</v>
      </c>
    </row>
    <row r="476" spans="1:10">
      <c r="A476" t="s">
        <v>650</v>
      </c>
      <c r="B476" t="s">
        <v>651</v>
      </c>
      <c r="C476">
        <v>19</v>
      </c>
      <c r="D476">
        <v>5</v>
      </c>
      <c r="E476" t="s">
        <v>622</v>
      </c>
      <c r="F476" t="s">
        <v>119</v>
      </c>
      <c r="G476" t="s">
        <v>14</v>
      </c>
      <c r="H476">
        <v>1</v>
      </c>
      <c r="I476">
        <v>770</v>
      </c>
      <c r="J476">
        <v>0</v>
      </c>
    </row>
    <row r="477" spans="1:10">
      <c r="A477" t="s">
        <v>652</v>
      </c>
      <c r="B477" t="s">
        <v>651</v>
      </c>
      <c r="C477">
        <v>19</v>
      </c>
      <c r="D477">
        <v>5</v>
      </c>
      <c r="E477" t="s">
        <v>622</v>
      </c>
      <c r="F477" t="s">
        <v>220</v>
      </c>
      <c r="G477" t="s">
        <v>221</v>
      </c>
      <c r="H477">
        <v>5</v>
      </c>
      <c r="I477">
        <v>510</v>
      </c>
      <c r="J477">
        <v>15</v>
      </c>
    </row>
    <row r="478" spans="1:10">
      <c r="A478" t="s">
        <v>653</v>
      </c>
      <c r="B478" t="s">
        <v>651</v>
      </c>
      <c r="C478">
        <v>19</v>
      </c>
      <c r="D478">
        <v>5</v>
      </c>
      <c r="E478" t="s">
        <v>622</v>
      </c>
      <c r="F478" t="s">
        <v>146</v>
      </c>
      <c r="G478" t="s">
        <v>20</v>
      </c>
      <c r="H478">
        <v>3</v>
      </c>
      <c r="I478">
        <v>630</v>
      </c>
      <c r="J478">
        <v>0</v>
      </c>
    </row>
    <row r="479" spans="1:10">
      <c r="A479" t="s">
        <v>654</v>
      </c>
      <c r="B479" t="s">
        <v>655</v>
      </c>
      <c r="C479">
        <v>19</v>
      </c>
      <c r="D479">
        <v>5</v>
      </c>
      <c r="E479" t="s">
        <v>622</v>
      </c>
      <c r="F479" t="s">
        <v>68</v>
      </c>
      <c r="G479" t="s">
        <v>26</v>
      </c>
      <c r="H479">
        <v>5</v>
      </c>
      <c r="I479">
        <v>380</v>
      </c>
      <c r="J479">
        <v>0</v>
      </c>
    </row>
    <row r="480" spans="1:10">
      <c r="A480" t="s">
        <v>656</v>
      </c>
      <c r="B480" t="s">
        <v>655</v>
      </c>
      <c r="C480">
        <v>19</v>
      </c>
      <c r="D480">
        <v>5</v>
      </c>
      <c r="E480" t="s">
        <v>622</v>
      </c>
      <c r="F480" t="s">
        <v>349</v>
      </c>
      <c r="G480" t="s">
        <v>221</v>
      </c>
      <c r="H480">
        <v>4</v>
      </c>
      <c r="I480">
        <v>380</v>
      </c>
      <c r="J480">
        <v>5</v>
      </c>
    </row>
    <row r="481" spans="1:10">
      <c r="A481" t="s">
        <v>657</v>
      </c>
      <c r="B481" t="s">
        <v>655</v>
      </c>
      <c r="C481">
        <v>19</v>
      </c>
      <c r="D481">
        <v>5</v>
      </c>
      <c r="E481" t="s">
        <v>622</v>
      </c>
      <c r="F481" t="s">
        <v>37</v>
      </c>
      <c r="G481" t="s">
        <v>20</v>
      </c>
      <c r="H481">
        <v>5</v>
      </c>
      <c r="I481">
        <v>2340</v>
      </c>
      <c r="J481">
        <v>0</v>
      </c>
    </row>
    <row r="482" spans="1:10">
      <c r="A482" t="s">
        <v>658</v>
      </c>
      <c r="B482" t="s">
        <v>655</v>
      </c>
      <c r="C482">
        <v>19</v>
      </c>
      <c r="D482">
        <v>5</v>
      </c>
      <c r="E482" t="s">
        <v>622</v>
      </c>
      <c r="F482" t="s">
        <v>42</v>
      </c>
      <c r="G482" t="s">
        <v>23</v>
      </c>
      <c r="H482">
        <v>2</v>
      </c>
      <c r="I482">
        <v>570</v>
      </c>
      <c r="J482">
        <v>5</v>
      </c>
    </row>
    <row r="483" spans="1:10">
      <c r="A483" t="s">
        <v>659</v>
      </c>
      <c r="B483" t="s">
        <v>655</v>
      </c>
      <c r="C483">
        <v>19</v>
      </c>
      <c r="D483">
        <v>5</v>
      </c>
      <c r="E483" t="s">
        <v>622</v>
      </c>
      <c r="F483" t="s">
        <v>39</v>
      </c>
      <c r="G483" t="s">
        <v>14</v>
      </c>
      <c r="H483">
        <v>2</v>
      </c>
      <c r="I483">
        <v>792</v>
      </c>
      <c r="J483">
        <v>10</v>
      </c>
    </row>
    <row r="484" spans="1:10">
      <c r="A484" t="s">
        <v>660</v>
      </c>
      <c r="B484" t="s">
        <v>655</v>
      </c>
      <c r="C484">
        <v>19</v>
      </c>
      <c r="D484">
        <v>5</v>
      </c>
      <c r="E484" t="s">
        <v>622</v>
      </c>
      <c r="F484" t="s">
        <v>115</v>
      </c>
      <c r="G484" t="s">
        <v>23</v>
      </c>
      <c r="H484">
        <v>2</v>
      </c>
      <c r="I484">
        <v>1200</v>
      </c>
      <c r="J484">
        <v>0</v>
      </c>
    </row>
    <row r="485" spans="1:10">
      <c r="A485" t="s">
        <v>661</v>
      </c>
      <c r="B485" t="s">
        <v>662</v>
      </c>
      <c r="C485">
        <v>19</v>
      </c>
      <c r="D485">
        <v>5</v>
      </c>
      <c r="E485" t="s">
        <v>622</v>
      </c>
      <c r="F485" t="s">
        <v>220</v>
      </c>
      <c r="G485" t="s">
        <v>221</v>
      </c>
      <c r="H485">
        <v>3</v>
      </c>
      <c r="I485">
        <v>570</v>
      </c>
      <c r="J485">
        <v>5</v>
      </c>
    </row>
    <row r="486" spans="1:10">
      <c r="A486" t="s">
        <v>663</v>
      </c>
      <c r="B486" t="s">
        <v>662</v>
      </c>
      <c r="C486">
        <v>19</v>
      </c>
      <c r="D486">
        <v>5</v>
      </c>
      <c r="E486" t="s">
        <v>622</v>
      </c>
      <c r="F486" t="s">
        <v>51</v>
      </c>
      <c r="G486" t="s">
        <v>26</v>
      </c>
      <c r="H486">
        <v>1</v>
      </c>
      <c r="I486">
        <v>425</v>
      </c>
      <c r="J486">
        <v>15</v>
      </c>
    </row>
    <row r="487" spans="1:10">
      <c r="A487" t="s">
        <v>664</v>
      </c>
      <c r="B487" t="s">
        <v>662</v>
      </c>
      <c r="C487">
        <v>19</v>
      </c>
      <c r="D487">
        <v>5</v>
      </c>
      <c r="E487" t="s">
        <v>622</v>
      </c>
      <c r="F487" t="s">
        <v>58</v>
      </c>
      <c r="G487" t="s">
        <v>23</v>
      </c>
      <c r="H487">
        <v>3</v>
      </c>
      <c r="I487">
        <v>950</v>
      </c>
      <c r="J487">
        <v>5</v>
      </c>
    </row>
    <row r="488" spans="1:10">
      <c r="A488" t="s">
        <v>665</v>
      </c>
      <c r="B488" t="s">
        <v>662</v>
      </c>
      <c r="C488">
        <v>19</v>
      </c>
      <c r="D488">
        <v>5</v>
      </c>
      <c r="E488" t="s">
        <v>622</v>
      </c>
      <c r="F488" t="s">
        <v>31</v>
      </c>
      <c r="G488" t="s">
        <v>23</v>
      </c>
      <c r="H488">
        <v>3</v>
      </c>
      <c r="I488">
        <v>1260</v>
      </c>
      <c r="J488">
        <v>10</v>
      </c>
    </row>
    <row r="489" spans="1:10">
      <c r="A489" t="s">
        <v>666</v>
      </c>
      <c r="B489" t="s">
        <v>667</v>
      </c>
      <c r="C489">
        <v>19</v>
      </c>
      <c r="D489">
        <v>5</v>
      </c>
      <c r="E489" t="s">
        <v>622</v>
      </c>
      <c r="F489" t="s">
        <v>187</v>
      </c>
      <c r="G489" t="s">
        <v>14</v>
      </c>
      <c r="H489">
        <v>3</v>
      </c>
      <c r="I489">
        <v>3740</v>
      </c>
      <c r="J489">
        <v>15</v>
      </c>
    </row>
    <row r="490" spans="1:10">
      <c r="A490" t="s">
        <v>668</v>
      </c>
      <c r="B490" t="s">
        <v>667</v>
      </c>
      <c r="C490">
        <v>19</v>
      </c>
      <c r="D490">
        <v>5</v>
      </c>
      <c r="E490" t="s">
        <v>622</v>
      </c>
      <c r="F490" t="s">
        <v>80</v>
      </c>
      <c r="G490" t="s">
        <v>14</v>
      </c>
      <c r="H490">
        <v>3</v>
      </c>
      <c r="I490">
        <v>400</v>
      </c>
      <c r="J490">
        <v>0</v>
      </c>
    </row>
    <row r="491" spans="1:10">
      <c r="A491" t="s">
        <v>669</v>
      </c>
      <c r="B491" t="s">
        <v>667</v>
      </c>
      <c r="C491">
        <v>19</v>
      </c>
      <c r="D491">
        <v>5</v>
      </c>
      <c r="E491" t="s">
        <v>622</v>
      </c>
      <c r="F491" t="s">
        <v>364</v>
      </c>
      <c r="G491" t="s">
        <v>221</v>
      </c>
      <c r="H491">
        <v>3</v>
      </c>
      <c r="I491">
        <v>960</v>
      </c>
      <c r="J491">
        <v>0</v>
      </c>
    </row>
    <row r="492" spans="1:10">
      <c r="A492" t="s">
        <v>670</v>
      </c>
      <c r="B492" t="s">
        <v>667</v>
      </c>
      <c r="C492">
        <v>19</v>
      </c>
      <c r="D492">
        <v>5</v>
      </c>
      <c r="E492" t="s">
        <v>622</v>
      </c>
      <c r="F492" t="s">
        <v>13</v>
      </c>
      <c r="G492" t="s">
        <v>14</v>
      </c>
      <c r="H492">
        <v>5</v>
      </c>
      <c r="I492">
        <v>432</v>
      </c>
      <c r="J492">
        <v>10</v>
      </c>
    </row>
    <row r="493" spans="1:10">
      <c r="A493" t="s">
        <v>671</v>
      </c>
      <c r="B493" t="s">
        <v>667</v>
      </c>
      <c r="C493">
        <v>19</v>
      </c>
      <c r="D493">
        <v>5</v>
      </c>
      <c r="E493" t="s">
        <v>622</v>
      </c>
      <c r="F493" t="s">
        <v>37</v>
      </c>
      <c r="G493" t="s">
        <v>20</v>
      </c>
      <c r="H493">
        <v>4</v>
      </c>
      <c r="I493">
        <v>2340</v>
      </c>
      <c r="J493">
        <v>0</v>
      </c>
    </row>
    <row r="494" spans="1:10">
      <c r="A494" t="s">
        <v>672</v>
      </c>
      <c r="B494" t="s">
        <v>667</v>
      </c>
      <c r="C494">
        <v>19</v>
      </c>
      <c r="D494">
        <v>5</v>
      </c>
      <c r="E494" t="s">
        <v>622</v>
      </c>
      <c r="F494" t="s">
        <v>349</v>
      </c>
      <c r="G494" t="s">
        <v>221</v>
      </c>
      <c r="H494">
        <v>2</v>
      </c>
      <c r="I494">
        <v>340</v>
      </c>
      <c r="J494">
        <v>15</v>
      </c>
    </row>
    <row r="495" spans="1:10">
      <c r="A495" t="s">
        <v>673</v>
      </c>
      <c r="B495" t="s">
        <v>667</v>
      </c>
      <c r="C495">
        <v>19</v>
      </c>
      <c r="D495">
        <v>5</v>
      </c>
      <c r="E495" t="s">
        <v>622</v>
      </c>
      <c r="F495" t="s">
        <v>349</v>
      </c>
      <c r="G495" t="s">
        <v>221</v>
      </c>
      <c r="H495">
        <v>2</v>
      </c>
      <c r="I495">
        <v>340</v>
      </c>
      <c r="J495">
        <v>15</v>
      </c>
    </row>
    <row r="496" spans="1:10">
      <c r="A496" t="s">
        <v>674</v>
      </c>
      <c r="B496" t="s">
        <v>675</v>
      </c>
      <c r="C496">
        <v>19</v>
      </c>
      <c r="D496">
        <v>5</v>
      </c>
      <c r="E496" t="s">
        <v>622</v>
      </c>
      <c r="F496" t="s">
        <v>97</v>
      </c>
      <c r="G496" t="s">
        <v>20</v>
      </c>
      <c r="H496">
        <v>3</v>
      </c>
      <c r="I496">
        <v>1980</v>
      </c>
      <c r="J496">
        <v>0</v>
      </c>
    </row>
    <row r="497" spans="1:10">
      <c r="A497" t="s">
        <v>676</v>
      </c>
      <c r="B497" t="s">
        <v>675</v>
      </c>
      <c r="C497">
        <v>19</v>
      </c>
      <c r="D497">
        <v>5</v>
      </c>
      <c r="E497" t="s">
        <v>622</v>
      </c>
      <c r="F497" t="s">
        <v>64</v>
      </c>
      <c r="G497" t="s">
        <v>14</v>
      </c>
      <c r="H497">
        <v>3</v>
      </c>
      <c r="I497">
        <v>2640</v>
      </c>
      <c r="J497">
        <v>0</v>
      </c>
    </row>
    <row r="498" spans="1:10">
      <c r="A498" t="s">
        <v>677</v>
      </c>
      <c r="B498" t="s">
        <v>675</v>
      </c>
      <c r="C498">
        <v>19</v>
      </c>
      <c r="D498">
        <v>5</v>
      </c>
      <c r="E498" t="s">
        <v>622</v>
      </c>
      <c r="F498" t="s">
        <v>369</v>
      </c>
      <c r="G498" t="s">
        <v>221</v>
      </c>
      <c r="H498">
        <v>4</v>
      </c>
      <c r="I498">
        <v>700</v>
      </c>
      <c r="J498">
        <v>0</v>
      </c>
    </row>
    <row r="499" spans="1:10">
      <c r="A499" t="s">
        <v>678</v>
      </c>
      <c r="B499" t="s">
        <v>675</v>
      </c>
      <c r="C499">
        <v>19</v>
      </c>
      <c r="D499">
        <v>5</v>
      </c>
      <c r="E499" t="s">
        <v>622</v>
      </c>
      <c r="F499" t="s">
        <v>115</v>
      </c>
      <c r="G499" t="s">
        <v>23</v>
      </c>
      <c r="H499">
        <v>3</v>
      </c>
      <c r="I499">
        <v>1200</v>
      </c>
      <c r="J499">
        <v>0</v>
      </c>
    </row>
    <row r="500" spans="1:10">
      <c r="A500" t="s">
        <v>679</v>
      </c>
      <c r="B500" t="s">
        <v>675</v>
      </c>
      <c r="C500">
        <v>19</v>
      </c>
      <c r="D500">
        <v>5</v>
      </c>
      <c r="E500" t="s">
        <v>622</v>
      </c>
      <c r="F500" t="s">
        <v>349</v>
      </c>
      <c r="G500" t="s">
        <v>221</v>
      </c>
      <c r="H500">
        <v>3</v>
      </c>
      <c r="I500">
        <v>400</v>
      </c>
      <c r="J500">
        <v>0</v>
      </c>
    </row>
    <row r="501" spans="1:10">
      <c r="A501" t="s">
        <v>680</v>
      </c>
      <c r="B501" t="s">
        <v>681</v>
      </c>
      <c r="C501">
        <v>19</v>
      </c>
      <c r="D501">
        <v>5</v>
      </c>
      <c r="E501" t="s">
        <v>622</v>
      </c>
      <c r="F501" t="s">
        <v>146</v>
      </c>
      <c r="G501" t="s">
        <v>20</v>
      </c>
      <c r="H501">
        <v>4</v>
      </c>
      <c r="I501">
        <v>567</v>
      </c>
      <c r="J501">
        <v>10</v>
      </c>
    </row>
    <row r="502" spans="1:10">
      <c r="A502" t="s">
        <v>682</v>
      </c>
      <c r="B502" t="s">
        <v>681</v>
      </c>
      <c r="C502">
        <v>19</v>
      </c>
      <c r="D502">
        <v>5</v>
      </c>
      <c r="E502" t="s">
        <v>622</v>
      </c>
      <c r="F502" t="s">
        <v>51</v>
      </c>
      <c r="G502" t="s">
        <v>26</v>
      </c>
      <c r="H502">
        <v>1</v>
      </c>
      <c r="I502">
        <v>500</v>
      </c>
      <c r="J502">
        <v>0</v>
      </c>
    </row>
    <row r="503" spans="1:10">
      <c r="A503" t="s">
        <v>683</v>
      </c>
      <c r="B503" t="s">
        <v>681</v>
      </c>
      <c r="C503">
        <v>19</v>
      </c>
      <c r="D503">
        <v>5</v>
      </c>
      <c r="E503" t="s">
        <v>622</v>
      </c>
      <c r="F503" t="s">
        <v>45</v>
      </c>
      <c r="G503" t="s">
        <v>26</v>
      </c>
      <c r="H503">
        <v>2</v>
      </c>
      <c r="I503">
        <v>3825</v>
      </c>
      <c r="J503">
        <v>15</v>
      </c>
    </row>
    <row r="504" spans="1:10">
      <c r="A504" t="s">
        <v>684</v>
      </c>
      <c r="B504" t="s">
        <v>681</v>
      </c>
      <c r="C504">
        <v>19</v>
      </c>
      <c r="D504">
        <v>5</v>
      </c>
      <c r="E504" t="s">
        <v>622</v>
      </c>
      <c r="F504" t="s">
        <v>22</v>
      </c>
      <c r="G504" t="s">
        <v>23</v>
      </c>
      <c r="H504">
        <v>4</v>
      </c>
      <c r="I504">
        <v>500</v>
      </c>
      <c r="J504">
        <v>0</v>
      </c>
    </row>
    <row r="505" spans="1:10">
      <c r="A505" t="s">
        <v>685</v>
      </c>
      <c r="B505" t="s">
        <v>686</v>
      </c>
      <c r="C505">
        <v>20</v>
      </c>
      <c r="D505">
        <v>5</v>
      </c>
      <c r="E505" t="s">
        <v>622</v>
      </c>
      <c r="F505" t="s">
        <v>37</v>
      </c>
      <c r="G505" t="s">
        <v>20</v>
      </c>
      <c r="H505">
        <v>3</v>
      </c>
      <c r="I505">
        <v>1989</v>
      </c>
      <c r="J505">
        <v>15</v>
      </c>
    </row>
    <row r="506" spans="1:10">
      <c r="A506" t="s">
        <v>687</v>
      </c>
      <c r="B506" t="s">
        <v>686</v>
      </c>
      <c r="C506">
        <v>20</v>
      </c>
      <c r="D506">
        <v>5</v>
      </c>
      <c r="E506" t="s">
        <v>622</v>
      </c>
      <c r="F506" t="s">
        <v>39</v>
      </c>
      <c r="G506" t="s">
        <v>14</v>
      </c>
      <c r="H506">
        <v>2</v>
      </c>
      <c r="I506">
        <v>836</v>
      </c>
      <c r="J506">
        <v>5</v>
      </c>
    </row>
    <row r="507" spans="1:10">
      <c r="A507" t="s">
        <v>688</v>
      </c>
      <c r="B507" t="s">
        <v>686</v>
      </c>
      <c r="C507">
        <v>20</v>
      </c>
      <c r="D507">
        <v>5</v>
      </c>
      <c r="E507" t="s">
        <v>622</v>
      </c>
      <c r="F507" t="s">
        <v>364</v>
      </c>
      <c r="G507" t="s">
        <v>221</v>
      </c>
      <c r="H507">
        <v>2</v>
      </c>
      <c r="I507">
        <v>912</v>
      </c>
      <c r="J507">
        <v>5</v>
      </c>
    </row>
    <row r="508" spans="1:10">
      <c r="A508" t="s">
        <v>689</v>
      </c>
      <c r="B508" t="s">
        <v>690</v>
      </c>
      <c r="C508">
        <v>20</v>
      </c>
      <c r="D508">
        <v>5</v>
      </c>
      <c r="E508" t="s">
        <v>622</v>
      </c>
      <c r="F508" t="s">
        <v>82</v>
      </c>
      <c r="G508" t="s">
        <v>20</v>
      </c>
      <c r="H508">
        <v>4</v>
      </c>
      <c r="I508">
        <v>765</v>
      </c>
      <c r="J508">
        <v>15</v>
      </c>
    </row>
    <row r="509" spans="1:10">
      <c r="A509" t="s">
        <v>691</v>
      </c>
      <c r="B509" t="s">
        <v>690</v>
      </c>
      <c r="C509">
        <v>20</v>
      </c>
      <c r="D509">
        <v>5</v>
      </c>
      <c r="E509" t="s">
        <v>622</v>
      </c>
      <c r="F509" t="s">
        <v>146</v>
      </c>
      <c r="G509" t="s">
        <v>20</v>
      </c>
      <c r="H509">
        <v>5</v>
      </c>
      <c r="I509">
        <v>630</v>
      </c>
      <c r="J509">
        <v>0</v>
      </c>
    </row>
    <row r="510" spans="1:10">
      <c r="A510" t="s">
        <v>692</v>
      </c>
      <c r="B510" t="s">
        <v>690</v>
      </c>
      <c r="C510">
        <v>20</v>
      </c>
      <c r="D510">
        <v>5</v>
      </c>
      <c r="E510" t="s">
        <v>622</v>
      </c>
      <c r="F510" t="s">
        <v>364</v>
      </c>
      <c r="G510" t="s">
        <v>221</v>
      </c>
      <c r="H510">
        <v>4</v>
      </c>
      <c r="I510">
        <v>912</v>
      </c>
      <c r="J510">
        <v>5</v>
      </c>
    </row>
    <row r="511" spans="1:10">
      <c r="A511" t="s">
        <v>693</v>
      </c>
      <c r="B511" t="s">
        <v>690</v>
      </c>
      <c r="C511">
        <v>20</v>
      </c>
      <c r="D511">
        <v>5</v>
      </c>
      <c r="E511" t="s">
        <v>622</v>
      </c>
      <c r="F511" t="s">
        <v>119</v>
      </c>
      <c r="G511" t="s">
        <v>14</v>
      </c>
      <c r="H511">
        <v>2</v>
      </c>
      <c r="I511">
        <v>654.5</v>
      </c>
      <c r="J511">
        <v>15</v>
      </c>
    </row>
    <row r="512" spans="1:10">
      <c r="A512" t="s">
        <v>694</v>
      </c>
      <c r="B512" t="s">
        <v>690</v>
      </c>
      <c r="C512">
        <v>20</v>
      </c>
      <c r="D512">
        <v>5</v>
      </c>
      <c r="E512" t="s">
        <v>622</v>
      </c>
      <c r="F512" t="s">
        <v>51</v>
      </c>
      <c r="G512" t="s">
        <v>26</v>
      </c>
      <c r="H512">
        <v>1</v>
      </c>
      <c r="I512">
        <v>500</v>
      </c>
      <c r="J512">
        <v>0</v>
      </c>
    </row>
    <row r="513" spans="1:10">
      <c r="A513" t="s">
        <v>695</v>
      </c>
      <c r="B513" t="s">
        <v>696</v>
      </c>
      <c r="C513">
        <v>20</v>
      </c>
      <c r="D513">
        <v>5</v>
      </c>
      <c r="E513" t="s">
        <v>622</v>
      </c>
      <c r="F513" t="s">
        <v>68</v>
      </c>
      <c r="G513" t="s">
        <v>26</v>
      </c>
      <c r="H513">
        <v>1</v>
      </c>
      <c r="I513">
        <v>380</v>
      </c>
      <c r="J513">
        <v>0</v>
      </c>
    </row>
    <row r="514" spans="1:10">
      <c r="A514" t="s">
        <v>697</v>
      </c>
      <c r="B514" t="s">
        <v>696</v>
      </c>
      <c r="C514">
        <v>20</v>
      </c>
      <c r="D514">
        <v>5</v>
      </c>
      <c r="E514" t="s">
        <v>622</v>
      </c>
      <c r="F514" t="s">
        <v>37</v>
      </c>
      <c r="G514" t="s">
        <v>20</v>
      </c>
      <c r="H514">
        <v>3</v>
      </c>
      <c r="I514">
        <v>2340</v>
      </c>
      <c r="J514">
        <v>0</v>
      </c>
    </row>
    <row r="515" spans="1:10">
      <c r="A515" t="s">
        <v>698</v>
      </c>
      <c r="B515" t="s">
        <v>696</v>
      </c>
      <c r="C515">
        <v>20</v>
      </c>
      <c r="D515">
        <v>5</v>
      </c>
      <c r="E515" t="s">
        <v>622</v>
      </c>
      <c r="F515" t="s">
        <v>97</v>
      </c>
      <c r="G515" t="s">
        <v>20</v>
      </c>
      <c r="H515">
        <v>4</v>
      </c>
      <c r="I515">
        <v>1881</v>
      </c>
      <c r="J515">
        <v>5</v>
      </c>
    </row>
    <row r="516" spans="1:10">
      <c r="A516" t="s">
        <v>699</v>
      </c>
      <c r="B516" t="s">
        <v>700</v>
      </c>
      <c r="C516">
        <v>20</v>
      </c>
      <c r="D516">
        <v>5</v>
      </c>
      <c r="E516" t="s">
        <v>622</v>
      </c>
      <c r="F516" t="s">
        <v>97</v>
      </c>
      <c r="G516" t="s">
        <v>20</v>
      </c>
      <c r="H516">
        <v>2</v>
      </c>
      <c r="I516">
        <v>1980</v>
      </c>
      <c r="J516">
        <v>0</v>
      </c>
    </row>
    <row r="517" spans="1:10">
      <c r="A517" t="s">
        <v>701</v>
      </c>
      <c r="B517" t="s">
        <v>700</v>
      </c>
      <c r="C517">
        <v>20</v>
      </c>
      <c r="D517">
        <v>5</v>
      </c>
      <c r="E517" t="s">
        <v>622</v>
      </c>
      <c r="F517" t="s">
        <v>349</v>
      </c>
      <c r="G517" t="s">
        <v>221</v>
      </c>
      <c r="H517">
        <v>3</v>
      </c>
      <c r="I517">
        <v>380</v>
      </c>
      <c r="J517">
        <v>5</v>
      </c>
    </row>
    <row r="518" spans="1:10">
      <c r="A518" t="s">
        <v>702</v>
      </c>
      <c r="B518" t="s">
        <v>700</v>
      </c>
      <c r="C518">
        <v>20</v>
      </c>
      <c r="D518">
        <v>5</v>
      </c>
      <c r="E518" t="s">
        <v>622</v>
      </c>
      <c r="F518" t="s">
        <v>51</v>
      </c>
      <c r="G518" t="s">
        <v>26</v>
      </c>
      <c r="H518">
        <v>5</v>
      </c>
      <c r="I518">
        <v>450</v>
      </c>
      <c r="J518">
        <v>10</v>
      </c>
    </row>
    <row r="519" spans="1:10">
      <c r="A519" t="s">
        <v>703</v>
      </c>
      <c r="B519" t="s">
        <v>700</v>
      </c>
      <c r="C519">
        <v>20</v>
      </c>
      <c r="D519">
        <v>5</v>
      </c>
      <c r="E519" t="s">
        <v>622</v>
      </c>
      <c r="F519" t="s">
        <v>97</v>
      </c>
      <c r="G519" t="s">
        <v>20</v>
      </c>
      <c r="H519">
        <v>1</v>
      </c>
      <c r="I519">
        <v>1782</v>
      </c>
      <c r="J519">
        <v>10</v>
      </c>
    </row>
    <row r="520" spans="1:10">
      <c r="A520" t="s">
        <v>704</v>
      </c>
      <c r="B520" t="s">
        <v>700</v>
      </c>
      <c r="C520">
        <v>20</v>
      </c>
      <c r="D520">
        <v>5</v>
      </c>
      <c r="E520" t="s">
        <v>622</v>
      </c>
      <c r="F520" t="s">
        <v>51</v>
      </c>
      <c r="G520" t="s">
        <v>26</v>
      </c>
      <c r="H520">
        <v>1</v>
      </c>
      <c r="I520">
        <v>500</v>
      </c>
      <c r="J520">
        <v>0</v>
      </c>
    </row>
    <row r="521" spans="1:10">
      <c r="A521" t="s">
        <v>705</v>
      </c>
      <c r="B521" t="s">
        <v>700</v>
      </c>
      <c r="C521">
        <v>20</v>
      </c>
      <c r="D521">
        <v>5</v>
      </c>
      <c r="E521" t="s">
        <v>622</v>
      </c>
      <c r="F521" t="s">
        <v>19</v>
      </c>
      <c r="G521" t="s">
        <v>20</v>
      </c>
      <c r="H521">
        <v>1</v>
      </c>
      <c r="I521">
        <v>1539</v>
      </c>
      <c r="J521">
        <v>5</v>
      </c>
    </row>
    <row r="522" spans="1:10">
      <c r="A522" t="s">
        <v>706</v>
      </c>
      <c r="B522" t="s">
        <v>700</v>
      </c>
      <c r="C522">
        <v>20</v>
      </c>
      <c r="D522">
        <v>5</v>
      </c>
      <c r="E522" t="s">
        <v>622</v>
      </c>
      <c r="F522" t="s">
        <v>66</v>
      </c>
      <c r="G522" t="s">
        <v>17</v>
      </c>
      <c r="H522">
        <v>5</v>
      </c>
      <c r="I522">
        <v>1470</v>
      </c>
      <c r="J522">
        <v>0</v>
      </c>
    </row>
    <row r="523" spans="1:10">
      <c r="A523" t="s">
        <v>707</v>
      </c>
      <c r="B523" t="s">
        <v>708</v>
      </c>
      <c r="C523">
        <v>20</v>
      </c>
      <c r="D523">
        <v>5</v>
      </c>
      <c r="E523" t="s">
        <v>622</v>
      </c>
      <c r="F523" t="s">
        <v>364</v>
      </c>
      <c r="G523" t="s">
        <v>221</v>
      </c>
      <c r="H523">
        <v>5</v>
      </c>
      <c r="I523">
        <v>960</v>
      </c>
      <c r="J523">
        <v>0</v>
      </c>
    </row>
    <row r="524" spans="1:10">
      <c r="A524" t="s">
        <v>709</v>
      </c>
      <c r="B524" t="s">
        <v>708</v>
      </c>
      <c r="C524">
        <v>20</v>
      </c>
      <c r="D524">
        <v>5</v>
      </c>
      <c r="E524" t="s">
        <v>622</v>
      </c>
      <c r="F524" t="s">
        <v>31</v>
      </c>
      <c r="G524" t="s">
        <v>23</v>
      </c>
      <c r="H524">
        <v>2</v>
      </c>
      <c r="I524">
        <v>1400</v>
      </c>
      <c r="J524">
        <v>0</v>
      </c>
    </row>
    <row r="525" spans="1:10">
      <c r="A525" t="s">
        <v>710</v>
      </c>
      <c r="B525" t="s">
        <v>708</v>
      </c>
      <c r="C525">
        <v>20</v>
      </c>
      <c r="D525">
        <v>5</v>
      </c>
      <c r="E525" t="s">
        <v>622</v>
      </c>
      <c r="F525" t="s">
        <v>22</v>
      </c>
      <c r="G525" t="s">
        <v>23</v>
      </c>
      <c r="H525">
        <v>5</v>
      </c>
      <c r="I525">
        <v>425</v>
      </c>
      <c r="J525">
        <v>15</v>
      </c>
    </row>
    <row r="526" spans="1:10">
      <c r="A526" t="s">
        <v>711</v>
      </c>
      <c r="B526" t="s">
        <v>712</v>
      </c>
      <c r="C526">
        <v>20</v>
      </c>
      <c r="D526">
        <v>5</v>
      </c>
      <c r="E526" t="s">
        <v>622</v>
      </c>
      <c r="F526" t="s">
        <v>13</v>
      </c>
      <c r="G526" t="s">
        <v>14</v>
      </c>
      <c r="H526">
        <v>4</v>
      </c>
      <c r="I526">
        <v>480</v>
      </c>
      <c r="J526">
        <v>0</v>
      </c>
    </row>
    <row r="527" spans="1:10">
      <c r="A527" t="s">
        <v>713</v>
      </c>
      <c r="B527" t="s">
        <v>712</v>
      </c>
      <c r="C527">
        <v>20</v>
      </c>
      <c r="D527">
        <v>5</v>
      </c>
      <c r="E527" t="s">
        <v>622</v>
      </c>
      <c r="F527" t="s">
        <v>51</v>
      </c>
      <c r="G527" t="s">
        <v>26</v>
      </c>
      <c r="H527">
        <v>2</v>
      </c>
      <c r="I527">
        <v>500</v>
      </c>
      <c r="J527">
        <v>0</v>
      </c>
    </row>
    <row r="528" spans="1:10">
      <c r="A528" t="s">
        <v>714</v>
      </c>
      <c r="B528" t="s">
        <v>712</v>
      </c>
      <c r="C528">
        <v>20</v>
      </c>
      <c r="D528">
        <v>5</v>
      </c>
      <c r="E528" t="s">
        <v>622</v>
      </c>
      <c r="F528" t="s">
        <v>80</v>
      </c>
      <c r="G528" t="s">
        <v>14</v>
      </c>
      <c r="H528">
        <v>5</v>
      </c>
      <c r="I528">
        <v>400</v>
      </c>
      <c r="J528">
        <v>0</v>
      </c>
    </row>
    <row r="529" spans="1:10">
      <c r="A529" t="s">
        <v>715</v>
      </c>
      <c r="B529" t="s">
        <v>712</v>
      </c>
      <c r="C529">
        <v>20</v>
      </c>
      <c r="D529">
        <v>5</v>
      </c>
      <c r="E529" t="s">
        <v>622</v>
      </c>
      <c r="F529" t="s">
        <v>220</v>
      </c>
      <c r="G529" t="s">
        <v>221</v>
      </c>
      <c r="H529">
        <v>4</v>
      </c>
      <c r="I529">
        <v>600</v>
      </c>
      <c r="J529">
        <v>0</v>
      </c>
    </row>
    <row r="530" spans="1:10">
      <c r="A530" t="s">
        <v>716</v>
      </c>
      <c r="B530" t="s">
        <v>717</v>
      </c>
      <c r="C530">
        <v>20</v>
      </c>
      <c r="D530">
        <v>5</v>
      </c>
      <c r="E530" t="s">
        <v>622</v>
      </c>
      <c r="F530" t="s">
        <v>64</v>
      </c>
      <c r="G530" t="s">
        <v>14</v>
      </c>
      <c r="H530">
        <v>1</v>
      </c>
      <c r="I530">
        <v>2640</v>
      </c>
      <c r="J530">
        <v>0</v>
      </c>
    </row>
    <row r="531" spans="1:10">
      <c r="A531" t="s">
        <v>718</v>
      </c>
      <c r="B531" t="s">
        <v>717</v>
      </c>
      <c r="C531">
        <v>20</v>
      </c>
      <c r="D531">
        <v>5</v>
      </c>
      <c r="E531" t="s">
        <v>622</v>
      </c>
      <c r="F531" t="s">
        <v>58</v>
      </c>
      <c r="G531" t="s">
        <v>23</v>
      </c>
      <c r="H531">
        <v>2</v>
      </c>
      <c r="I531">
        <v>900</v>
      </c>
      <c r="J531">
        <v>10</v>
      </c>
    </row>
    <row r="532" spans="1:10">
      <c r="A532" t="s">
        <v>719</v>
      </c>
      <c r="B532" t="s">
        <v>717</v>
      </c>
      <c r="C532">
        <v>20</v>
      </c>
      <c r="D532">
        <v>5</v>
      </c>
      <c r="E532" t="s">
        <v>622</v>
      </c>
      <c r="F532" t="s">
        <v>51</v>
      </c>
      <c r="G532" t="s">
        <v>26</v>
      </c>
      <c r="H532">
        <v>3</v>
      </c>
      <c r="I532">
        <v>425</v>
      </c>
      <c r="J532">
        <v>15</v>
      </c>
    </row>
    <row r="533" spans="1:10">
      <c r="A533" t="s">
        <v>720</v>
      </c>
      <c r="B533" t="s">
        <v>717</v>
      </c>
      <c r="C533">
        <v>20</v>
      </c>
      <c r="D533">
        <v>5</v>
      </c>
      <c r="E533" t="s">
        <v>622</v>
      </c>
      <c r="F533" t="s">
        <v>39</v>
      </c>
      <c r="G533" t="s">
        <v>14</v>
      </c>
      <c r="H533">
        <v>3</v>
      </c>
      <c r="I533">
        <v>748</v>
      </c>
      <c r="J533">
        <v>15</v>
      </c>
    </row>
    <row r="534" spans="1:10">
      <c r="A534" t="s">
        <v>721</v>
      </c>
      <c r="B534" t="s">
        <v>717</v>
      </c>
      <c r="C534">
        <v>20</v>
      </c>
      <c r="D534">
        <v>5</v>
      </c>
      <c r="E534" t="s">
        <v>622</v>
      </c>
      <c r="F534" t="s">
        <v>364</v>
      </c>
      <c r="G534" t="s">
        <v>221</v>
      </c>
      <c r="H534">
        <v>3</v>
      </c>
      <c r="I534">
        <v>864</v>
      </c>
      <c r="J534">
        <v>10</v>
      </c>
    </row>
    <row r="535" spans="1:10">
      <c r="A535" t="s">
        <v>722</v>
      </c>
      <c r="B535" t="s">
        <v>717</v>
      </c>
      <c r="C535">
        <v>20</v>
      </c>
      <c r="D535">
        <v>5</v>
      </c>
      <c r="E535" t="s">
        <v>622</v>
      </c>
      <c r="F535" t="s">
        <v>82</v>
      </c>
      <c r="G535" t="s">
        <v>20</v>
      </c>
      <c r="H535">
        <v>2</v>
      </c>
      <c r="I535">
        <v>900</v>
      </c>
      <c r="J535">
        <v>0</v>
      </c>
    </row>
    <row r="536" spans="1:10">
      <c r="A536" t="s">
        <v>723</v>
      </c>
      <c r="B536" t="s">
        <v>717</v>
      </c>
      <c r="C536">
        <v>20</v>
      </c>
      <c r="D536">
        <v>5</v>
      </c>
      <c r="E536" t="s">
        <v>622</v>
      </c>
      <c r="F536" t="s">
        <v>97</v>
      </c>
      <c r="G536" t="s">
        <v>20</v>
      </c>
      <c r="H536">
        <v>1</v>
      </c>
      <c r="I536">
        <v>1980</v>
      </c>
      <c r="J536">
        <v>0</v>
      </c>
    </row>
    <row r="537" spans="1:10">
      <c r="A537" t="s">
        <v>724</v>
      </c>
      <c r="B537" t="s">
        <v>725</v>
      </c>
      <c r="C537">
        <v>21</v>
      </c>
      <c r="D537">
        <v>5</v>
      </c>
      <c r="E537" t="s">
        <v>622</v>
      </c>
      <c r="F537" t="s">
        <v>349</v>
      </c>
      <c r="G537" t="s">
        <v>221</v>
      </c>
      <c r="H537">
        <v>4</v>
      </c>
      <c r="I537">
        <v>360</v>
      </c>
      <c r="J537">
        <v>10</v>
      </c>
    </row>
    <row r="538" spans="1:10">
      <c r="A538" t="s">
        <v>726</v>
      </c>
      <c r="B538" t="s">
        <v>725</v>
      </c>
      <c r="C538">
        <v>21</v>
      </c>
      <c r="D538">
        <v>5</v>
      </c>
      <c r="E538" t="s">
        <v>622</v>
      </c>
      <c r="F538" t="s">
        <v>28</v>
      </c>
      <c r="G538" t="s">
        <v>26</v>
      </c>
      <c r="H538">
        <v>4</v>
      </c>
      <c r="I538">
        <v>1500</v>
      </c>
      <c r="J538">
        <v>0</v>
      </c>
    </row>
    <row r="539" spans="1:10">
      <c r="A539" t="s">
        <v>727</v>
      </c>
      <c r="B539" t="s">
        <v>725</v>
      </c>
      <c r="C539">
        <v>21</v>
      </c>
      <c r="D539">
        <v>5</v>
      </c>
      <c r="E539" t="s">
        <v>622</v>
      </c>
      <c r="F539" t="s">
        <v>13</v>
      </c>
      <c r="G539" t="s">
        <v>14</v>
      </c>
      <c r="H539">
        <v>5</v>
      </c>
      <c r="I539">
        <v>480</v>
      </c>
      <c r="J539">
        <v>0</v>
      </c>
    </row>
    <row r="540" spans="1:10">
      <c r="A540" t="s">
        <v>728</v>
      </c>
      <c r="B540" t="s">
        <v>729</v>
      </c>
      <c r="C540">
        <v>21</v>
      </c>
      <c r="D540">
        <v>5</v>
      </c>
      <c r="E540" t="s">
        <v>622</v>
      </c>
      <c r="F540" t="s">
        <v>220</v>
      </c>
      <c r="G540" t="s">
        <v>221</v>
      </c>
      <c r="H540">
        <v>1</v>
      </c>
      <c r="I540">
        <v>510</v>
      </c>
      <c r="J540">
        <v>15</v>
      </c>
    </row>
    <row r="541" spans="1:10">
      <c r="A541" t="s">
        <v>730</v>
      </c>
      <c r="B541" t="s">
        <v>729</v>
      </c>
      <c r="C541">
        <v>21</v>
      </c>
      <c r="D541">
        <v>5</v>
      </c>
      <c r="E541" t="s">
        <v>622</v>
      </c>
      <c r="F541" t="s">
        <v>349</v>
      </c>
      <c r="G541" t="s">
        <v>221</v>
      </c>
      <c r="H541">
        <v>2</v>
      </c>
      <c r="I541">
        <v>400</v>
      </c>
      <c r="J541">
        <v>0</v>
      </c>
    </row>
    <row r="542" spans="1:10">
      <c r="A542" t="s">
        <v>731</v>
      </c>
      <c r="B542" t="s">
        <v>729</v>
      </c>
      <c r="C542">
        <v>21</v>
      </c>
      <c r="D542">
        <v>5</v>
      </c>
      <c r="E542" t="s">
        <v>622</v>
      </c>
      <c r="F542" t="s">
        <v>80</v>
      </c>
      <c r="G542" t="s">
        <v>14</v>
      </c>
      <c r="H542">
        <v>3</v>
      </c>
      <c r="I542">
        <v>340</v>
      </c>
      <c r="J542">
        <v>15</v>
      </c>
    </row>
    <row r="543" spans="1:10">
      <c r="A543" t="s">
        <v>732</v>
      </c>
      <c r="B543" t="s">
        <v>729</v>
      </c>
      <c r="C543">
        <v>21</v>
      </c>
      <c r="D543">
        <v>5</v>
      </c>
      <c r="E543" t="s">
        <v>622</v>
      </c>
      <c r="F543" t="s">
        <v>80</v>
      </c>
      <c r="G543" t="s">
        <v>14</v>
      </c>
      <c r="H543">
        <v>3</v>
      </c>
      <c r="I543">
        <v>380</v>
      </c>
      <c r="J543">
        <v>5</v>
      </c>
    </row>
    <row r="544" spans="1:10">
      <c r="A544" t="s">
        <v>733</v>
      </c>
      <c r="B544" t="s">
        <v>729</v>
      </c>
      <c r="C544">
        <v>21</v>
      </c>
      <c r="D544">
        <v>5</v>
      </c>
      <c r="E544" t="s">
        <v>622</v>
      </c>
      <c r="F544" t="s">
        <v>45</v>
      </c>
      <c r="G544" t="s">
        <v>26</v>
      </c>
      <c r="H544">
        <v>2</v>
      </c>
      <c r="I544">
        <v>4275</v>
      </c>
      <c r="J544">
        <v>5</v>
      </c>
    </row>
    <row r="545" spans="1:10">
      <c r="A545" t="s">
        <v>734</v>
      </c>
      <c r="B545" t="s">
        <v>735</v>
      </c>
      <c r="C545">
        <v>21</v>
      </c>
      <c r="D545">
        <v>5</v>
      </c>
      <c r="E545" t="s">
        <v>622</v>
      </c>
      <c r="F545" t="s">
        <v>220</v>
      </c>
      <c r="G545" t="s">
        <v>221</v>
      </c>
      <c r="H545">
        <v>3</v>
      </c>
      <c r="I545">
        <v>570</v>
      </c>
      <c r="J545">
        <v>5</v>
      </c>
    </row>
    <row r="546" spans="1:10">
      <c r="A546" t="s">
        <v>736</v>
      </c>
      <c r="B546" t="s">
        <v>737</v>
      </c>
      <c r="C546">
        <v>21</v>
      </c>
      <c r="D546">
        <v>5</v>
      </c>
      <c r="E546" t="s">
        <v>622</v>
      </c>
      <c r="F546" t="s">
        <v>45</v>
      </c>
      <c r="G546" t="s">
        <v>26</v>
      </c>
      <c r="H546">
        <v>1</v>
      </c>
      <c r="I546">
        <v>4050</v>
      </c>
      <c r="J546">
        <v>10</v>
      </c>
    </row>
    <row r="547" spans="1:10">
      <c r="A547" t="s">
        <v>738</v>
      </c>
      <c r="B547" t="s">
        <v>737</v>
      </c>
      <c r="C547">
        <v>21</v>
      </c>
      <c r="D547">
        <v>5</v>
      </c>
      <c r="E547" t="s">
        <v>622</v>
      </c>
      <c r="F547" t="s">
        <v>146</v>
      </c>
      <c r="G547" t="s">
        <v>20</v>
      </c>
      <c r="H547">
        <v>2</v>
      </c>
      <c r="I547">
        <v>630</v>
      </c>
      <c r="J547">
        <v>0</v>
      </c>
    </row>
    <row r="548" spans="1:10">
      <c r="A548" t="s">
        <v>739</v>
      </c>
      <c r="B548" t="s">
        <v>737</v>
      </c>
      <c r="C548">
        <v>21</v>
      </c>
      <c r="D548">
        <v>5</v>
      </c>
      <c r="E548" t="s">
        <v>622</v>
      </c>
      <c r="F548" t="s">
        <v>349</v>
      </c>
      <c r="G548" t="s">
        <v>221</v>
      </c>
      <c r="H548">
        <v>1</v>
      </c>
      <c r="I548">
        <v>400</v>
      </c>
      <c r="J548">
        <v>0</v>
      </c>
    </row>
    <row r="549" spans="1:10">
      <c r="A549" t="s">
        <v>740</v>
      </c>
      <c r="B549" t="s">
        <v>737</v>
      </c>
      <c r="C549">
        <v>21</v>
      </c>
      <c r="D549">
        <v>5</v>
      </c>
      <c r="E549" t="s">
        <v>622</v>
      </c>
      <c r="F549" t="s">
        <v>364</v>
      </c>
      <c r="G549" t="s">
        <v>221</v>
      </c>
      <c r="H549">
        <v>1</v>
      </c>
      <c r="I549">
        <v>960</v>
      </c>
      <c r="J549">
        <v>0</v>
      </c>
    </row>
    <row r="550" spans="1:10">
      <c r="A550" t="s">
        <v>741</v>
      </c>
      <c r="B550" t="s">
        <v>737</v>
      </c>
      <c r="C550">
        <v>21</v>
      </c>
      <c r="D550">
        <v>5</v>
      </c>
      <c r="E550" t="s">
        <v>622</v>
      </c>
      <c r="F550" t="s">
        <v>39</v>
      </c>
      <c r="G550" t="s">
        <v>14</v>
      </c>
      <c r="H550">
        <v>3</v>
      </c>
      <c r="I550">
        <v>880</v>
      </c>
      <c r="J550">
        <v>0</v>
      </c>
    </row>
    <row r="551" spans="1:10">
      <c r="A551" t="s">
        <v>742</v>
      </c>
      <c r="B551" t="s">
        <v>737</v>
      </c>
      <c r="C551">
        <v>21</v>
      </c>
      <c r="D551">
        <v>5</v>
      </c>
      <c r="E551" t="s">
        <v>622</v>
      </c>
      <c r="F551" t="s">
        <v>28</v>
      </c>
      <c r="G551" t="s">
        <v>26</v>
      </c>
      <c r="H551">
        <v>1</v>
      </c>
      <c r="I551">
        <v>1500</v>
      </c>
      <c r="J551">
        <v>0</v>
      </c>
    </row>
    <row r="552" spans="1:10">
      <c r="A552" t="s">
        <v>743</v>
      </c>
      <c r="B552" t="s">
        <v>737</v>
      </c>
      <c r="C552">
        <v>21</v>
      </c>
      <c r="D552">
        <v>5</v>
      </c>
      <c r="E552" t="s">
        <v>622</v>
      </c>
      <c r="F552" t="s">
        <v>369</v>
      </c>
      <c r="G552" t="s">
        <v>221</v>
      </c>
      <c r="H552">
        <v>5</v>
      </c>
      <c r="I552">
        <v>630</v>
      </c>
      <c r="J552">
        <v>10</v>
      </c>
    </row>
    <row r="553" spans="1:10">
      <c r="A553" t="s">
        <v>744</v>
      </c>
      <c r="B553" t="s">
        <v>737</v>
      </c>
      <c r="C553">
        <v>21</v>
      </c>
      <c r="D553">
        <v>5</v>
      </c>
      <c r="E553" t="s">
        <v>622</v>
      </c>
      <c r="F553" t="s">
        <v>115</v>
      </c>
      <c r="G553" t="s">
        <v>23</v>
      </c>
      <c r="H553">
        <v>2</v>
      </c>
      <c r="I553">
        <v>1140</v>
      </c>
      <c r="J553">
        <v>5</v>
      </c>
    </row>
    <row r="554" spans="1:10">
      <c r="A554" t="s">
        <v>745</v>
      </c>
      <c r="B554" t="s">
        <v>746</v>
      </c>
      <c r="C554">
        <v>21</v>
      </c>
      <c r="D554">
        <v>5</v>
      </c>
      <c r="E554" t="s">
        <v>622</v>
      </c>
      <c r="F554" t="s">
        <v>187</v>
      </c>
      <c r="G554" t="s">
        <v>14</v>
      </c>
      <c r="H554">
        <v>3</v>
      </c>
      <c r="I554">
        <v>4400</v>
      </c>
      <c r="J554">
        <v>0</v>
      </c>
    </row>
    <row r="555" spans="1:10">
      <c r="A555" t="s">
        <v>747</v>
      </c>
      <c r="B555" t="s">
        <v>746</v>
      </c>
      <c r="C555">
        <v>21</v>
      </c>
      <c r="D555">
        <v>5</v>
      </c>
      <c r="E555" t="s">
        <v>622</v>
      </c>
      <c r="F555" t="s">
        <v>220</v>
      </c>
      <c r="G555" t="s">
        <v>221</v>
      </c>
      <c r="H555">
        <v>5</v>
      </c>
      <c r="I555">
        <v>570</v>
      </c>
      <c r="J555">
        <v>5</v>
      </c>
    </row>
    <row r="556" spans="1:10">
      <c r="A556" t="s">
        <v>748</v>
      </c>
      <c r="B556" t="s">
        <v>746</v>
      </c>
      <c r="C556">
        <v>21</v>
      </c>
      <c r="D556">
        <v>5</v>
      </c>
      <c r="E556" t="s">
        <v>622</v>
      </c>
      <c r="F556" t="s">
        <v>45</v>
      </c>
      <c r="G556" t="s">
        <v>26</v>
      </c>
      <c r="H556">
        <v>4</v>
      </c>
      <c r="I556">
        <v>4050</v>
      </c>
      <c r="J556">
        <v>10</v>
      </c>
    </row>
    <row r="557" spans="1:10">
      <c r="A557" t="s">
        <v>749</v>
      </c>
      <c r="B557" t="s">
        <v>746</v>
      </c>
      <c r="C557">
        <v>21</v>
      </c>
      <c r="D557">
        <v>5</v>
      </c>
      <c r="E557" t="s">
        <v>622</v>
      </c>
      <c r="F557" t="s">
        <v>97</v>
      </c>
      <c r="G557" t="s">
        <v>20</v>
      </c>
      <c r="H557">
        <v>3</v>
      </c>
      <c r="I557">
        <v>1782</v>
      </c>
      <c r="J557">
        <v>10</v>
      </c>
    </row>
    <row r="558" spans="1:10">
      <c r="A558" t="s">
        <v>750</v>
      </c>
      <c r="B558" t="s">
        <v>746</v>
      </c>
      <c r="C558">
        <v>21</v>
      </c>
      <c r="D558">
        <v>5</v>
      </c>
      <c r="E558" t="s">
        <v>622</v>
      </c>
      <c r="F558" t="s">
        <v>82</v>
      </c>
      <c r="G558" t="s">
        <v>20</v>
      </c>
      <c r="H558">
        <v>2</v>
      </c>
      <c r="I558">
        <v>810</v>
      </c>
      <c r="J558">
        <v>10</v>
      </c>
    </row>
    <row r="559" spans="1:10">
      <c r="A559" t="s">
        <v>751</v>
      </c>
      <c r="B559" t="s">
        <v>752</v>
      </c>
      <c r="C559">
        <v>21</v>
      </c>
      <c r="D559">
        <v>5</v>
      </c>
      <c r="E559" t="s">
        <v>622</v>
      </c>
      <c r="F559" t="s">
        <v>82</v>
      </c>
      <c r="G559" t="s">
        <v>20</v>
      </c>
      <c r="H559">
        <v>4</v>
      </c>
      <c r="I559">
        <v>900</v>
      </c>
      <c r="J559">
        <v>0</v>
      </c>
    </row>
    <row r="560" spans="1:10">
      <c r="A560" t="s">
        <v>753</v>
      </c>
      <c r="B560" t="s">
        <v>752</v>
      </c>
      <c r="C560">
        <v>21</v>
      </c>
      <c r="D560">
        <v>5</v>
      </c>
      <c r="E560" t="s">
        <v>622</v>
      </c>
      <c r="F560" t="s">
        <v>349</v>
      </c>
      <c r="G560" t="s">
        <v>221</v>
      </c>
      <c r="H560">
        <v>2</v>
      </c>
      <c r="I560">
        <v>380</v>
      </c>
      <c r="J560">
        <v>5</v>
      </c>
    </row>
    <row r="561" spans="1:10">
      <c r="A561" t="s">
        <v>754</v>
      </c>
      <c r="B561" t="s">
        <v>752</v>
      </c>
      <c r="C561">
        <v>21</v>
      </c>
      <c r="D561">
        <v>5</v>
      </c>
      <c r="E561" t="s">
        <v>622</v>
      </c>
      <c r="F561" t="s">
        <v>364</v>
      </c>
      <c r="G561" t="s">
        <v>221</v>
      </c>
      <c r="H561">
        <v>1</v>
      </c>
      <c r="I561">
        <v>912</v>
      </c>
      <c r="J561">
        <v>5</v>
      </c>
    </row>
    <row r="562" spans="1:10">
      <c r="A562" t="s">
        <v>755</v>
      </c>
      <c r="B562" t="s">
        <v>752</v>
      </c>
      <c r="C562">
        <v>21</v>
      </c>
      <c r="D562">
        <v>5</v>
      </c>
      <c r="E562" t="s">
        <v>622</v>
      </c>
      <c r="F562" t="s">
        <v>13</v>
      </c>
      <c r="G562" t="s">
        <v>14</v>
      </c>
      <c r="H562">
        <v>3</v>
      </c>
      <c r="I562">
        <v>432</v>
      </c>
      <c r="J562">
        <v>10</v>
      </c>
    </row>
    <row r="563" spans="1:10">
      <c r="A563" t="s">
        <v>756</v>
      </c>
      <c r="B563" t="s">
        <v>757</v>
      </c>
      <c r="C563">
        <v>21</v>
      </c>
      <c r="D563">
        <v>5</v>
      </c>
      <c r="E563" t="s">
        <v>622</v>
      </c>
      <c r="F563" t="s">
        <v>349</v>
      </c>
      <c r="G563" t="s">
        <v>221</v>
      </c>
      <c r="H563">
        <v>1</v>
      </c>
      <c r="I563">
        <v>400</v>
      </c>
      <c r="J563">
        <v>0</v>
      </c>
    </row>
    <row r="564" spans="1:10">
      <c r="A564" t="s">
        <v>758</v>
      </c>
      <c r="B564" t="s">
        <v>757</v>
      </c>
      <c r="C564">
        <v>21</v>
      </c>
      <c r="D564">
        <v>5</v>
      </c>
      <c r="E564" t="s">
        <v>622</v>
      </c>
      <c r="F564" t="s">
        <v>115</v>
      </c>
      <c r="G564" t="s">
        <v>23</v>
      </c>
      <c r="H564">
        <v>3</v>
      </c>
      <c r="I564">
        <v>1200</v>
      </c>
      <c r="J564">
        <v>0</v>
      </c>
    </row>
    <row r="565" spans="1:10">
      <c r="A565" t="s">
        <v>759</v>
      </c>
      <c r="B565" t="s">
        <v>757</v>
      </c>
      <c r="C565">
        <v>21</v>
      </c>
      <c r="D565">
        <v>5</v>
      </c>
      <c r="E565" t="s">
        <v>622</v>
      </c>
      <c r="F565" t="s">
        <v>13</v>
      </c>
      <c r="G565" t="s">
        <v>14</v>
      </c>
      <c r="H565">
        <v>4</v>
      </c>
      <c r="I565">
        <v>480</v>
      </c>
      <c r="J565">
        <v>0</v>
      </c>
    </row>
    <row r="566" spans="1:10">
      <c r="A566" t="s">
        <v>760</v>
      </c>
      <c r="B566" t="s">
        <v>757</v>
      </c>
      <c r="C566">
        <v>21</v>
      </c>
      <c r="D566">
        <v>5</v>
      </c>
      <c r="E566" t="s">
        <v>622</v>
      </c>
      <c r="F566" t="s">
        <v>115</v>
      </c>
      <c r="G566" t="s">
        <v>23</v>
      </c>
      <c r="H566">
        <v>1</v>
      </c>
      <c r="I566">
        <v>1080</v>
      </c>
      <c r="J566">
        <v>10</v>
      </c>
    </row>
    <row r="567" spans="1:10">
      <c r="A567" t="s">
        <v>761</v>
      </c>
      <c r="B567" t="s">
        <v>757</v>
      </c>
      <c r="C567">
        <v>21</v>
      </c>
      <c r="D567">
        <v>5</v>
      </c>
      <c r="E567" t="s">
        <v>622</v>
      </c>
      <c r="F567" t="s">
        <v>115</v>
      </c>
      <c r="G567" t="s">
        <v>23</v>
      </c>
      <c r="H567">
        <v>2</v>
      </c>
      <c r="I567">
        <v>1080</v>
      </c>
      <c r="J567">
        <v>10</v>
      </c>
    </row>
    <row r="568" spans="1:10">
      <c r="A568" t="s">
        <v>762</v>
      </c>
      <c r="B568" t="s">
        <v>757</v>
      </c>
      <c r="C568">
        <v>21</v>
      </c>
      <c r="D568">
        <v>5</v>
      </c>
      <c r="E568" t="s">
        <v>622</v>
      </c>
      <c r="F568" t="s">
        <v>19</v>
      </c>
      <c r="G568" t="s">
        <v>20</v>
      </c>
      <c r="H568">
        <v>2</v>
      </c>
      <c r="I568">
        <v>1458</v>
      </c>
      <c r="J568">
        <v>10</v>
      </c>
    </row>
    <row r="569" spans="1:10">
      <c r="A569" t="s">
        <v>763</v>
      </c>
      <c r="B569" t="s">
        <v>764</v>
      </c>
      <c r="C569">
        <v>22</v>
      </c>
      <c r="D569">
        <v>5</v>
      </c>
      <c r="E569" t="s">
        <v>622</v>
      </c>
      <c r="F569" t="s">
        <v>187</v>
      </c>
      <c r="G569" t="s">
        <v>14</v>
      </c>
      <c r="H569">
        <v>1</v>
      </c>
      <c r="I569">
        <v>3740</v>
      </c>
      <c r="J569">
        <v>15</v>
      </c>
    </row>
    <row r="570" spans="1:10">
      <c r="A570" t="s">
        <v>765</v>
      </c>
      <c r="B570" t="s">
        <v>764</v>
      </c>
      <c r="C570">
        <v>22</v>
      </c>
      <c r="D570">
        <v>5</v>
      </c>
      <c r="E570" t="s">
        <v>622</v>
      </c>
      <c r="F570" t="s">
        <v>37</v>
      </c>
      <c r="G570" t="s">
        <v>20</v>
      </c>
      <c r="H570">
        <v>1</v>
      </c>
      <c r="I570">
        <v>2340</v>
      </c>
      <c r="J570">
        <v>0</v>
      </c>
    </row>
    <row r="571" spans="1:10">
      <c r="A571" t="s">
        <v>766</v>
      </c>
      <c r="B571" t="s">
        <v>764</v>
      </c>
      <c r="C571">
        <v>22</v>
      </c>
      <c r="D571">
        <v>5</v>
      </c>
      <c r="E571" t="s">
        <v>622</v>
      </c>
      <c r="F571" t="s">
        <v>220</v>
      </c>
      <c r="G571" t="s">
        <v>221</v>
      </c>
      <c r="H571">
        <v>5</v>
      </c>
      <c r="I571">
        <v>510</v>
      </c>
      <c r="J571">
        <v>15</v>
      </c>
    </row>
    <row r="572" spans="1:10">
      <c r="A572" t="s">
        <v>767</v>
      </c>
      <c r="B572" t="s">
        <v>764</v>
      </c>
      <c r="C572">
        <v>22</v>
      </c>
      <c r="D572">
        <v>5</v>
      </c>
      <c r="E572" t="s">
        <v>622</v>
      </c>
      <c r="F572" t="s">
        <v>19</v>
      </c>
      <c r="G572" t="s">
        <v>20</v>
      </c>
      <c r="H572">
        <v>5</v>
      </c>
      <c r="I572">
        <v>1539</v>
      </c>
      <c r="J572">
        <v>5</v>
      </c>
    </row>
    <row r="573" spans="1:10">
      <c r="A573" t="s">
        <v>768</v>
      </c>
      <c r="B573" t="s">
        <v>769</v>
      </c>
      <c r="C573">
        <v>22</v>
      </c>
      <c r="D573">
        <v>5</v>
      </c>
      <c r="E573" t="s">
        <v>622</v>
      </c>
      <c r="F573" t="s">
        <v>220</v>
      </c>
      <c r="G573" t="s">
        <v>221</v>
      </c>
      <c r="H573">
        <v>3</v>
      </c>
      <c r="I573">
        <v>510</v>
      </c>
      <c r="J573">
        <v>15</v>
      </c>
    </row>
    <row r="574" spans="1:10">
      <c r="A574" t="s">
        <v>770</v>
      </c>
      <c r="B574" t="s">
        <v>769</v>
      </c>
      <c r="C574">
        <v>22</v>
      </c>
      <c r="D574">
        <v>5</v>
      </c>
      <c r="E574" t="s">
        <v>622</v>
      </c>
      <c r="F574" t="s">
        <v>119</v>
      </c>
      <c r="G574" t="s">
        <v>14</v>
      </c>
      <c r="H574">
        <v>2</v>
      </c>
      <c r="I574">
        <v>731.5</v>
      </c>
      <c r="J574">
        <v>5</v>
      </c>
    </row>
    <row r="575" spans="1:10">
      <c r="A575" t="s">
        <v>771</v>
      </c>
      <c r="B575" t="s">
        <v>769</v>
      </c>
      <c r="C575">
        <v>22</v>
      </c>
      <c r="D575">
        <v>5</v>
      </c>
      <c r="E575" t="s">
        <v>622</v>
      </c>
      <c r="F575" t="s">
        <v>115</v>
      </c>
      <c r="G575" t="s">
        <v>23</v>
      </c>
      <c r="H575">
        <v>3</v>
      </c>
      <c r="I575">
        <v>1140</v>
      </c>
      <c r="J575">
        <v>5</v>
      </c>
    </row>
    <row r="576" spans="1:10">
      <c r="A576" t="s">
        <v>772</v>
      </c>
      <c r="B576" t="s">
        <v>773</v>
      </c>
      <c r="C576">
        <v>22</v>
      </c>
      <c r="D576">
        <v>5</v>
      </c>
      <c r="E576" t="s">
        <v>622</v>
      </c>
      <c r="F576" t="s">
        <v>45</v>
      </c>
      <c r="G576" t="s">
        <v>26</v>
      </c>
      <c r="H576">
        <v>4</v>
      </c>
      <c r="I576">
        <v>4050</v>
      </c>
      <c r="J576">
        <v>10</v>
      </c>
    </row>
    <row r="577" spans="1:10">
      <c r="A577" t="s">
        <v>774</v>
      </c>
      <c r="B577" t="s">
        <v>775</v>
      </c>
      <c r="C577">
        <v>22</v>
      </c>
      <c r="D577">
        <v>5</v>
      </c>
      <c r="E577" t="s">
        <v>622</v>
      </c>
      <c r="F577" t="s">
        <v>369</v>
      </c>
      <c r="G577" t="s">
        <v>221</v>
      </c>
      <c r="H577">
        <v>2</v>
      </c>
      <c r="I577">
        <v>665</v>
      </c>
      <c r="J577">
        <v>5</v>
      </c>
    </row>
    <row r="578" spans="1:10">
      <c r="A578" t="s">
        <v>776</v>
      </c>
      <c r="B578" t="s">
        <v>775</v>
      </c>
      <c r="C578">
        <v>22</v>
      </c>
      <c r="D578">
        <v>5</v>
      </c>
      <c r="E578" t="s">
        <v>622</v>
      </c>
      <c r="F578" t="s">
        <v>45</v>
      </c>
      <c r="G578" t="s">
        <v>26</v>
      </c>
      <c r="H578">
        <v>1</v>
      </c>
      <c r="I578">
        <v>4275</v>
      </c>
      <c r="J578">
        <v>5</v>
      </c>
    </row>
    <row r="579" spans="1:10">
      <c r="A579" t="s">
        <v>777</v>
      </c>
      <c r="B579" t="s">
        <v>778</v>
      </c>
      <c r="C579">
        <v>22</v>
      </c>
      <c r="D579">
        <v>5</v>
      </c>
      <c r="E579" t="s">
        <v>622</v>
      </c>
      <c r="F579" t="s">
        <v>82</v>
      </c>
      <c r="G579" t="s">
        <v>20</v>
      </c>
      <c r="H579">
        <v>5</v>
      </c>
      <c r="I579">
        <v>765</v>
      </c>
      <c r="J579">
        <v>15</v>
      </c>
    </row>
    <row r="580" spans="1:10">
      <c r="A580" t="s">
        <v>779</v>
      </c>
      <c r="B580" t="s">
        <v>778</v>
      </c>
      <c r="C580">
        <v>22</v>
      </c>
      <c r="D580">
        <v>5</v>
      </c>
      <c r="E580" t="s">
        <v>622</v>
      </c>
      <c r="F580" t="s">
        <v>31</v>
      </c>
      <c r="G580" t="s">
        <v>23</v>
      </c>
      <c r="H580">
        <v>4</v>
      </c>
      <c r="I580">
        <v>1400</v>
      </c>
      <c r="J580">
        <v>0</v>
      </c>
    </row>
    <row r="581" spans="1:10">
      <c r="A581" t="s">
        <v>780</v>
      </c>
      <c r="B581" t="s">
        <v>778</v>
      </c>
      <c r="C581">
        <v>22</v>
      </c>
      <c r="D581">
        <v>5</v>
      </c>
      <c r="E581" t="s">
        <v>622</v>
      </c>
      <c r="F581" t="s">
        <v>187</v>
      </c>
      <c r="G581" t="s">
        <v>14</v>
      </c>
      <c r="H581">
        <v>1</v>
      </c>
      <c r="I581">
        <v>3740</v>
      </c>
      <c r="J581">
        <v>15</v>
      </c>
    </row>
    <row r="582" spans="1:10">
      <c r="A582" t="s">
        <v>781</v>
      </c>
      <c r="B582" t="s">
        <v>778</v>
      </c>
      <c r="C582">
        <v>22</v>
      </c>
      <c r="D582">
        <v>5</v>
      </c>
      <c r="E582" t="s">
        <v>622</v>
      </c>
      <c r="F582" t="s">
        <v>28</v>
      </c>
      <c r="G582" t="s">
        <v>26</v>
      </c>
      <c r="H582">
        <v>5</v>
      </c>
      <c r="I582">
        <v>1275</v>
      </c>
      <c r="J582">
        <v>15</v>
      </c>
    </row>
    <row r="583" spans="1:10">
      <c r="A583" t="s">
        <v>782</v>
      </c>
      <c r="B583" t="s">
        <v>778</v>
      </c>
      <c r="C583">
        <v>22</v>
      </c>
      <c r="D583">
        <v>5</v>
      </c>
      <c r="E583" t="s">
        <v>622</v>
      </c>
      <c r="F583" t="s">
        <v>13</v>
      </c>
      <c r="G583" t="s">
        <v>14</v>
      </c>
      <c r="H583">
        <v>3</v>
      </c>
      <c r="I583">
        <v>480</v>
      </c>
      <c r="J583">
        <v>0</v>
      </c>
    </row>
    <row r="584" spans="1:10">
      <c r="A584" t="s">
        <v>783</v>
      </c>
      <c r="B584" t="s">
        <v>778</v>
      </c>
      <c r="C584">
        <v>22</v>
      </c>
      <c r="D584">
        <v>5</v>
      </c>
      <c r="E584" t="s">
        <v>622</v>
      </c>
      <c r="F584" t="s">
        <v>146</v>
      </c>
      <c r="G584" t="s">
        <v>20</v>
      </c>
      <c r="H584">
        <v>3</v>
      </c>
      <c r="I584">
        <v>630</v>
      </c>
      <c r="J584">
        <v>0</v>
      </c>
    </row>
    <row r="585" spans="1:10">
      <c r="A585" t="s">
        <v>784</v>
      </c>
      <c r="B585" t="s">
        <v>785</v>
      </c>
      <c r="C585">
        <v>22</v>
      </c>
      <c r="D585">
        <v>6</v>
      </c>
      <c r="E585" t="s">
        <v>786</v>
      </c>
      <c r="F585" t="s">
        <v>220</v>
      </c>
      <c r="G585" t="s">
        <v>221</v>
      </c>
      <c r="H585">
        <v>5</v>
      </c>
      <c r="I585">
        <v>510</v>
      </c>
      <c r="J585">
        <v>15</v>
      </c>
    </row>
    <row r="586" spans="1:10">
      <c r="A586" t="s">
        <v>787</v>
      </c>
      <c r="B586" t="s">
        <v>785</v>
      </c>
      <c r="C586">
        <v>22</v>
      </c>
      <c r="D586">
        <v>6</v>
      </c>
      <c r="E586" t="s">
        <v>786</v>
      </c>
      <c r="F586" t="s">
        <v>64</v>
      </c>
      <c r="G586" t="s">
        <v>14</v>
      </c>
      <c r="H586">
        <v>2</v>
      </c>
      <c r="I586">
        <v>2376</v>
      </c>
      <c r="J586">
        <v>10</v>
      </c>
    </row>
    <row r="587" spans="1:10">
      <c r="A587" t="s">
        <v>788</v>
      </c>
      <c r="B587" t="s">
        <v>785</v>
      </c>
      <c r="C587">
        <v>22</v>
      </c>
      <c r="D587">
        <v>6</v>
      </c>
      <c r="E587" t="s">
        <v>786</v>
      </c>
      <c r="F587" t="s">
        <v>115</v>
      </c>
      <c r="G587" t="s">
        <v>23</v>
      </c>
      <c r="H587">
        <v>1</v>
      </c>
      <c r="I587">
        <v>1200</v>
      </c>
      <c r="J587">
        <v>0</v>
      </c>
    </row>
    <row r="588" spans="1:10">
      <c r="A588" t="s">
        <v>789</v>
      </c>
      <c r="B588" t="s">
        <v>785</v>
      </c>
      <c r="C588">
        <v>22</v>
      </c>
      <c r="D588">
        <v>6</v>
      </c>
      <c r="E588" t="s">
        <v>786</v>
      </c>
      <c r="F588" t="s">
        <v>119</v>
      </c>
      <c r="G588" t="s">
        <v>14</v>
      </c>
      <c r="H588">
        <v>1</v>
      </c>
      <c r="I588">
        <v>654.5</v>
      </c>
      <c r="J588">
        <v>15</v>
      </c>
    </row>
    <row r="589" spans="1:10">
      <c r="A589" t="s">
        <v>790</v>
      </c>
      <c r="B589" t="s">
        <v>791</v>
      </c>
      <c r="C589">
        <v>22</v>
      </c>
      <c r="D589">
        <v>6</v>
      </c>
      <c r="E589" t="s">
        <v>786</v>
      </c>
      <c r="F589" t="s">
        <v>349</v>
      </c>
      <c r="G589" t="s">
        <v>221</v>
      </c>
      <c r="H589">
        <v>2</v>
      </c>
      <c r="I589">
        <v>400</v>
      </c>
      <c r="J589">
        <v>0</v>
      </c>
    </row>
    <row r="590" spans="1:10">
      <c r="A590" t="s">
        <v>792</v>
      </c>
      <c r="B590" t="s">
        <v>791</v>
      </c>
      <c r="C590">
        <v>22</v>
      </c>
      <c r="D590">
        <v>6</v>
      </c>
      <c r="E590" t="s">
        <v>786</v>
      </c>
      <c r="F590" t="s">
        <v>349</v>
      </c>
      <c r="G590" t="s">
        <v>221</v>
      </c>
      <c r="H590">
        <v>5</v>
      </c>
      <c r="I590">
        <v>380</v>
      </c>
      <c r="J590">
        <v>5</v>
      </c>
    </row>
    <row r="591" spans="1:10">
      <c r="A591" t="s">
        <v>793</v>
      </c>
      <c r="B591" t="s">
        <v>791</v>
      </c>
      <c r="C591">
        <v>22</v>
      </c>
      <c r="D591">
        <v>6</v>
      </c>
      <c r="E591" t="s">
        <v>786</v>
      </c>
      <c r="F591" t="s">
        <v>220</v>
      </c>
      <c r="G591" t="s">
        <v>221</v>
      </c>
      <c r="H591">
        <v>5</v>
      </c>
      <c r="I591">
        <v>570</v>
      </c>
      <c r="J591">
        <v>5</v>
      </c>
    </row>
    <row r="592" spans="1:10">
      <c r="A592" t="s">
        <v>794</v>
      </c>
      <c r="B592" t="s">
        <v>791</v>
      </c>
      <c r="C592">
        <v>22</v>
      </c>
      <c r="D592">
        <v>6</v>
      </c>
      <c r="E592" t="s">
        <v>786</v>
      </c>
      <c r="F592" t="s">
        <v>80</v>
      </c>
      <c r="G592" t="s">
        <v>14</v>
      </c>
      <c r="H592">
        <v>3</v>
      </c>
      <c r="I592">
        <v>400</v>
      </c>
      <c r="J592">
        <v>0</v>
      </c>
    </row>
    <row r="593" spans="1:10">
      <c r="A593" t="s">
        <v>795</v>
      </c>
      <c r="B593" t="s">
        <v>791</v>
      </c>
      <c r="C593">
        <v>22</v>
      </c>
      <c r="D593">
        <v>6</v>
      </c>
      <c r="E593" t="s">
        <v>786</v>
      </c>
      <c r="F593" t="s">
        <v>220</v>
      </c>
      <c r="G593" t="s">
        <v>221</v>
      </c>
      <c r="H593">
        <v>3</v>
      </c>
      <c r="I593">
        <v>600</v>
      </c>
      <c r="J593">
        <v>0</v>
      </c>
    </row>
    <row r="594" spans="1:10">
      <c r="A594" t="s">
        <v>796</v>
      </c>
      <c r="B594" t="s">
        <v>797</v>
      </c>
      <c r="C594">
        <v>23</v>
      </c>
      <c r="D594">
        <v>6</v>
      </c>
      <c r="E594" t="s">
        <v>786</v>
      </c>
      <c r="F594" t="s">
        <v>64</v>
      </c>
      <c r="G594" t="s">
        <v>14</v>
      </c>
      <c r="H594">
        <v>2</v>
      </c>
      <c r="I594">
        <v>2640</v>
      </c>
      <c r="J594">
        <v>0</v>
      </c>
    </row>
    <row r="595" spans="1:10">
      <c r="A595" t="s">
        <v>798</v>
      </c>
      <c r="B595" t="s">
        <v>797</v>
      </c>
      <c r="C595">
        <v>23</v>
      </c>
      <c r="D595">
        <v>6</v>
      </c>
      <c r="E595" t="s">
        <v>786</v>
      </c>
      <c r="F595" t="s">
        <v>220</v>
      </c>
      <c r="G595" t="s">
        <v>221</v>
      </c>
      <c r="H595">
        <v>5</v>
      </c>
      <c r="I595">
        <v>600</v>
      </c>
      <c r="J595">
        <v>0</v>
      </c>
    </row>
    <row r="596" spans="1:10">
      <c r="A596" t="s">
        <v>799</v>
      </c>
      <c r="B596" t="s">
        <v>797</v>
      </c>
      <c r="C596">
        <v>23</v>
      </c>
      <c r="D596">
        <v>6</v>
      </c>
      <c r="E596" t="s">
        <v>786</v>
      </c>
      <c r="F596" t="s">
        <v>369</v>
      </c>
      <c r="G596" t="s">
        <v>221</v>
      </c>
      <c r="H596">
        <v>3</v>
      </c>
      <c r="I596">
        <v>595</v>
      </c>
      <c r="J596">
        <v>15</v>
      </c>
    </row>
    <row r="597" spans="1:10">
      <c r="A597" t="s">
        <v>800</v>
      </c>
      <c r="B597" t="s">
        <v>797</v>
      </c>
      <c r="C597">
        <v>23</v>
      </c>
      <c r="D597">
        <v>6</v>
      </c>
      <c r="E597" t="s">
        <v>786</v>
      </c>
      <c r="F597" t="s">
        <v>39</v>
      </c>
      <c r="G597" t="s">
        <v>14</v>
      </c>
      <c r="H597">
        <v>2</v>
      </c>
      <c r="I597">
        <v>836</v>
      </c>
      <c r="J597">
        <v>5</v>
      </c>
    </row>
    <row r="598" spans="1:10">
      <c r="A598" t="s">
        <v>801</v>
      </c>
      <c r="B598" t="s">
        <v>797</v>
      </c>
      <c r="C598">
        <v>23</v>
      </c>
      <c r="D598">
        <v>6</v>
      </c>
      <c r="E598" t="s">
        <v>786</v>
      </c>
      <c r="F598" t="s">
        <v>39</v>
      </c>
      <c r="G598" t="s">
        <v>14</v>
      </c>
      <c r="H598">
        <v>4</v>
      </c>
      <c r="I598">
        <v>792</v>
      </c>
      <c r="J598">
        <v>10</v>
      </c>
    </row>
    <row r="599" spans="1:10">
      <c r="A599" t="s">
        <v>802</v>
      </c>
      <c r="B599" t="s">
        <v>803</v>
      </c>
      <c r="C599">
        <v>23</v>
      </c>
      <c r="D599">
        <v>6</v>
      </c>
      <c r="E599" t="s">
        <v>786</v>
      </c>
      <c r="F599" t="s">
        <v>349</v>
      </c>
      <c r="G599" t="s">
        <v>221</v>
      </c>
      <c r="H599">
        <v>2</v>
      </c>
      <c r="I599">
        <v>360</v>
      </c>
      <c r="J599">
        <v>10</v>
      </c>
    </row>
    <row r="600" spans="1:10">
      <c r="A600" t="s">
        <v>804</v>
      </c>
      <c r="B600" t="s">
        <v>803</v>
      </c>
      <c r="C600">
        <v>23</v>
      </c>
      <c r="D600">
        <v>6</v>
      </c>
      <c r="E600" t="s">
        <v>786</v>
      </c>
      <c r="F600" t="s">
        <v>349</v>
      </c>
      <c r="G600" t="s">
        <v>221</v>
      </c>
      <c r="H600">
        <v>3</v>
      </c>
      <c r="I600">
        <v>380</v>
      </c>
      <c r="J600">
        <v>5</v>
      </c>
    </row>
    <row r="601" spans="1:10">
      <c r="A601" t="s">
        <v>805</v>
      </c>
      <c r="B601" t="s">
        <v>806</v>
      </c>
      <c r="C601">
        <v>23</v>
      </c>
      <c r="D601">
        <v>6</v>
      </c>
      <c r="E601" t="s">
        <v>786</v>
      </c>
      <c r="F601" t="s">
        <v>13</v>
      </c>
      <c r="G601" t="s">
        <v>14</v>
      </c>
      <c r="H601">
        <v>1</v>
      </c>
      <c r="I601">
        <v>456</v>
      </c>
      <c r="J601">
        <v>5</v>
      </c>
    </row>
    <row r="602" spans="1:10">
      <c r="A602" t="s">
        <v>807</v>
      </c>
      <c r="B602" t="s">
        <v>806</v>
      </c>
      <c r="C602">
        <v>23</v>
      </c>
      <c r="D602">
        <v>6</v>
      </c>
      <c r="E602" t="s">
        <v>786</v>
      </c>
      <c r="F602" t="s">
        <v>80</v>
      </c>
      <c r="G602" t="s">
        <v>14</v>
      </c>
      <c r="H602">
        <v>2</v>
      </c>
      <c r="I602">
        <v>380</v>
      </c>
      <c r="J602">
        <v>5</v>
      </c>
    </row>
    <row r="603" spans="1:10">
      <c r="A603" t="s">
        <v>808</v>
      </c>
      <c r="B603" t="s">
        <v>806</v>
      </c>
      <c r="C603">
        <v>23</v>
      </c>
      <c r="D603">
        <v>6</v>
      </c>
      <c r="E603" t="s">
        <v>786</v>
      </c>
      <c r="F603" t="s">
        <v>187</v>
      </c>
      <c r="G603" t="s">
        <v>14</v>
      </c>
      <c r="H603">
        <v>5</v>
      </c>
      <c r="I603">
        <v>4400</v>
      </c>
      <c r="J603">
        <v>0</v>
      </c>
    </row>
    <row r="604" spans="1:10">
      <c r="A604" t="s">
        <v>809</v>
      </c>
      <c r="B604" t="s">
        <v>806</v>
      </c>
      <c r="C604">
        <v>23</v>
      </c>
      <c r="D604">
        <v>6</v>
      </c>
      <c r="E604" t="s">
        <v>786</v>
      </c>
      <c r="F604" t="s">
        <v>45</v>
      </c>
      <c r="G604" t="s">
        <v>26</v>
      </c>
      <c r="H604">
        <v>4</v>
      </c>
      <c r="I604">
        <v>4275</v>
      </c>
      <c r="J604">
        <v>5</v>
      </c>
    </row>
    <row r="605" spans="1:10">
      <c r="A605" t="s">
        <v>810</v>
      </c>
      <c r="B605" t="s">
        <v>811</v>
      </c>
      <c r="C605">
        <v>23</v>
      </c>
      <c r="D605">
        <v>6</v>
      </c>
      <c r="E605" t="s">
        <v>786</v>
      </c>
      <c r="F605" t="s">
        <v>42</v>
      </c>
      <c r="G605" t="s">
        <v>23</v>
      </c>
      <c r="H605">
        <v>5</v>
      </c>
      <c r="I605">
        <v>600</v>
      </c>
      <c r="J605">
        <v>0</v>
      </c>
    </row>
    <row r="606" spans="1:10">
      <c r="A606" t="s">
        <v>812</v>
      </c>
      <c r="B606" t="s">
        <v>811</v>
      </c>
      <c r="C606">
        <v>23</v>
      </c>
      <c r="D606">
        <v>6</v>
      </c>
      <c r="E606" t="s">
        <v>786</v>
      </c>
      <c r="F606" t="s">
        <v>80</v>
      </c>
      <c r="G606" t="s">
        <v>14</v>
      </c>
      <c r="H606">
        <v>1</v>
      </c>
      <c r="I606">
        <v>360</v>
      </c>
      <c r="J606">
        <v>10</v>
      </c>
    </row>
    <row r="607" spans="1:10">
      <c r="A607" t="s">
        <v>813</v>
      </c>
      <c r="B607" t="s">
        <v>814</v>
      </c>
      <c r="C607">
        <v>23</v>
      </c>
      <c r="D607">
        <v>6</v>
      </c>
      <c r="E607" t="s">
        <v>786</v>
      </c>
      <c r="F607" t="s">
        <v>146</v>
      </c>
      <c r="G607" t="s">
        <v>20</v>
      </c>
      <c r="H607">
        <v>2</v>
      </c>
      <c r="I607">
        <v>567</v>
      </c>
      <c r="J607">
        <v>10</v>
      </c>
    </row>
    <row r="608" spans="1:10">
      <c r="A608" t="s">
        <v>815</v>
      </c>
      <c r="B608" t="s">
        <v>814</v>
      </c>
      <c r="C608">
        <v>23</v>
      </c>
      <c r="D608">
        <v>6</v>
      </c>
      <c r="E608" t="s">
        <v>786</v>
      </c>
      <c r="F608" t="s">
        <v>187</v>
      </c>
      <c r="G608" t="s">
        <v>14</v>
      </c>
      <c r="H608">
        <v>3</v>
      </c>
      <c r="I608">
        <v>4400</v>
      </c>
      <c r="J608">
        <v>0</v>
      </c>
    </row>
    <row r="609" spans="1:10">
      <c r="A609" t="s">
        <v>816</v>
      </c>
      <c r="B609" t="s">
        <v>817</v>
      </c>
      <c r="C609">
        <v>23</v>
      </c>
      <c r="D609">
        <v>6</v>
      </c>
      <c r="E609" t="s">
        <v>786</v>
      </c>
      <c r="F609" t="s">
        <v>22</v>
      </c>
      <c r="G609" t="s">
        <v>23</v>
      </c>
      <c r="H609">
        <v>2</v>
      </c>
      <c r="I609">
        <v>475</v>
      </c>
      <c r="J609">
        <v>5</v>
      </c>
    </row>
    <row r="610" spans="1:10">
      <c r="A610" t="s">
        <v>818</v>
      </c>
      <c r="B610" t="s">
        <v>817</v>
      </c>
      <c r="C610">
        <v>23</v>
      </c>
      <c r="D610">
        <v>6</v>
      </c>
      <c r="E610" t="s">
        <v>786</v>
      </c>
      <c r="F610" t="s">
        <v>369</v>
      </c>
      <c r="G610" t="s">
        <v>221</v>
      </c>
      <c r="H610">
        <v>5</v>
      </c>
      <c r="I610">
        <v>595</v>
      </c>
      <c r="J610">
        <v>15</v>
      </c>
    </row>
    <row r="611" spans="1:10">
      <c r="A611" t="s">
        <v>819</v>
      </c>
      <c r="B611" t="s">
        <v>817</v>
      </c>
      <c r="C611">
        <v>23</v>
      </c>
      <c r="D611">
        <v>6</v>
      </c>
      <c r="E611" t="s">
        <v>786</v>
      </c>
      <c r="F611" t="s">
        <v>349</v>
      </c>
      <c r="G611" t="s">
        <v>221</v>
      </c>
      <c r="H611">
        <v>5</v>
      </c>
      <c r="I611">
        <v>400</v>
      </c>
      <c r="J611">
        <v>0</v>
      </c>
    </row>
    <row r="612" spans="1:10">
      <c r="A612" t="s">
        <v>820</v>
      </c>
      <c r="B612" t="s">
        <v>817</v>
      </c>
      <c r="C612">
        <v>23</v>
      </c>
      <c r="D612">
        <v>6</v>
      </c>
      <c r="E612" t="s">
        <v>786</v>
      </c>
      <c r="F612" t="s">
        <v>364</v>
      </c>
      <c r="G612" t="s">
        <v>221</v>
      </c>
      <c r="H612">
        <v>3</v>
      </c>
      <c r="I612">
        <v>960</v>
      </c>
      <c r="J612">
        <v>0</v>
      </c>
    </row>
    <row r="613" spans="1:10">
      <c r="A613" t="s">
        <v>821</v>
      </c>
      <c r="B613" t="s">
        <v>822</v>
      </c>
      <c r="C613">
        <v>23</v>
      </c>
      <c r="D613">
        <v>6</v>
      </c>
      <c r="E613" t="s">
        <v>786</v>
      </c>
      <c r="F613" t="s">
        <v>146</v>
      </c>
      <c r="G613" t="s">
        <v>20</v>
      </c>
      <c r="H613">
        <v>5</v>
      </c>
      <c r="I613">
        <v>630</v>
      </c>
      <c r="J613">
        <v>0</v>
      </c>
    </row>
    <row r="614" spans="1:10">
      <c r="A614" t="s">
        <v>823</v>
      </c>
      <c r="B614" t="s">
        <v>822</v>
      </c>
      <c r="C614">
        <v>23</v>
      </c>
      <c r="D614">
        <v>6</v>
      </c>
      <c r="E614" t="s">
        <v>786</v>
      </c>
      <c r="F614" t="s">
        <v>119</v>
      </c>
      <c r="G614" t="s">
        <v>14</v>
      </c>
      <c r="H614">
        <v>3</v>
      </c>
      <c r="I614">
        <v>770</v>
      </c>
      <c r="J614">
        <v>0</v>
      </c>
    </row>
    <row r="615" spans="1:10">
      <c r="A615" t="s">
        <v>824</v>
      </c>
      <c r="B615" t="s">
        <v>822</v>
      </c>
      <c r="C615">
        <v>23</v>
      </c>
      <c r="D615">
        <v>6</v>
      </c>
      <c r="E615" t="s">
        <v>786</v>
      </c>
      <c r="F615" t="s">
        <v>64</v>
      </c>
      <c r="G615" t="s">
        <v>14</v>
      </c>
      <c r="H615">
        <v>5</v>
      </c>
      <c r="I615">
        <v>2508</v>
      </c>
      <c r="J615">
        <v>5</v>
      </c>
    </row>
    <row r="616" spans="1:10">
      <c r="A616" t="s">
        <v>825</v>
      </c>
      <c r="B616" t="s">
        <v>826</v>
      </c>
      <c r="C616">
        <v>24</v>
      </c>
      <c r="D616">
        <v>6</v>
      </c>
      <c r="E616" t="s">
        <v>786</v>
      </c>
      <c r="F616" t="s">
        <v>51</v>
      </c>
      <c r="G616" t="s">
        <v>26</v>
      </c>
      <c r="H616">
        <v>5</v>
      </c>
      <c r="I616">
        <v>425</v>
      </c>
      <c r="J616">
        <v>15</v>
      </c>
    </row>
    <row r="617" spans="1:10">
      <c r="A617" t="s">
        <v>827</v>
      </c>
      <c r="B617" t="s">
        <v>826</v>
      </c>
      <c r="C617">
        <v>24</v>
      </c>
      <c r="D617">
        <v>6</v>
      </c>
      <c r="E617" t="s">
        <v>786</v>
      </c>
      <c r="F617" t="s">
        <v>369</v>
      </c>
      <c r="G617" t="s">
        <v>221</v>
      </c>
      <c r="H617">
        <v>1</v>
      </c>
      <c r="I617">
        <v>630</v>
      </c>
      <c r="J617">
        <v>10</v>
      </c>
    </row>
    <row r="618" spans="1:10">
      <c r="A618" t="s">
        <v>828</v>
      </c>
      <c r="B618" t="s">
        <v>826</v>
      </c>
      <c r="C618">
        <v>24</v>
      </c>
      <c r="D618">
        <v>6</v>
      </c>
      <c r="E618" t="s">
        <v>786</v>
      </c>
      <c r="F618" t="s">
        <v>13</v>
      </c>
      <c r="G618" t="s">
        <v>14</v>
      </c>
      <c r="H618">
        <v>5</v>
      </c>
      <c r="I618">
        <v>432</v>
      </c>
      <c r="J618">
        <v>10</v>
      </c>
    </row>
    <row r="619" spans="1:10">
      <c r="A619" t="s">
        <v>829</v>
      </c>
      <c r="B619" t="s">
        <v>826</v>
      </c>
      <c r="C619">
        <v>24</v>
      </c>
      <c r="D619">
        <v>6</v>
      </c>
      <c r="E619" t="s">
        <v>786</v>
      </c>
      <c r="F619" t="s">
        <v>187</v>
      </c>
      <c r="G619" t="s">
        <v>14</v>
      </c>
      <c r="H619">
        <v>2</v>
      </c>
      <c r="I619">
        <v>3960</v>
      </c>
      <c r="J619">
        <v>10</v>
      </c>
    </row>
    <row r="620" spans="1:10">
      <c r="A620" t="s">
        <v>830</v>
      </c>
      <c r="B620" t="s">
        <v>826</v>
      </c>
      <c r="C620">
        <v>24</v>
      </c>
      <c r="D620">
        <v>6</v>
      </c>
      <c r="E620" t="s">
        <v>786</v>
      </c>
      <c r="F620" t="s">
        <v>220</v>
      </c>
      <c r="G620" t="s">
        <v>221</v>
      </c>
      <c r="H620">
        <v>3</v>
      </c>
      <c r="I620">
        <v>510</v>
      </c>
      <c r="J620">
        <v>15</v>
      </c>
    </row>
    <row r="621" spans="1:10">
      <c r="A621" t="s">
        <v>831</v>
      </c>
      <c r="B621" t="s">
        <v>826</v>
      </c>
      <c r="C621">
        <v>24</v>
      </c>
      <c r="D621">
        <v>6</v>
      </c>
      <c r="E621" t="s">
        <v>786</v>
      </c>
      <c r="F621" t="s">
        <v>58</v>
      </c>
      <c r="G621" t="s">
        <v>23</v>
      </c>
      <c r="H621">
        <v>2</v>
      </c>
      <c r="I621">
        <v>850</v>
      </c>
      <c r="J621">
        <v>15</v>
      </c>
    </row>
    <row r="622" spans="1:10">
      <c r="A622" t="s">
        <v>832</v>
      </c>
      <c r="B622" t="s">
        <v>833</v>
      </c>
      <c r="C622">
        <v>24</v>
      </c>
      <c r="D622">
        <v>6</v>
      </c>
      <c r="E622" t="s">
        <v>786</v>
      </c>
      <c r="F622" t="s">
        <v>119</v>
      </c>
      <c r="G622" t="s">
        <v>14</v>
      </c>
      <c r="H622">
        <v>5</v>
      </c>
      <c r="I622">
        <v>770</v>
      </c>
      <c r="J622">
        <v>0</v>
      </c>
    </row>
    <row r="623" spans="1:10">
      <c r="A623" t="s">
        <v>834</v>
      </c>
      <c r="B623" t="s">
        <v>833</v>
      </c>
      <c r="C623">
        <v>24</v>
      </c>
      <c r="D623">
        <v>6</v>
      </c>
      <c r="E623" t="s">
        <v>786</v>
      </c>
      <c r="F623" t="s">
        <v>369</v>
      </c>
      <c r="G623" t="s">
        <v>221</v>
      </c>
      <c r="H623">
        <v>1</v>
      </c>
      <c r="I623">
        <v>630</v>
      </c>
      <c r="J623">
        <v>10</v>
      </c>
    </row>
    <row r="624" spans="1:10">
      <c r="A624" t="s">
        <v>835</v>
      </c>
      <c r="B624" t="s">
        <v>833</v>
      </c>
      <c r="C624">
        <v>24</v>
      </c>
      <c r="D624">
        <v>6</v>
      </c>
      <c r="E624" t="s">
        <v>786</v>
      </c>
      <c r="F624" t="s">
        <v>22</v>
      </c>
      <c r="G624" t="s">
        <v>23</v>
      </c>
      <c r="H624">
        <v>1</v>
      </c>
      <c r="I624">
        <v>500</v>
      </c>
      <c r="J624">
        <v>0</v>
      </c>
    </row>
    <row r="625" spans="1:10">
      <c r="A625" t="s">
        <v>836</v>
      </c>
      <c r="B625" t="s">
        <v>833</v>
      </c>
      <c r="C625">
        <v>24</v>
      </c>
      <c r="D625">
        <v>6</v>
      </c>
      <c r="E625" t="s">
        <v>786</v>
      </c>
      <c r="F625" t="s">
        <v>220</v>
      </c>
      <c r="G625" t="s">
        <v>221</v>
      </c>
      <c r="H625">
        <v>4</v>
      </c>
      <c r="I625">
        <v>540</v>
      </c>
      <c r="J625">
        <v>10</v>
      </c>
    </row>
    <row r="626" spans="1:10">
      <c r="A626" t="s">
        <v>837</v>
      </c>
      <c r="B626" t="s">
        <v>833</v>
      </c>
      <c r="C626">
        <v>24</v>
      </c>
      <c r="D626">
        <v>6</v>
      </c>
      <c r="E626" t="s">
        <v>786</v>
      </c>
      <c r="F626" t="s">
        <v>19</v>
      </c>
      <c r="G626" t="s">
        <v>20</v>
      </c>
      <c r="H626">
        <v>3</v>
      </c>
      <c r="I626">
        <v>1539</v>
      </c>
      <c r="J626">
        <v>5</v>
      </c>
    </row>
    <row r="627" spans="1:10">
      <c r="A627" t="s">
        <v>838</v>
      </c>
      <c r="B627" t="s">
        <v>833</v>
      </c>
      <c r="C627">
        <v>24</v>
      </c>
      <c r="D627">
        <v>6</v>
      </c>
      <c r="E627" t="s">
        <v>786</v>
      </c>
      <c r="F627" t="s">
        <v>19</v>
      </c>
      <c r="G627" t="s">
        <v>20</v>
      </c>
      <c r="H627">
        <v>5</v>
      </c>
      <c r="I627">
        <v>1458</v>
      </c>
      <c r="J627">
        <v>10</v>
      </c>
    </row>
    <row r="628" spans="1:10">
      <c r="A628" t="s">
        <v>839</v>
      </c>
      <c r="B628" t="s">
        <v>840</v>
      </c>
      <c r="C628">
        <v>24</v>
      </c>
      <c r="D628">
        <v>6</v>
      </c>
      <c r="E628" t="s">
        <v>786</v>
      </c>
      <c r="F628" t="s">
        <v>349</v>
      </c>
      <c r="G628" t="s">
        <v>221</v>
      </c>
      <c r="H628">
        <v>1</v>
      </c>
      <c r="I628">
        <v>380</v>
      </c>
      <c r="J628">
        <v>5</v>
      </c>
    </row>
    <row r="629" spans="1:10">
      <c r="A629" t="s">
        <v>841</v>
      </c>
      <c r="B629" t="s">
        <v>842</v>
      </c>
      <c r="C629">
        <v>24</v>
      </c>
      <c r="D629">
        <v>6</v>
      </c>
      <c r="E629" t="s">
        <v>786</v>
      </c>
      <c r="F629" t="s">
        <v>349</v>
      </c>
      <c r="G629" t="s">
        <v>221</v>
      </c>
      <c r="H629">
        <v>4</v>
      </c>
      <c r="I629">
        <v>380</v>
      </c>
      <c r="J629">
        <v>5</v>
      </c>
    </row>
    <row r="630" spans="1:10">
      <c r="A630" t="s">
        <v>843</v>
      </c>
      <c r="B630" t="s">
        <v>842</v>
      </c>
      <c r="C630">
        <v>24</v>
      </c>
      <c r="D630">
        <v>6</v>
      </c>
      <c r="E630" t="s">
        <v>786</v>
      </c>
      <c r="F630" t="s">
        <v>68</v>
      </c>
      <c r="G630" t="s">
        <v>26</v>
      </c>
      <c r="H630">
        <v>4</v>
      </c>
      <c r="I630">
        <v>323</v>
      </c>
      <c r="J630">
        <v>15</v>
      </c>
    </row>
    <row r="631" spans="1:10">
      <c r="A631" t="s">
        <v>844</v>
      </c>
      <c r="B631" t="s">
        <v>842</v>
      </c>
      <c r="C631">
        <v>24</v>
      </c>
      <c r="D631">
        <v>6</v>
      </c>
      <c r="E631" t="s">
        <v>786</v>
      </c>
      <c r="F631" t="s">
        <v>68</v>
      </c>
      <c r="G631" t="s">
        <v>26</v>
      </c>
      <c r="H631">
        <v>3</v>
      </c>
      <c r="I631">
        <v>380</v>
      </c>
      <c r="J631">
        <v>0</v>
      </c>
    </row>
    <row r="632" spans="1:10">
      <c r="A632" t="s">
        <v>845</v>
      </c>
      <c r="B632" t="s">
        <v>842</v>
      </c>
      <c r="C632">
        <v>24</v>
      </c>
      <c r="D632">
        <v>6</v>
      </c>
      <c r="E632" t="s">
        <v>786</v>
      </c>
      <c r="F632" t="s">
        <v>115</v>
      </c>
      <c r="G632" t="s">
        <v>23</v>
      </c>
      <c r="H632">
        <v>5</v>
      </c>
      <c r="I632">
        <v>1080</v>
      </c>
      <c r="J632">
        <v>10</v>
      </c>
    </row>
    <row r="633" spans="1:10">
      <c r="A633" t="s">
        <v>846</v>
      </c>
      <c r="B633" t="s">
        <v>847</v>
      </c>
      <c r="C633">
        <v>24</v>
      </c>
      <c r="D633">
        <v>6</v>
      </c>
      <c r="E633" t="s">
        <v>786</v>
      </c>
      <c r="F633" t="s">
        <v>19</v>
      </c>
      <c r="G633" t="s">
        <v>20</v>
      </c>
      <c r="H633">
        <v>3</v>
      </c>
      <c r="I633">
        <v>1377</v>
      </c>
      <c r="J633">
        <v>15</v>
      </c>
    </row>
    <row r="634" spans="1:10">
      <c r="A634" t="s">
        <v>848</v>
      </c>
      <c r="B634" t="s">
        <v>847</v>
      </c>
      <c r="C634">
        <v>24</v>
      </c>
      <c r="D634">
        <v>6</v>
      </c>
      <c r="E634" t="s">
        <v>786</v>
      </c>
      <c r="F634" t="s">
        <v>28</v>
      </c>
      <c r="G634" t="s">
        <v>26</v>
      </c>
      <c r="H634">
        <v>5</v>
      </c>
      <c r="I634">
        <v>1500</v>
      </c>
      <c r="J634">
        <v>0</v>
      </c>
    </row>
    <row r="635" spans="1:10">
      <c r="A635" t="s">
        <v>849</v>
      </c>
      <c r="B635" t="s">
        <v>847</v>
      </c>
      <c r="C635">
        <v>24</v>
      </c>
      <c r="D635">
        <v>6</v>
      </c>
      <c r="E635" t="s">
        <v>786</v>
      </c>
      <c r="F635" t="s">
        <v>97</v>
      </c>
      <c r="G635" t="s">
        <v>20</v>
      </c>
      <c r="H635">
        <v>5</v>
      </c>
      <c r="I635">
        <v>1980</v>
      </c>
      <c r="J635">
        <v>0</v>
      </c>
    </row>
    <row r="636" spans="1:10">
      <c r="A636" t="s">
        <v>850</v>
      </c>
      <c r="B636" t="s">
        <v>847</v>
      </c>
      <c r="C636">
        <v>24</v>
      </c>
      <c r="D636">
        <v>6</v>
      </c>
      <c r="E636" t="s">
        <v>786</v>
      </c>
      <c r="F636" t="s">
        <v>13</v>
      </c>
      <c r="G636" t="s">
        <v>14</v>
      </c>
      <c r="H636">
        <v>4</v>
      </c>
      <c r="I636">
        <v>456</v>
      </c>
      <c r="J636">
        <v>5</v>
      </c>
    </row>
    <row r="637" spans="1:10">
      <c r="A637" t="s">
        <v>851</v>
      </c>
      <c r="B637" t="s">
        <v>852</v>
      </c>
      <c r="C637">
        <v>24</v>
      </c>
      <c r="D637">
        <v>6</v>
      </c>
      <c r="E637" t="s">
        <v>786</v>
      </c>
      <c r="F637" t="s">
        <v>64</v>
      </c>
      <c r="G637" t="s">
        <v>14</v>
      </c>
      <c r="H637">
        <v>3</v>
      </c>
      <c r="I637">
        <v>2244</v>
      </c>
      <c r="J637">
        <v>15</v>
      </c>
    </row>
    <row r="638" spans="1:10">
      <c r="A638" t="s">
        <v>853</v>
      </c>
      <c r="B638" t="s">
        <v>852</v>
      </c>
      <c r="C638">
        <v>24</v>
      </c>
      <c r="D638">
        <v>6</v>
      </c>
      <c r="E638" t="s">
        <v>786</v>
      </c>
      <c r="F638" t="s">
        <v>13</v>
      </c>
      <c r="G638" t="s">
        <v>14</v>
      </c>
      <c r="H638">
        <v>4</v>
      </c>
      <c r="I638">
        <v>432</v>
      </c>
      <c r="J638">
        <v>10</v>
      </c>
    </row>
    <row r="639" spans="1:10">
      <c r="A639" t="s">
        <v>854</v>
      </c>
      <c r="B639" t="s">
        <v>852</v>
      </c>
      <c r="C639">
        <v>24</v>
      </c>
      <c r="D639">
        <v>6</v>
      </c>
      <c r="E639" t="s">
        <v>786</v>
      </c>
      <c r="F639" t="s">
        <v>364</v>
      </c>
      <c r="G639" t="s">
        <v>221</v>
      </c>
      <c r="H639">
        <v>2</v>
      </c>
      <c r="I639">
        <v>960</v>
      </c>
      <c r="J639">
        <v>0</v>
      </c>
    </row>
    <row r="640" spans="1:10">
      <c r="A640" t="s">
        <v>855</v>
      </c>
      <c r="B640" t="s">
        <v>852</v>
      </c>
      <c r="C640">
        <v>24</v>
      </c>
      <c r="D640">
        <v>6</v>
      </c>
      <c r="E640" t="s">
        <v>786</v>
      </c>
      <c r="F640" t="s">
        <v>187</v>
      </c>
      <c r="G640" t="s">
        <v>14</v>
      </c>
      <c r="H640">
        <v>5</v>
      </c>
      <c r="I640">
        <v>3960</v>
      </c>
      <c r="J640">
        <v>10</v>
      </c>
    </row>
    <row r="641" spans="1:10">
      <c r="A641" t="s">
        <v>856</v>
      </c>
      <c r="B641" t="s">
        <v>852</v>
      </c>
      <c r="C641">
        <v>24</v>
      </c>
      <c r="D641">
        <v>6</v>
      </c>
      <c r="E641" t="s">
        <v>786</v>
      </c>
      <c r="F641" t="s">
        <v>25</v>
      </c>
      <c r="G641" t="s">
        <v>26</v>
      </c>
      <c r="H641">
        <v>4</v>
      </c>
      <c r="I641">
        <v>1000</v>
      </c>
      <c r="J641">
        <v>0</v>
      </c>
    </row>
    <row r="642" spans="1:10">
      <c r="A642" t="s">
        <v>857</v>
      </c>
      <c r="B642" t="s">
        <v>852</v>
      </c>
      <c r="C642">
        <v>24</v>
      </c>
      <c r="D642">
        <v>6</v>
      </c>
      <c r="E642" t="s">
        <v>786</v>
      </c>
      <c r="F642" t="s">
        <v>349</v>
      </c>
      <c r="G642" t="s">
        <v>221</v>
      </c>
      <c r="H642">
        <v>4</v>
      </c>
      <c r="I642">
        <v>380</v>
      </c>
      <c r="J642">
        <v>5</v>
      </c>
    </row>
    <row r="643" spans="1:10">
      <c r="A643" t="s">
        <v>858</v>
      </c>
      <c r="B643" t="s">
        <v>852</v>
      </c>
      <c r="C643">
        <v>24</v>
      </c>
      <c r="D643">
        <v>6</v>
      </c>
      <c r="E643" t="s">
        <v>786</v>
      </c>
      <c r="F643" t="s">
        <v>369</v>
      </c>
      <c r="G643" t="s">
        <v>221</v>
      </c>
      <c r="H643">
        <v>5</v>
      </c>
      <c r="I643">
        <v>595</v>
      </c>
      <c r="J643">
        <v>15</v>
      </c>
    </row>
    <row r="644" spans="1:10">
      <c r="A644" t="s">
        <v>859</v>
      </c>
      <c r="B644" t="s">
        <v>860</v>
      </c>
      <c r="C644">
        <v>24</v>
      </c>
      <c r="D644">
        <v>6</v>
      </c>
      <c r="E644" t="s">
        <v>786</v>
      </c>
      <c r="F644" t="s">
        <v>115</v>
      </c>
      <c r="G644" t="s">
        <v>23</v>
      </c>
      <c r="H644">
        <v>5</v>
      </c>
      <c r="I644">
        <v>1080</v>
      </c>
      <c r="J644">
        <v>10</v>
      </c>
    </row>
    <row r="645" spans="1:10">
      <c r="A645" t="s">
        <v>861</v>
      </c>
      <c r="B645" t="s">
        <v>860</v>
      </c>
      <c r="C645">
        <v>24</v>
      </c>
      <c r="D645">
        <v>6</v>
      </c>
      <c r="E645" t="s">
        <v>786</v>
      </c>
      <c r="F645" t="s">
        <v>42</v>
      </c>
      <c r="G645" t="s">
        <v>23</v>
      </c>
      <c r="H645">
        <v>3</v>
      </c>
      <c r="I645">
        <v>600</v>
      </c>
      <c r="J645">
        <v>0</v>
      </c>
    </row>
    <row r="646" spans="1:10">
      <c r="A646" t="s">
        <v>862</v>
      </c>
      <c r="B646" t="s">
        <v>860</v>
      </c>
      <c r="C646">
        <v>24</v>
      </c>
      <c r="D646">
        <v>6</v>
      </c>
      <c r="E646" t="s">
        <v>786</v>
      </c>
      <c r="F646" t="s">
        <v>80</v>
      </c>
      <c r="G646" t="s">
        <v>14</v>
      </c>
      <c r="H646">
        <v>3</v>
      </c>
      <c r="I646">
        <v>400</v>
      </c>
      <c r="J646">
        <v>0</v>
      </c>
    </row>
    <row r="647" spans="1:10">
      <c r="A647" t="s">
        <v>863</v>
      </c>
      <c r="B647" t="s">
        <v>860</v>
      </c>
      <c r="C647">
        <v>24</v>
      </c>
      <c r="D647">
        <v>6</v>
      </c>
      <c r="E647" t="s">
        <v>786</v>
      </c>
      <c r="F647" t="s">
        <v>64</v>
      </c>
      <c r="G647" t="s">
        <v>14</v>
      </c>
      <c r="H647">
        <v>1</v>
      </c>
      <c r="I647">
        <v>2640</v>
      </c>
      <c r="J647">
        <v>0</v>
      </c>
    </row>
    <row r="648" spans="1:10">
      <c r="A648" t="s">
        <v>864</v>
      </c>
      <c r="B648" t="s">
        <v>860</v>
      </c>
      <c r="C648">
        <v>24</v>
      </c>
      <c r="D648">
        <v>6</v>
      </c>
      <c r="E648" t="s">
        <v>786</v>
      </c>
      <c r="F648" t="s">
        <v>13</v>
      </c>
      <c r="G648" t="s">
        <v>14</v>
      </c>
      <c r="H648">
        <v>4</v>
      </c>
      <c r="I648">
        <v>456</v>
      </c>
      <c r="J648">
        <v>5</v>
      </c>
    </row>
    <row r="649" spans="1:10">
      <c r="A649" t="s">
        <v>865</v>
      </c>
      <c r="B649" t="s">
        <v>860</v>
      </c>
      <c r="C649">
        <v>24</v>
      </c>
      <c r="D649">
        <v>6</v>
      </c>
      <c r="E649" t="s">
        <v>786</v>
      </c>
      <c r="F649" t="s">
        <v>115</v>
      </c>
      <c r="G649" t="s">
        <v>23</v>
      </c>
      <c r="H649">
        <v>2</v>
      </c>
      <c r="I649">
        <v>1200</v>
      </c>
      <c r="J649">
        <v>0</v>
      </c>
    </row>
    <row r="650" spans="1:10">
      <c r="A650" t="s">
        <v>866</v>
      </c>
      <c r="B650" t="s">
        <v>860</v>
      </c>
      <c r="C650">
        <v>24</v>
      </c>
      <c r="D650">
        <v>6</v>
      </c>
      <c r="E650" t="s">
        <v>786</v>
      </c>
      <c r="F650" t="s">
        <v>31</v>
      </c>
      <c r="G650" t="s">
        <v>23</v>
      </c>
      <c r="H650">
        <v>4</v>
      </c>
      <c r="I650">
        <v>1190</v>
      </c>
      <c r="J650">
        <v>15</v>
      </c>
    </row>
    <row r="651" spans="1:10">
      <c r="A651" t="s">
        <v>867</v>
      </c>
      <c r="B651" t="s">
        <v>860</v>
      </c>
      <c r="C651">
        <v>24</v>
      </c>
      <c r="D651">
        <v>6</v>
      </c>
      <c r="E651" t="s">
        <v>786</v>
      </c>
      <c r="F651" t="s">
        <v>66</v>
      </c>
      <c r="G651" t="s">
        <v>17</v>
      </c>
      <c r="H651">
        <v>4</v>
      </c>
      <c r="I651">
        <v>1470</v>
      </c>
      <c r="J651">
        <v>0</v>
      </c>
    </row>
    <row r="652" spans="1:10">
      <c r="A652" t="s">
        <v>868</v>
      </c>
      <c r="B652" t="s">
        <v>869</v>
      </c>
      <c r="C652">
        <v>25</v>
      </c>
      <c r="D652">
        <v>6</v>
      </c>
      <c r="E652" t="s">
        <v>786</v>
      </c>
      <c r="F652" t="s">
        <v>80</v>
      </c>
      <c r="G652" t="s">
        <v>14</v>
      </c>
      <c r="H652">
        <v>2</v>
      </c>
      <c r="I652">
        <v>340</v>
      </c>
      <c r="J652">
        <v>15</v>
      </c>
    </row>
    <row r="653" spans="1:10">
      <c r="A653" t="s">
        <v>870</v>
      </c>
      <c r="B653" t="s">
        <v>869</v>
      </c>
      <c r="C653">
        <v>25</v>
      </c>
      <c r="D653">
        <v>6</v>
      </c>
      <c r="E653" t="s">
        <v>786</v>
      </c>
      <c r="F653" t="s">
        <v>187</v>
      </c>
      <c r="G653" t="s">
        <v>14</v>
      </c>
      <c r="H653">
        <v>5</v>
      </c>
      <c r="I653">
        <v>4400</v>
      </c>
      <c r="J653">
        <v>0</v>
      </c>
    </row>
    <row r="654" spans="1:10">
      <c r="A654" t="s">
        <v>871</v>
      </c>
      <c r="B654" t="s">
        <v>869</v>
      </c>
      <c r="C654">
        <v>25</v>
      </c>
      <c r="D654">
        <v>6</v>
      </c>
      <c r="E654" t="s">
        <v>786</v>
      </c>
      <c r="F654" t="s">
        <v>220</v>
      </c>
      <c r="G654" t="s">
        <v>221</v>
      </c>
      <c r="H654">
        <v>4</v>
      </c>
      <c r="I654">
        <v>540</v>
      </c>
      <c r="J654">
        <v>10</v>
      </c>
    </row>
    <row r="655" spans="1:10">
      <c r="A655" t="s">
        <v>872</v>
      </c>
      <c r="B655" t="s">
        <v>869</v>
      </c>
      <c r="C655">
        <v>25</v>
      </c>
      <c r="D655">
        <v>6</v>
      </c>
      <c r="E655" t="s">
        <v>786</v>
      </c>
      <c r="F655" t="s">
        <v>349</v>
      </c>
      <c r="G655" t="s">
        <v>221</v>
      </c>
      <c r="H655">
        <v>2</v>
      </c>
      <c r="I655">
        <v>360</v>
      </c>
      <c r="J655">
        <v>10</v>
      </c>
    </row>
    <row r="656" spans="1:10">
      <c r="A656" t="s">
        <v>873</v>
      </c>
      <c r="B656" t="s">
        <v>874</v>
      </c>
      <c r="C656">
        <v>25</v>
      </c>
      <c r="D656">
        <v>6</v>
      </c>
      <c r="E656" t="s">
        <v>786</v>
      </c>
      <c r="F656" t="s">
        <v>369</v>
      </c>
      <c r="G656" t="s">
        <v>221</v>
      </c>
      <c r="H656">
        <v>1</v>
      </c>
      <c r="I656">
        <v>700</v>
      </c>
      <c r="J656">
        <v>0</v>
      </c>
    </row>
    <row r="657" spans="1:10">
      <c r="A657" t="s">
        <v>875</v>
      </c>
      <c r="B657" t="s">
        <v>874</v>
      </c>
      <c r="C657">
        <v>25</v>
      </c>
      <c r="D657">
        <v>6</v>
      </c>
      <c r="E657" t="s">
        <v>786</v>
      </c>
      <c r="F657" t="s">
        <v>146</v>
      </c>
      <c r="G657" t="s">
        <v>20</v>
      </c>
      <c r="H657">
        <v>4</v>
      </c>
      <c r="I657">
        <v>630</v>
      </c>
      <c r="J657">
        <v>0</v>
      </c>
    </row>
    <row r="658" spans="1:10">
      <c r="A658" t="s">
        <v>876</v>
      </c>
      <c r="B658" t="s">
        <v>877</v>
      </c>
      <c r="C658">
        <v>25</v>
      </c>
      <c r="D658">
        <v>6</v>
      </c>
      <c r="E658" t="s">
        <v>786</v>
      </c>
      <c r="F658" t="s">
        <v>369</v>
      </c>
      <c r="G658" t="s">
        <v>221</v>
      </c>
      <c r="H658">
        <v>1</v>
      </c>
      <c r="I658">
        <v>595</v>
      </c>
      <c r="J658">
        <v>15</v>
      </c>
    </row>
    <row r="659" spans="1:10">
      <c r="A659" t="s">
        <v>878</v>
      </c>
      <c r="B659" t="s">
        <v>877</v>
      </c>
      <c r="C659">
        <v>25</v>
      </c>
      <c r="D659">
        <v>6</v>
      </c>
      <c r="E659" t="s">
        <v>786</v>
      </c>
      <c r="F659" t="s">
        <v>37</v>
      </c>
      <c r="G659" t="s">
        <v>20</v>
      </c>
      <c r="H659">
        <v>4</v>
      </c>
      <c r="I659">
        <v>2340</v>
      </c>
      <c r="J659">
        <v>0</v>
      </c>
    </row>
    <row r="660" spans="1:10">
      <c r="A660" t="s">
        <v>879</v>
      </c>
      <c r="B660" t="s">
        <v>877</v>
      </c>
      <c r="C660">
        <v>25</v>
      </c>
      <c r="D660">
        <v>6</v>
      </c>
      <c r="E660" t="s">
        <v>786</v>
      </c>
      <c r="F660" t="s">
        <v>364</v>
      </c>
      <c r="G660" t="s">
        <v>221</v>
      </c>
      <c r="H660">
        <v>1</v>
      </c>
      <c r="I660">
        <v>960</v>
      </c>
      <c r="J660">
        <v>0</v>
      </c>
    </row>
    <row r="661" spans="1:10">
      <c r="A661" t="s">
        <v>880</v>
      </c>
      <c r="B661" t="s">
        <v>877</v>
      </c>
      <c r="C661">
        <v>25</v>
      </c>
      <c r="D661">
        <v>6</v>
      </c>
      <c r="E661" t="s">
        <v>786</v>
      </c>
      <c r="F661" t="s">
        <v>42</v>
      </c>
      <c r="G661" t="s">
        <v>23</v>
      </c>
      <c r="H661">
        <v>3</v>
      </c>
      <c r="I661">
        <v>570</v>
      </c>
      <c r="J661">
        <v>5</v>
      </c>
    </row>
    <row r="662" spans="1:10">
      <c r="A662" t="s">
        <v>881</v>
      </c>
      <c r="B662" t="s">
        <v>877</v>
      </c>
      <c r="C662">
        <v>25</v>
      </c>
      <c r="D662">
        <v>6</v>
      </c>
      <c r="E662" t="s">
        <v>786</v>
      </c>
      <c r="F662" t="s">
        <v>80</v>
      </c>
      <c r="G662" t="s">
        <v>14</v>
      </c>
      <c r="H662">
        <v>4</v>
      </c>
      <c r="I662">
        <v>340</v>
      </c>
      <c r="J662">
        <v>15</v>
      </c>
    </row>
    <row r="663" spans="1:10">
      <c r="A663" t="s">
        <v>882</v>
      </c>
      <c r="B663" t="s">
        <v>883</v>
      </c>
      <c r="C663">
        <v>25</v>
      </c>
      <c r="D663">
        <v>6</v>
      </c>
      <c r="E663" t="s">
        <v>786</v>
      </c>
      <c r="F663" t="s">
        <v>220</v>
      </c>
      <c r="G663" t="s">
        <v>221</v>
      </c>
      <c r="H663">
        <v>1</v>
      </c>
      <c r="I663">
        <v>570</v>
      </c>
      <c r="J663">
        <v>5</v>
      </c>
    </row>
    <row r="664" spans="1:10">
      <c r="A664" t="s">
        <v>884</v>
      </c>
      <c r="B664" t="s">
        <v>883</v>
      </c>
      <c r="C664">
        <v>25</v>
      </c>
      <c r="D664">
        <v>6</v>
      </c>
      <c r="E664" t="s">
        <v>786</v>
      </c>
      <c r="F664" t="s">
        <v>39</v>
      </c>
      <c r="G664" t="s">
        <v>14</v>
      </c>
      <c r="H664">
        <v>1</v>
      </c>
      <c r="I664">
        <v>748</v>
      </c>
      <c r="J664">
        <v>15</v>
      </c>
    </row>
    <row r="665" spans="1:10">
      <c r="A665" t="s">
        <v>885</v>
      </c>
      <c r="B665" t="s">
        <v>883</v>
      </c>
      <c r="C665">
        <v>25</v>
      </c>
      <c r="D665">
        <v>6</v>
      </c>
      <c r="E665" t="s">
        <v>786</v>
      </c>
      <c r="F665" t="s">
        <v>37</v>
      </c>
      <c r="G665" t="s">
        <v>20</v>
      </c>
      <c r="H665">
        <v>2</v>
      </c>
      <c r="I665">
        <v>2340</v>
      </c>
      <c r="J665">
        <v>0</v>
      </c>
    </row>
    <row r="666" spans="1:10">
      <c r="A666" t="s">
        <v>886</v>
      </c>
      <c r="B666" t="s">
        <v>883</v>
      </c>
      <c r="C666">
        <v>25</v>
      </c>
      <c r="D666">
        <v>6</v>
      </c>
      <c r="E666" t="s">
        <v>786</v>
      </c>
      <c r="F666" t="s">
        <v>39</v>
      </c>
      <c r="G666" t="s">
        <v>14</v>
      </c>
      <c r="H666">
        <v>1</v>
      </c>
      <c r="I666">
        <v>880</v>
      </c>
      <c r="J666">
        <v>0</v>
      </c>
    </row>
    <row r="667" spans="1:10">
      <c r="A667" t="s">
        <v>887</v>
      </c>
      <c r="B667" t="s">
        <v>888</v>
      </c>
      <c r="C667">
        <v>25</v>
      </c>
      <c r="D667">
        <v>6</v>
      </c>
      <c r="E667" t="s">
        <v>786</v>
      </c>
      <c r="F667" t="s">
        <v>51</v>
      </c>
      <c r="G667" t="s">
        <v>26</v>
      </c>
      <c r="H667">
        <v>1</v>
      </c>
      <c r="I667">
        <v>475</v>
      </c>
      <c r="J667">
        <v>5</v>
      </c>
    </row>
    <row r="668" spans="1:10">
      <c r="A668" t="s">
        <v>889</v>
      </c>
      <c r="B668" t="s">
        <v>888</v>
      </c>
      <c r="C668">
        <v>25</v>
      </c>
      <c r="D668">
        <v>6</v>
      </c>
      <c r="E668" t="s">
        <v>786</v>
      </c>
      <c r="F668" t="s">
        <v>369</v>
      </c>
      <c r="G668" t="s">
        <v>221</v>
      </c>
      <c r="H668">
        <v>2</v>
      </c>
      <c r="I668">
        <v>700</v>
      </c>
      <c r="J668">
        <v>0</v>
      </c>
    </row>
    <row r="669" spans="1:10">
      <c r="A669" t="s">
        <v>890</v>
      </c>
      <c r="B669" t="s">
        <v>888</v>
      </c>
      <c r="C669">
        <v>25</v>
      </c>
      <c r="D669">
        <v>6</v>
      </c>
      <c r="E669" t="s">
        <v>786</v>
      </c>
      <c r="F669" t="s">
        <v>369</v>
      </c>
      <c r="G669" t="s">
        <v>221</v>
      </c>
      <c r="H669">
        <v>4</v>
      </c>
      <c r="I669">
        <v>665</v>
      </c>
      <c r="J669">
        <v>5</v>
      </c>
    </row>
    <row r="670" spans="1:10">
      <c r="A670" t="s">
        <v>891</v>
      </c>
      <c r="B670" t="s">
        <v>888</v>
      </c>
      <c r="C670">
        <v>25</v>
      </c>
      <c r="D670">
        <v>6</v>
      </c>
      <c r="E670" t="s">
        <v>786</v>
      </c>
      <c r="F670" t="s">
        <v>82</v>
      </c>
      <c r="G670" t="s">
        <v>20</v>
      </c>
      <c r="H670">
        <v>2</v>
      </c>
      <c r="I670">
        <v>900</v>
      </c>
      <c r="J670">
        <v>0</v>
      </c>
    </row>
    <row r="671" spans="1:10">
      <c r="A671" t="s">
        <v>892</v>
      </c>
      <c r="B671" t="s">
        <v>893</v>
      </c>
      <c r="C671">
        <v>25</v>
      </c>
      <c r="D671">
        <v>6</v>
      </c>
      <c r="E671" t="s">
        <v>786</v>
      </c>
      <c r="F671" t="s">
        <v>51</v>
      </c>
      <c r="G671" t="s">
        <v>26</v>
      </c>
      <c r="H671">
        <v>3</v>
      </c>
      <c r="I671">
        <v>500</v>
      </c>
      <c r="J671">
        <v>0</v>
      </c>
    </row>
    <row r="672" spans="1:10">
      <c r="A672" t="s">
        <v>894</v>
      </c>
      <c r="B672" t="s">
        <v>893</v>
      </c>
      <c r="C672">
        <v>25</v>
      </c>
      <c r="D672">
        <v>6</v>
      </c>
      <c r="E672" t="s">
        <v>786</v>
      </c>
      <c r="F672" t="s">
        <v>42</v>
      </c>
      <c r="G672" t="s">
        <v>23</v>
      </c>
      <c r="H672">
        <v>3</v>
      </c>
      <c r="I672">
        <v>540</v>
      </c>
      <c r="J672">
        <v>10</v>
      </c>
    </row>
    <row r="673" spans="1:10">
      <c r="A673" t="s">
        <v>895</v>
      </c>
      <c r="B673" t="s">
        <v>896</v>
      </c>
      <c r="C673">
        <v>25</v>
      </c>
      <c r="D673">
        <v>6</v>
      </c>
      <c r="E673" t="s">
        <v>786</v>
      </c>
      <c r="F673" t="s">
        <v>64</v>
      </c>
      <c r="G673" t="s">
        <v>14</v>
      </c>
      <c r="H673">
        <v>4</v>
      </c>
      <c r="I673">
        <v>2640</v>
      </c>
      <c r="J673">
        <v>0</v>
      </c>
    </row>
    <row r="674" spans="1:10">
      <c r="A674" t="s">
        <v>897</v>
      </c>
      <c r="B674" t="s">
        <v>896</v>
      </c>
      <c r="C674">
        <v>25</v>
      </c>
      <c r="D674">
        <v>6</v>
      </c>
      <c r="E674" t="s">
        <v>786</v>
      </c>
      <c r="F674" t="s">
        <v>28</v>
      </c>
      <c r="G674" t="s">
        <v>26</v>
      </c>
      <c r="H674">
        <v>3</v>
      </c>
      <c r="I674">
        <v>1500</v>
      </c>
      <c r="J674">
        <v>0</v>
      </c>
    </row>
    <row r="675" spans="1:10">
      <c r="A675" t="s">
        <v>898</v>
      </c>
      <c r="B675" t="s">
        <v>896</v>
      </c>
      <c r="C675">
        <v>25</v>
      </c>
      <c r="D675">
        <v>6</v>
      </c>
      <c r="E675" t="s">
        <v>786</v>
      </c>
      <c r="F675" t="s">
        <v>28</v>
      </c>
      <c r="G675" t="s">
        <v>26</v>
      </c>
      <c r="H675">
        <v>4</v>
      </c>
      <c r="I675">
        <v>1425</v>
      </c>
      <c r="J675">
        <v>5</v>
      </c>
    </row>
    <row r="676" spans="1:10">
      <c r="A676" t="s">
        <v>899</v>
      </c>
      <c r="B676" t="s">
        <v>896</v>
      </c>
      <c r="C676">
        <v>25</v>
      </c>
      <c r="D676">
        <v>6</v>
      </c>
      <c r="E676" t="s">
        <v>786</v>
      </c>
      <c r="F676" t="s">
        <v>364</v>
      </c>
      <c r="G676" t="s">
        <v>221</v>
      </c>
      <c r="H676">
        <v>2</v>
      </c>
      <c r="I676">
        <v>912</v>
      </c>
      <c r="J676">
        <v>5</v>
      </c>
    </row>
    <row r="677" spans="1:10">
      <c r="A677" t="s">
        <v>900</v>
      </c>
      <c r="B677" t="s">
        <v>896</v>
      </c>
      <c r="C677">
        <v>25</v>
      </c>
      <c r="D677">
        <v>6</v>
      </c>
      <c r="E677" t="s">
        <v>786</v>
      </c>
      <c r="F677" t="s">
        <v>42</v>
      </c>
      <c r="G677" t="s">
        <v>23</v>
      </c>
      <c r="H677">
        <v>3</v>
      </c>
      <c r="I677">
        <v>600</v>
      </c>
      <c r="J677">
        <v>0</v>
      </c>
    </row>
    <row r="678" spans="1:10">
      <c r="A678" t="s">
        <v>901</v>
      </c>
      <c r="B678" t="s">
        <v>902</v>
      </c>
      <c r="C678">
        <v>26</v>
      </c>
      <c r="D678">
        <v>6</v>
      </c>
      <c r="E678" t="s">
        <v>786</v>
      </c>
      <c r="F678" t="s">
        <v>220</v>
      </c>
      <c r="G678" t="s">
        <v>221</v>
      </c>
      <c r="H678">
        <v>2</v>
      </c>
      <c r="I678">
        <v>600</v>
      </c>
      <c r="J678">
        <v>0</v>
      </c>
    </row>
    <row r="679" spans="1:10">
      <c r="A679" t="s">
        <v>903</v>
      </c>
      <c r="B679" t="s">
        <v>902</v>
      </c>
      <c r="C679">
        <v>26</v>
      </c>
      <c r="D679">
        <v>6</v>
      </c>
      <c r="E679" t="s">
        <v>786</v>
      </c>
      <c r="F679" t="s">
        <v>115</v>
      </c>
      <c r="G679" t="s">
        <v>23</v>
      </c>
      <c r="H679">
        <v>1</v>
      </c>
      <c r="I679">
        <v>1140</v>
      </c>
      <c r="J679">
        <v>5</v>
      </c>
    </row>
    <row r="680" spans="1:10">
      <c r="A680" t="s">
        <v>904</v>
      </c>
      <c r="B680" t="s">
        <v>905</v>
      </c>
      <c r="C680">
        <v>26</v>
      </c>
      <c r="D680">
        <v>6</v>
      </c>
      <c r="E680" t="s">
        <v>786</v>
      </c>
      <c r="F680" t="s">
        <v>45</v>
      </c>
      <c r="G680" t="s">
        <v>26</v>
      </c>
      <c r="H680">
        <v>4</v>
      </c>
      <c r="I680">
        <v>4500</v>
      </c>
      <c r="J680">
        <v>0</v>
      </c>
    </row>
    <row r="681" spans="1:10">
      <c r="A681" t="s">
        <v>906</v>
      </c>
      <c r="B681" t="s">
        <v>905</v>
      </c>
      <c r="C681">
        <v>26</v>
      </c>
      <c r="D681">
        <v>6</v>
      </c>
      <c r="E681" t="s">
        <v>786</v>
      </c>
      <c r="F681" t="s">
        <v>187</v>
      </c>
      <c r="G681" t="s">
        <v>14</v>
      </c>
      <c r="H681">
        <v>3</v>
      </c>
      <c r="I681">
        <v>4400</v>
      </c>
      <c r="J681">
        <v>0</v>
      </c>
    </row>
    <row r="682" spans="1:10">
      <c r="A682" t="s">
        <v>907</v>
      </c>
      <c r="B682" t="s">
        <v>905</v>
      </c>
      <c r="C682">
        <v>26</v>
      </c>
      <c r="D682">
        <v>6</v>
      </c>
      <c r="E682" t="s">
        <v>786</v>
      </c>
      <c r="F682" t="s">
        <v>28</v>
      </c>
      <c r="G682" t="s">
        <v>26</v>
      </c>
      <c r="H682">
        <v>3</v>
      </c>
      <c r="I682">
        <v>1350</v>
      </c>
      <c r="J682">
        <v>10</v>
      </c>
    </row>
    <row r="683" spans="1:10">
      <c r="A683" t="s">
        <v>908</v>
      </c>
      <c r="B683" t="s">
        <v>905</v>
      </c>
      <c r="C683">
        <v>26</v>
      </c>
      <c r="D683">
        <v>6</v>
      </c>
      <c r="E683" t="s">
        <v>786</v>
      </c>
      <c r="F683" t="s">
        <v>369</v>
      </c>
      <c r="G683" t="s">
        <v>221</v>
      </c>
      <c r="H683">
        <v>5</v>
      </c>
      <c r="I683">
        <v>595</v>
      </c>
      <c r="J683">
        <v>15</v>
      </c>
    </row>
    <row r="684" spans="1:10">
      <c r="A684" t="s">
        <v>909</v>
      </c>
      <c r="B684" t="s">
        <v>910</v>
      </c>
      <c r="C684">
        <v>26</v>
      </c>
      <c r="D684">
        <v>6</v>
      </c>
      <c r="E684" t="s">
        <v>786</v>
      </c>
      <c r="F684" t="s">
        <v>19</v>
      </c>
      <c r="G684" t="s">
        <v>20</v>
      </c>
      <c r="H684">
        <v>3</v>
      </c>
      <c r="I684">
        <v>1377</v>
      </c>
      <c r="J684">
        <v>15</v>
      </c>
    </row>
    <row r="685" spans="1:10">
      <c r="A685" t="s">
        <v>911</v>
      </c>
      <c r="B685" t="s">
        <v>910</v>
      </c>
      <c r="C685">
        <v>26</v>
      </c>
      <c r="D685">
        <v>6</v>
      </c>
      <c r="E685" t="s">
        <v>786</v>
      </c>
      <c r="F685" t="s">
        <v>146</v>
      </c>
      <c r="G685" t="s">
        <v>20</v>
      </c>
      <c r="H685">
        <v>4</v>
      </c>
      <c r="I685">
        <v>535.5</v>
      </c>
      <c r="J685">
        <v>15</v>
      </c>
    </row>
    <row r="686" spans="1:10">
      <c r="A686" t="s">
        <v>912</v>
      </c>
      <c r="B686" t="s">
        <v>910</v>
      </c>
      <c r="C686">
        <v>26</v>
      </c>
      <c r="D686">
        <v>6</v>
      </c>
      <c r="E686" t="s">
        <v>786</v>
      </c>
      <c r="F686" t="s">
        <v>39</v>
      </c>
      <c r="G686" t="s">
        <v>14</v>
      </c>
      <c r="H686">
        <v>1</v>
      </c>
      <c r="I686">
        <v>880</v>
      </c>
      <c r="J686">
        <v>0</v>
      </c>
    </row>
    <row r="687" spans="1:10">
      <c r="A687" t="s">
        <v>913</v>
      </c>
      <c r="B687" t="s">
        <v>914</v>
      </c>
      <c r="C687">
        <v>26</v>
      </c>
      <c r="D687">
        <v>6</v>
      </c>
      <c r="E687" t="s">
        <v>786</v>
      </c>
      <c r="F687" t="s">
        <v>364</v>
      </c>
      <c r="G687" t="s">
        <v>221</v>
      </c>
      <c r="H687">
        <v>1</v>
      </c>
      <c r="I687">
        <v>960</v>
      </c>
      <c r="J687">
        <v>0</v>
      </c>
    </row>
    <row r="688" spans="1:10">
      <c r="A688" t="s">
        <v>915</v>
      </c>
      <c r="B688" t="s">
        <v>914</v>
      </c>
      <c r="C688">
        <v>26</v>
      </c>
      <c r="D688">
        <v>6</v>
      </c>
      <c r="E688" t="s">
        <v>786</v>
      </c>
      <c r="F688" t="s">
        <v>349</v>
      </c>
      <c r="G688" t="s">
        <v>221</v>
      </c>
      <c r="H688">
        <v>1</v>
      </c>
      <c r="I688">
        <v>360</v>
      </c>
      <c r="J688">
        <v>10</v>
      </c>
    </row>
    <row r="689" spans="1:10">
      <c r="A689" t="s">
        <v>916</v>
      </c>
      <c r="B689" t="s">
        <v>914</v>
      </c>
      <c r="C689">
        <v>26</v>
      </c>
      <c r="D689">
        <v>6</v>
      </c>
      <c r="E689" t="s">
        <v>786</v>
      </c>
      <c r="F689" t="s">
        <v>39</v>
      </c>
      <c r="G689" t="s">
        <v>14</v>
      </c>
      <c r="H689">
        <v>1</v>
      </c>
      <c r="I689">
        <v>792</v>
      </c>
      <c r="J689">
        <v>10</v>
      </c>
    </row>
    <row r="690" spans="1:10">
      <c r="A690" t="s">
        <v>917</v>
      </c>
      <c r="B690" t="s">
        <v>914</v>
      </c>
      <c r="C690">
        <v>26</v>
      </c>
      <c r="D690">
        <v>6</v>
      </c>
      <c r="E690" t="s">
        <v>786</v>
      </c>
      <c r="F690" t="s">
        <v>64</v>
      </c>
      <c r="G690" t="s">
        <v>14</v>
      </c>
      <c r="H690">
        <v>1</v>
      </c>
      <c r="I690">
        <v>2508</v>
      </c>
      <c r="J690">
        <v>5</v>
      </c>
    </row>
    <row r="691" spans="1:10">
      <c r="A691" t="s">
        <v>918</v>
      </c>
      <c r="B691" t="s">
        <v>914</v>
      </c>
      <c r="C691">
        <v>26</v>
      </c>
      <c r="D691">
        <v>6</v>
      </c>
      <c r="E691" t="s">
        <v>786</v>
      </c>
      <c r="F691" t="s">
        <v>58</v>
      </c>
      <c r="G691" t="s">
        <v>23</v>
      </c>
      <c r="H691">
        <v>3</v>
      </c>
      <c r="I691">
        <v>1000</v>
      </c>
      <c r="J691">
        <v>0</v>
      </c>
    </row>
    <row r="692" spans="1:10">
      <c r="A692" t="s">
        <v>919</v>
      </c>
      <c r="B692" t="s">
        <v>914</v>
      </c>
      <c r="C692">
        <v>26</v>
      </c>
      <c r="D692">
        <v>6</v>
      </c>
      <c r="E692" t="s">
        <v>786</v>
      </c>
      <c r="F692" t="s">
        <v>51</v>
      </c>
      <c r="G692" t="s">
        <v>26</v>
      </c>
      <c r="H692">
        <v>5</v>
      </c>
      <c r="I692">
        <v>500</v>
      </c>
      <c r="J692">
        <v>0</v>
      </c>
    </row>
    <row r="693" spans="1:10">
      <c r="A693" t="s">
        <v>920</v>
      </c>
      <c r="B693" t="s">
        <v>921</v>
      </c>
      <c r="C693">
        <v>26</v>
      </c>
      <c r="D693">
        <v>6</v>
      </c>
      <c r="E693" t="s">
        <v>786</v>
      </c>
      <c r="F693" t="s">
        <v>64</v>
      </c>
      <c r="G693" t="s">
        <v>14</v>
      </c>
      <c r="H693">
        <v>5</v>
      </c>
      <c r="I693">
        <v>2508</v>
      </c>
      <c r="J693">
        <v>5</v>
      </c>
    </row>
    <row r="694" spans="1:10">
      <c r="A694" t="s">
        <v>922</v>
      </c>
      <c r="B694" t="s">
        <v>921</v>
      </c>
      <c r="C694">
        <v>26</v>
      </c>
      <c r="D694">
        <v>6</v>
      </c>
      <c r="E694" t="s">
        <v>786</v>
      </c>
      <c r="F694" t="s">
        <v>82</v>
      </c>
      <c r="G694" t="s">
        <v>20</v>
      </c>
      <c r="H694">
        <v>1</v>
      </c>
      <c r="I694">
        <v>765</v>
      </c>
      <c r="J694">
        <v>15</v>
      </c>
    </row>
    <row r="695" spans="1:10">
      <c r="A695" t="s">
        <v>923</v>
      </c>
      <c r="B695" t="s">
        <v>921</v>
      </c>
      <c r="C695">
        <v>26</v>
      </c>
      <c r="D695">
        <v>6</v>
      </c>
      <c r="E695" t="s">
        <v>786</v>
      </c>
      <c r="F695" t="s">
        <v>42</v>
      </c>
      <c r="G695" t="s">
        <v>23</v>
      </c>
      <c r="H695">
        <v>4</v>
      </c>
      <c r="I695">
        <v>600</v>
      </c>
      <c r="J695">
        <v>0</v>
      </c>
    </row>
    <row r="696" spans="1:10">
      <c r="A696" t="s">
        <v>924</v>
      </c>
      <c r="B696" t="s">
        <v>921</v>
      </c>
      <c r="C696">
        <v>26</v>
      </c>
      <c r="D696">
        <v>6</v>
      </c>
      <c r="E696" t="s">
        <v>786</v>
      </c>
      <c r="F696" t="s">
        <v>82</v>
      </c>
      <c r="G696" t="s">
        <v>20</v>
      </c>
      <c r="H696">
        <v>3</v>
      </c>
      <c r="I696">
        <v>900</v>
      </c>
      <c r="J696">
        <v>0</v>
      </c>
    </row>
    <row r="697" spans="1:10">
      <c r="A697" t="s">
        <v>925</v>
      </c>
      <c r="B697" t="s">
        <v>921</v>
      </c>
      <c r="C697">
        <v>26</v>
      </c>
      <c r="D697">
        <v>6</v>
      </c>
      <c r="E697" t="s">
        <v>786</v>
      </c>
      <c r="F697" t="s">
        <v>369</v>
      </c>
      <c r="G697" t="s">
        <v>221</v>
      </c>
      <c r="H697">
        <v>5</v>
      </c>
      <c r="I697">
        <v>700</v>
      </c>
      <c r="J697">
        <v>0</v>
      </c>
    </row>
    <row r="698" spans="1:10">
      <c r="A698" t="s">
        <v>926</v>
      </c>
      <c r="B698" t="s">
        <v>921</v>
      </c>
      <c r="C698">
        <v>26</v>
      </c>
      <c r="D698">
        <v>6</v>
      </c>
      <c r="E698" t="s">
        <v>786</v>
      </c>
      <c r="F698" t="s">
        <v>31</v>
      </c>
      <c r="G698" t="s">
        <v>23</v>
      </c>
      <c r="H698">
        <v>2</v>
      </c>
      <c r="I698">
        <v>1260</v>
      </c>
      <c r="J698">
        <v>10</v>
      </c>
    </row>
    <row r="699" spans="1:10">
      <c r="A699" t="s">
        <v>927</v>
      </c>
      <c r="B699" t="s">
        <v>928</v>
      </c>
      <c r="C699">
        <v>26</v>
      </c>
      <c r="D699">
        <v>6</v>
      </c>
      <c r="E699" t="s">
        <v>786</v>
      </c>
      <c r="F699" t="s">
        <v>349</v>
      </c>
      <c r="G699" t="s">
        <v>221</v>
      </c>
      <c r="H699">
        <v>5</v>
      </c>
      <c r="I699">
        <v>400</v>
      </c>
      <c r="J699">
        <v>0</v>
      </c>
    </row>
    <row r="700" spans="1:10">
      <c r="A700" t="s">
        <v>929</v>
      </c>
      <c r="B700" t="s">
        <v>930</v>
      </c>
      <c r="C700">
        <v>26</v>
      </c>
      <c r="D700">
        <v>6</v>
      </c>
      <c r="E700" t="s">
        <v>786</v>
      </c>
      <c r="F700" t="s">
        <v>80</v>
      </c>
      <c r="G700" t="s">
        <v>14</v>
      </c>
      <c r="H700">
        <v>4</v>
      </c>
      <c r="I700">
        <v>400</v>
      </c>
      <c r="J700">
        <v>0</v>
      </c>
    </row>
    <row r="701" spans="1:10">
      <c r="A701" t="s">
        <v>931</v>
      </c>
      <c r="B701" t="s">
        <v>930</v>
      </c>
      <c r="C701">
        <v>26</v>
      </c>
      <c r="D701">
        <v>6</v>
      </c>
      <c r="E701" t="s">
        <v>786</v>
      </c>
      <c r="F701" t="s">
        <v>45</v>
      </c>
      <c r="G701" t="s">
        <v>26</v>
      </c>
      <c r="H701">
        <v>1</v>
      </c>
      <c r="I701">
        <v>4275</v>
      </c>
      <c r="J701">
        <v>5</v>
      </c>
    </row>
    <row r="702" spans="1:10">
      <c r="A702" t="s">
        <v>932</v>
      </c>
      <c r="B702" t="s">
        <v>930</v>
      </c>
      <c r="C702">
        <v>26</v>
      </c>
      <c r="D702">
        <v>6</v>
      </c>
      <c r="E702" t="s">
        <v>786</v>
      </c>
      <c r="F702" t="s">
        <v>119</v>
      </c>
      <c r="G702" t="s">
        <v>14</v>
      </c>
      <c r="H702">
        <v>5</v>
      </c>
      <c r="I702">
        <v>770</v>
      </c>
      <c r="J702">
        <v>0</v>
      </c>
    </row>
    <row r="703" spans="1:10">
      <c r="A703" t="s">
        <v>933</v>
      </c>
      <c r="B703" t="s">
        <v>930</v>
      </c>
      <c r="C703">
        <v>26</v>
      </c>
      <c r="D703">
        <v>6</v>
      </c>
      <c r="E703" t="s">
        <v>786</v>
      </c>
      <c r="F703" t="s">
        <v>349</v>
      </c>
      <c r="G703" t="s">
        <v>221</v>
      </c>
      <c r="H703">
        <v>5</v>
      </c>
      <c r="I703">
        <v>400</v>
      </c>
      <c r="J703">
        <v>0</v>
      </c>
    </row>
    <row r="704" spans="1:10">
      <c r="A704" t="s">
        <v>934</v>
      </c>
      <c r="B704" t="s">
        <v>930</v>
      </c>
      <c r="C704">
        <v>26</v>
      </c>
      <c r="D704">
        <v>6</v>
      </c>
      <c r="E704" t="s">
        <v>786</v>
      </c>
      <c r="F704" t="s">
        <v>119</v>
      </c>
      <c r="G704" t="s">
        <v>14</v>
      </c>
      <c r="H704">
        <v>2</v>
      </c>
      <c r="I704">
        <v>770</v>
      </c>
      <c r="J704">
        <v>0</v>
      </c>
    </row>
    <row r="705" spans="1:10">
      <c r="A705" t="s">
        <v>935</v>
      </c>
      <c r="B705" t="s">
        <v>930</v>
      </c>
      <c r="C705">
        <v>26</v>
      </c>
      <c r="D705">
        <v>6</v>
      </c>
      <c r="E705" t="s">
        <v>786</v>
      </c>
      <c r="F705" t="s">
        <v>64</v>
      </c>
      <c r="G705" t="s">
        <v>14</v>
      </c>
      <c r="H705">
        <v>1</v>
      </c>
      <c r="I705">
        <v>2640</v>
      </c>
      <c r="J705">
        <v>0</v>
      </c>
    </row>
    <row r="706" spans="1:10">
      <c r="A706" t="s">
        <v>936</v>
      </c>
      <c r="B706" t="s">
        <v>937</v>
      </c>
      <c r="C706">
        <v>27</v>
      </c>
      <c r="D706">
        <v>7</v>
      </c>
      <c r="E706" t="s">
        <v>938</v>
      </c>
      <c r="F706" t="s">
        <v>369</v>
      </c>
      <c r="G706" t="s">
        <v>221</v>
      </c>
      <c r="H706">
        <v>1</v>
      </c>
      <c r="I706">
        <v>665</v>
      </c>
      <c r="J706">
        <v>5</v>
      </c>
    </row>
    <row r="707" spans="1:10">
      <c r="A707" t="s">
        <v>939</v>
      </c>
      <c r="B707" t="s">
        <v>937</v>
      </c>
      <c r="C707">
        <v>27</v>
      </c>
      <c r="D707">
        <v>7</v>
      </c>
      <c r="E707" t="s">
        <v>938</v>
      </c>
      <c r="F707" t="s">
        <v>51</v>
      </c>
      <c r="G707" t="s">
        <v>26</v>
      </c>
      <c r="H707">
        <v>1</v>
      </c>
      <c r="I707">
        <v>450</v>
      </c>
      <c r="J707">
        <v>10</v>
      </c>
    </row>
    <row r="708" spans="1:10">
      <c r="A708" t="s">
        <v>940</v>
      </c>
      <c r="B708" t="s">
        <v>941</v>
      </c>
      <c r="C708">
        <v>27</v>
      </c>
      <c r="D708">
        <v>7</v>
      </c>
      <c r="E708" t="s">
        <v>938</v>
      </c>
      <c r="F708" t="s">
        <v>349</v>
      </c>
      <c r="G708" t="s">
        <v>221</v>
      </c>
      <c r="H708">
        <v>1</v>
      </c>
      <c r="I708">
        <v>360</v>
      </c>
      <c r="J708">
        <v>10</v>
      </c>
    </row>
    <row r="709" spans="1:10">
      <c r="A709" t="s">
        <v>942</v>
      </c>
      <c r="B709" t="s">
        <v>941</v>
      </c>
      <c r="C709">
        <v>27</v>
      </c>
      <c r="D709">
        <v>7</v>
      </c>
      <c r="E709" t="s">
        <v>938</v>
      </c>
      <c r="F709" t="s">
        <v>45</v>
      </c>
      <c r="G709" t="s">
        <v>26</v>
      </c>
      <c r="H709">
        <v>1</v>
      </c>
      <c r="I709">
        <v>4500</v>
      </c>
      <c r="J709">
        <v>0</v>
      </c>
    </row>
    <row r="710" spans="1:10">
      <c r="A710" t="s">
        <v>943</v>
      </c>
      <c r="B710" t="s">
        <v>941</v>
      </c>
      <c r="C710">
        <v>27</v>
      </c>
      <c r="D710">
        <v>7</v>
      </c>
      <c r="E710" t="s">
        <v>938</v>
      </c>
      <c r="F710" t="s">
        <v>28</v>
      </c>
      <c r="G710" t="s">
        <v>26</v>
      </c>
      <c r="H710">
        <v>2</v>
      </c>
      <c r="I710">
        <v>1350</v>
      </c>
      <c r="J710">
        <v>10</v>
      </c>
    </row>
    <row r="711" spans="1:10">
      <c r="A711" t="s">
        <v>944</v>
      </c>
      <c r="B711" t="s">
        <v>941</v>
      </c>
      <c r="C711">
        <v>27</v>
      </c>
      <c r="D711">
        <v>7</v>
      </c>
      <c r="E711" t="s">
        <v>938</v>
      </c>
      <c r="F711" t="s">
        <v>115</v>
      </c>
      <c r="G711" t="s">
        <v>23</v>
      </c>
      <c r="H711">
        <v>2</v>
      </c>
      <c r="I711">
        <v>1080</v>
      </c>
      <c r="J711">
        <v>10</v>
      </c>
    </row>
    <row r="712" spans="1:10">
      <c r="A712" t="s">
        <v>945</v>
      </c>
      <c r="B712" t="s">
        <v>946</v>
      </c>
      <c r="C712">
        <v>27</v>
      </c>
      <c r="D712">
        <v>7</v>
      </c>
      <c r="E712" t="s">
        <v>938</v>
      </c>
      <c r="F712" t="s">
        <v>42</v>
      </c>
      <c r="G712" t="s">
        <v>23</v>
      </c>
      <c r="H712">
        <v>2</v>
      </c>
      <c r="I712">
        <v>600</v>
      </c>
      <c r="J712">
        <v>0</v>
      </c>
    </row>
    <row r="713" spans="1:10">
      <c r="A713" t="s">
        <v>947</v>
      </c>
      <c r="B713" t="s">
        <v>946</v>
      </c>
      <c r="C713">
        <v>27</v>
      </c>
      <c r="D713">
        <v>7</v>
      </c>
      <c r="E713" t="s">
        <v>938</v>
      </c>
      <c r="F713" t="s">
        <v>31</v>
      </c>
      <c r="G713" t="s">
        <v>23</v>
      </c>
      <c r="H713">
        <v>2</v>
      </c>
      <c r="I713">
        <v>1330</v>
      </c>
      <c r="J713">
        <v>5</v>
      </c>
    </row>
    <row r="714" spans="1:10">
      <c r="A714" t="s">
        <v>948</v>
      </c>
      <c r="B714" t="s">
        <v>946</v>
      </c>
      <c r="C714">
        <v>27</v>
      </c>
      <c r="D714">
        <v>7</v>
      </c>
      <c r="E714" t="s">
        <v>938</v>
      </c>
      <c r="F714" t="s">
        <v>187</v>
      </c>
      <c r="G714" t="s">
        <v>14</v>
      </c>
      <c r="H714">
        <v>3</v>
      </c>
      <c r="I714">
        <v>3960</v>
      </c>
      <c r="J714">
        <v>10</v>
      </c>
    </row>
    <row r="715" spans="1:10">
      <c r="A715" t="s">
        <v>949</v>
      </c>
      <c r="B715" t="s">
        <v>950</v>
      </c>
      <c r="C715">
        <v>27</v>
      </c>
      <c r="D715">
        <v>7</v>
      </c>
      <c r="E715" t="s">
        <v>938</v>
      </c>
      <c r="F715" t="s">
        <v>369</v>
      </c>
      <c r="G715" t="s">
        <v>221</v>
      </c>
      <c r="H715">
        <v>2</v>
      </c>
      <c r="I715">
        <v>595</v>
      </c>
      <c r="J715">
        <v>15</v>
      </c>
    </row>
    <row r="716" spans="1:10">
      <c r="A716" t="s">
        <v>951</v>
      </c>
      <c r="B716" t="s">
        <v>950</v>
      </c>
      <c r="C716">
        <v>27</v>
      </c>
      <c r="D716">
        <v>7</v>
      </c>
      <c r="E716" t="s">
        <v>938</v>
      </c>
      <c r="F716" t="s">
        <v>19</v>
      </c>
      <c r="G716" t="s">
        <v>20</v>
      </c>
      <c r="H716">
        <v>5</v>
      </c>
      <c r="I716">
        <v>1620</v>
      </c>
      <c r="J716">
        <v>0</v>
      </c>
    </row>
    <row r="717" spans="1:10">
      <c r="A717" t="s">
        <v>952</v>
      </c>
      <c r="B717" t="s">
        <v>953</v>
      </c>
      <c r="C717">
        <v>27</v>
      </c>
      <c r="D717">
        <v>7</v>
      </c>
      <c r="E717" t="s">
        <v>938</v>
      </c>
      <c r="F717" t="s">
        <v>42</v>
      </c>
      <c r="G717" t="s">
        <v>23</v>
      </c>
      <c r="H717">
        <v>3</v>
      </c>
      <c r="I717">
        <v>600</v>
      </c>
      <c r="J717">
        <v>0</v>
      </c>
    </row>
    <row r="718" spans="1:10">
      <c r="A718" t="s">
        <v>954</v>
      </c>
      <c r="B718" t="s">
        <v>953</v>
      </c>
      <c r="C718">
        <v>27</v>
      </c>
      <c r="D718">
        <v>7</v>
      </c>
      <c r="E718" t="s">
        <v>938</v>
      </c>
      <c r="F718" t="s">
        <v>45</v>
      </c>
      <c r="G718" t="s">
        <v>26</v>
      </c>
      <c r="H718">
        <v>5</v>
      </c>
      <c r="I718">
        <v>4500</v>
      </c>
      <c r="J718">
        <v>0</v>
      </c>
    </row>
    <row r="719" spans="1:10">
      <c r="A719" t="s">
        <v>955</v>
      </c>
      <c r="B719" t="s">
        <v>953</v>
      </c>
      <c r="C719">
        <v>27</v>
      </c>
      <c r="D719">
        <v>7</v>
      </c>
      <c r="E719" t="s">
        <v>938</v>
      </c>
      <c r="F719" t="s">
        <v>22</v>
      </c>
      <c r="G719" t="s">
        <v>23</v>
      </c>
      <c r="H719">
        <v>3</v>
      </c>
      <c r="I719">
        <v>500</v>
      </c>
      <c r="J719">
        <v>0</v>
      </c>
    </row>
    <row r="720" spans="1:10">
      <c r="A720" t="s">
        <v>956</v>
      </c>
      <c r="B720" t="s">
        <v>957</v>
      </c>
      <c r="C720">
        <v>27</v>
      </c>
      <c r="D720">
        <v>7</v>
      </c>
      <c r="E720" t="s">
        <v>938</v>
      </c>
      <c r="F720" t="s">
        <v>13</v>
      </c>
      <c r="G720" t="s">
        <v>14</v>
      </c>
      <c r="H720">
        <v>1</v>
      </c>
      <c r="I720">
        <v>480</v>
      </c>
      <c r="J720">
        <v>0</v>
      </c>
    </row>
    <row r="721" spans="1:10">
      <c r="A721" t="s">
        <v>958</v>
      </c>
      <c r="B721" t="s">
        <v>957</v>
      </c>
      <c r="C721">
        <v>27</v>
      </c>
      <c r="D721">
        <v>7</v>
      </c>
      <c r="E721" t="s">
        <v>938</v>
      </c>
      <c r="F721" t="s">
        <v>97</v>
      </c>
      <c r="G721" t="s">
        <v>20</v>
      </c>
      <c r="H721">
        <v>1</v>
      </c>
      <c r="I721">
        <v>1980</v>
      </c>
      <c r="J721">
        <v>0</v>
      </c>
    </row>
    <row r="722" spans="1:10">
      <c r="A722" t="s">
        <v>959</v>
      </c>
      <c r="B722" t="s">
        <v>960</v>
      </c>
      <c r="C722">
        <v>27</v>
      </c>
      <c r="D722">
        <v>7</v>
      </c>
      <c r="E722" t="s">
        <v>938</v>
      </c>
      <c r="F722" t="s">
        <v>97</v>
      </c>
      <c r="G722" t="s">
        <v>20</v>
      </c>
      <c r="H722">
        <v>2</v>
      </c>
      <c r="I722">
        <v>1881</v>
      </c>
      <c r="J722">
        <v>5</v>
      </c>
    </row>
    <row r="723" spans="1:10">
      <c r="A723" t="s">
        <v>961</v>
      </c>
      <c r="B723" t="s">
        <v>960</v>
      </c>
      <c r="C723">
        <v>27</v>
      </c>
      <c r="D723">
        <v>7</v>
      </c>
      <c r="E723" t="s">
        <v>938</v>
      </c>
      <c r="F723" t="s">
        <v>22</v>
      </c>
      <c r="G723" t="s">
        <v>23</v>
      </c>
      <c r="H723">
        <v>1</v>
      </c>
      <c r="I723">
        <v>450</v>
      </c>
      <c r="J723">
        <v>10</v>
      </c>
    </row>
    <row r="724" spans="1:10">
      <c r="A724" t="s">
        <v>962</v>
      </c>
      <c r="B724" t="s">
        <v>960</v>
      </c>
      <c r="C724">
        <v>27</v>
      </c>
      <c r="D724">
        <v>7</v>
      </c>
      <c r="E724" t="s">
        <v>938</v>
      </c>
      <c r="F724" t="s">
        <v>19</v>
      </c>
      <c r="G724" t="s">
        <v>20</v>
      </c>
      <c r="H724">
        <v>4</v>
      </c>
      <c r="I724">
        <v>1620</v>
      </c>
      <c r="J724">
        <v>0</v>
      </c>
    </row>
    <row r="725" spans="1:10">
      <c r="A725" t="s">
        <v>963</v>
      </c>
      <c r="B725" t="s">
        <v>964</v>
      </c>
      <c r="C725">
        <v>28</v>
      </c>
      <c r="D725">
        <v>7</v>
      </c>
      <c r="E725" t="s">
        <v>938</v>
      </c>
      <c r="F725" t="s">
        <v>66</v>
      </c>
      <c r="G725" t="s">
        <v>17</v>
      </c>
      <c r="H725">
        <v>2</v>
      </c>
      <c r="I725">
        <v>1249.5</v>
      </c>
      <c r="J725">
        <v>15</v>
      </c>
    </row>
    <row r="726" spans="1:10">
      <c r="A726" t="s">
        <v>965</v>
      </c>
      <c r="B726" t="s">
        <v>964</v>
      </c>
      <c r="C726">
        <v>28</v>
      </c>
      <c r="D726">
        <v>7</v>
      </c>
      <c r="E726" t="s">
        <v>938</v>
      </c>
      <c r="F726" t="s">
        <v>97</v>
      </c>
      <c r="G726" t="s">
        <v>20</v>
      </c>
      <c r="H726">
        <v>3</v>
      </c>
      <c r="I726">
        <v>1881</v>
      </c>
      <c r="J726">
        <v>5</v>
      </c>
    </row>
    <row r="727" spans="1:10">
      <c r="A727" t="s">
        <v>966</v>
      </c>
      <c r="B727" t="s">
        <v>964</v>
      </c>
      <c r="C727">
        <v>28</v>
      </c>
      <c r="D727">
        <v>7</v>
      </c>
      <c r="E727" t="s">
        <v>938</v>
      </c>
      <c r="F727" t="s">
        <v>51</v>
      </c>
      <c r="G727" t="s">
        <v>26</v>
      </c>
      <c r="H727">
        <v>1</v>
      </c>
      <c r="I727">
        <v>425</v>
      </c>
      <c r="J727">
        <v>15</v>
      </c>
    </row>
    <row r="728" spans="1:10">
      <c r="A728" t="s">
        <v>967</v>
      </c>
      <c r="B728" t="s">
        <v>968</v>
      </c>
      <c r="C728">
        <v>28</v>
      </c>
      <c r="D728">
        <v>7</v>
      </c>
      <c r="E728" t="s">
        <v>938</v>
      </c>
      <c r="F728" t="s">
        <v>19</v>
      </c>
      <c r="G728" t="s">
        <v>20</v>
      </c>
      <c r="H728">
        <v>5</v>
      </c>
      <c r="I728">
        <v>1539</v>
      </c>
      <c r="J728">
        <v>5</v>
      </c>
    </row>
    <row r="729" spans="1:10">
      <c r="A729" t="s">
        <v>969</v>
      </c>
      <c r="B729" t="s">
        <v>968</v>
      </c>
      <c r="C729">
        <v>28</v>
      </c>
      <c r="D729">
        <v>7</v>
      </c>
      <c r="E729" t="s">
        <v>938</v>
      </c>
      <c r="F729" t="s">
        <v>187</v>
      </c>
      <c r="G729" t="s">
        <v>14</v>
      </c>
      <c r="H729">
        <v>2</v>
      </c>
      <c r="I729">
        <v>4180</v>
      </c>
      <c r="J729">
        <v>5</v>
      </c>
    </row>
    <row r="730" spans="1:10">
      <c r="A730" t="s">
        <v>970</v>
      </c>
      <c r="B730" t="s">
        <v>968</v>
      </c>
      <c r="C730">
        <v>28</v>
      </c>
      <c r="D730">
        <v>7</v>
      </c>
      <c r="E730" t="s">
        <v>938</v>
      </c>
      <c r="F730" t="s">
        <v>51</v>
      </c>
      <c r="G730" t="s">
        <v>26</v>
      </c>
      <c r="H730">
        <v>5</v>
      </c>
      <c r="I730">
        <v>425</v>
      </c>
      <c r="J730">
        <v>15</v>
      </c>
    </row>
    <row r="731" spans="1:10">
      <c r="A731" t="s">
        <v>971</v>
      </c>
      <c r="B731" t="s">
        <v>968</v>
      </c>
      <c r="C731">
        <v>28</v>
      </c>
      <c r="D731">
        <v>7</v>
      </c>
      <c r="E731" t="s">
        <v>938</v>
      </c>
      <c r="F731" t="s">
        <v>31</v>
      </c>
      <c r="G731" t="s">
        <v>23</v>
      </c>
      <c r="H731">
        <v>3</v>
      </c>
      <c r="I731">
        <v>1190</v>
      </c>
      <c r="J731">
        <v>15</v>
      </c>
    </row>
    <row r="732" spans="1:10">
      <c r="A732" t="s">
        <v>972</v>
      </c>
      <c r="B732" t="s">
        <v>973</v>
      </c>
      <c r="C732">
        <v>28</v>
      </c>
      <c r="D732">
        <v>7</v>
      </c>
      <c r="E732" t="s">
        <v>938</v>
      </c>
      <c r="F732" t="s">
        <v>25</v>
      </c>
      <c r="G732" t="s">
        <v>26</v>
      </c>
      <c r="H732">
        <v>2</v>
      </c>
      <c r="I732">
        <v>850</v>
      </c>
      <c r="J732">
        <v>15</v>
      </c>
    </row>
    <row r="733" spans="1:10">
      <c r="A733" t="s">
        <v>974</v>
      </c>
      <c r="B733" t="s">
        <v>973</v>
      </c>
      <c r="C733">
        <v>28</v>
      </c>
      <c r="D733">
        <v>7</v>
      </c>
      <c r="E733" t="s">
        <v>938</v>
      </c>
      <c r="F733" t="s">
        <v>45</v>
      </c>
      <c r="G733" t="s">
        <v>26</v>
      </c>
      <c r="H733">
        <v>2</v>
      </c>
      <c r="I733">
        <v>4500</v>
      </c>
      <c r="J733">
        <v>0</v>
      </c>
    </row>
    <row r="734" spans="1:10">
      <c r="A734" t="s">
        <v>975</v>
      </c>
      <c r="B734" t="s">
        <v>973</v>
      </c>
      <c r="C734">
        <v>28</v>
      </c>
      <c r="D734">
        <v>7</v>
      </c>
      <c r="E734" t="s">
        <v>938</v>
      </c>
      <c r="F734" t="s">
        <v>369</v>
      </c>
      <c r="G734" t="s">
        <v>221</v>
      </c>
      <c r="H734">
        <v>2</v>
      </c>
      <c r="I734">
        <v>700</v>
      </c>
      <c r="J734">
        <v>0</v>
      </c>
    </row>
    <row r="735" spans="1:10">
      <c r="A735" t="s">
        <v>976</v>
      </c>
      <c r="B735" t="s">
        <v>973</v>
      </c>
      <c r="C735">
        <v>28</v>
      </c>
      <c r="D735">
        <v>7</v>
      </c>
      <c r="E735" t="s">
        <v>938</v>
      </c>
      <c r="F735" t="s">
        <v>19</v>
      </c>
      <c r="G735" t="s">
        <v>20</v>
      </c>
      <c r="H735">
        <v>3</v>
      </c>
      <c r="I735">
        <v>1539</v>
      </c>
      <c r="J735">
        <v>5</v>
      </c>
    </row>
    <row r="736" spans="1:10">
      <c r="A736" t="s">
        <v>977</v>
      </c>
      <c r="B736" t="s">
        <v>978</v>
      </c>
      <c r="C736">
        <v>28</v>
      </c>
      <c r="D736">
        <v>7</v>
      </c>
      <c r="E736" t="s">
        <v>938</v>
      </c>
      <c r="F736" t="s">
        <v>82</v>
      </c>
      <c r="G736" t="s">
        <v>20</v>
      </c>
      <c r="H736">
        <v>1</v>
      </c>
      <c r="I736">
        <v>765</v>
      </c>
      <c r="J736">
        <v>15</v>
      </c>
    </row>
    <row r="737" spans="1:10">
      <c r="A737" t="s">
        <v>979</v>
      </c>
      <c r="B737" t="s">
        <v>980</v>
      </c>
      <c r="C737">
        <v>28</v>
      </c>
      <c r="D737">
        <v>7</v>
      </c>
      <c r="E737" t="s">
        <v>938</v>
      </c>
      <c r="F737" t="s">
        <v>187</v>
      </c>
      <c r="G737" t="s">
        <v>14</v>
      </c>
      <c r="H737">
        <v>4</v>
      </c>
      <c r="I737">
        <v>3740</v>
      </c>
      <c r="J737">
        <v>15</v>
      </c>
    </row>
    <row r="738" spans="1:10">
      <c r="A738" t="s">
        <v>981</v>
      </c>
      <c r="B738" t="s">
        <v>980</v>
      </c>
      <c r="C738">
        <v>28</v>
      </c>
      <c r="D738">
        <v>7</v>
      </c>
      <c r="E738" t="s">
        <v>938</v>
      </c>
      <c r="F738" t="s">
        <v>364</v>
      </c>
      <c r="G738" t="s">
        <v>221</v>
      </c>
      <c r="H738">
        <v>2</v>
      </c>
      <c r="I738">
        <v>864</v>
      </c>
      <c r="J738">
        <v>10</v>
      </c>
    </row>
    <row r="739" spans="1:10">
      <c r="A739" t="s">
        <v>982</v>
      </c>
      <c r="B739" t="s">
        <v>980</v>
      </c>
      <c r="C739">
        <v>28</v>
      </c>
      <c r="D739">
        <v>7</v>
      </c>
      <c r="E739" t="s">
        <v>938</v>
      </c>
      <c r="F739" t="s">
        <v>37</v>
      </c>
      <c r="G739" t="s">
        <v>20</v>
      </c>
      <c r="H739">
        <v>4</v>
      </c>
      <c r="I739">
        <v>2223</v>
      </c>
      <c r="J739">
        <v>5</v>
      </c>
    </row>
    <row r="740" spans="1:10">
      <c r="A740" t="s">
        <v>983</v>
      </c>
      <c r="B740" t="s">
        <v>984</v>
      </c>
      <c r="C740">
        <v>28</v>
      </c>
      <c r="D740">
        <v>7</v>
      </c>
      <c r="E740" t="s">
        <v>938</v>
      </c>
      <c r="F740" t="s">
        <v>31</v>
      </c>
      <c r="G740" t="s">
        <v>23</v>
      </c>
      <c r="H740">
        <v>4</v>
      </c>
      <c r="I740">
        <v>1260</v>
      </c>
      <c r="J740">
        <v>10</v>
      </c>
    </row>
    <row r="741" spans="1:10">
      <c r="A741" t="s">
        <v>985</v>
      </c>
      <c r="B741" t="s">
        <v>984</v>
      </c>
      <c r="C741">
        <v>28</v>
      </c>
      <c r="D741">
        <v>7</v>
      </c>
      <c r="E741" t="s">
        <v>938</v>
      </c>
      <c r="F741" t="s">
        <v>22</v>
      </c>
      <c r="G741" t="s">
        <v>23</v>
      </c>
      <c r="H741">
        <v>2</v>
      </c>
      <c r="I741">
        <v>500</v>
      </c>
      <c r="J741">
        <v>0</v>
      </c>
    </row>
    <row r="742" spans="1:10">
      <c r="A742" t="s">
        <v>986</v>
      </c>
      <c r="B742" t="s">
        <v>984</v>
      </c>
      <c r="C742">
        <v>28</v>
      </c>
      <c r="D742">
        <v>7</v>
      </c>
      <c r="E742" t="s">
        <v>938</v>
      </c>
      <c r="F742" t="s">
        <v>39</v>
      </c>
      <c r="G742" t="s">
        <v>14</v>
      </c>
      <c r="H742">
        <v>3</v>
      </c>
      <c r="I742">
        <v>880</v>
      </c>
      <c r="J742">
        <v>0</v>
      </c>
    </row>
    <row r="743" spans="1:10">
      <c r="A743" t="s">
        <v>987</v>
      </c>
      <c r="B743" t="s">
        <v>988</v>
      </c>
      <c r="C743">
        <v>28</v>
      </c>
      <c r="D743">
        <v>7</v>
      </c>
      <c r="E743" t="s">
        <v>938</v>
      </c>
      <c r="F743" t="s">
        <v>364</v>
      </c>
      <c r="G743" t="s">
        <v>221</v>
      </c>
      <c r="H743">
        <v>4</v>
      </c>
      <c r="I743">
        <v>960</v>
      </c>
      <c r="J743">
        <v>0</v>
      </c>
    </row>
    <row r="744" spans="1:10">
      <c r="A744" t="s">
        <v>989</v>
      </c>
      <c r="B744" t="s">
        <v>990</v>
      </c>
      <c r="C744">
        <v>29</v>
      </c>
      <c r="D744">
        <v>7</v>
      </c>
      <c r="E744" t="s">
        <v>938</v>
      </c>
      <c r="F744" t="s">
        <v>16</v>
      </c>
      <c r="G744" t="s">
        <v>17</v>
      </c>
      <c r="H744">
        <v>1</v>
      </c>
      <c r="I744">
        <v>520</v>
      </c>
      <c r="J744">
        <v>0</v>
      </c>
    </row>
    <row r="745" spans="1:10">
      <c r="A745" t="s">
        <v>991</v>
      </c>
      <c r="B745" t="s">
        <v>990</v>
      </c>
      <c r="C745">
        <v>29</v>
      </c>
      <c r="D745">
        <v>7</v>
      </c>
      <c r="E745" t="s">
        <v>938</v>
      </c>
      <c r="F745" t="s">
        <v>25</v>
      </c>
      <c r="G745" t="s">
        <v>26</v>
      </c>
      <c r="H745">
        <v>2</v>
      </c>
      <c r="I745">
        <v>1000</v>
      </c>
      <c r="J745">
        <v>0</v>
      </c>
    </row>
    <row r="746" spans="1:10">
      <c r="A746" t="s">
        <v>992</v>
      </c>
      <c r="B746" t="s">
        <v>990</v>
      </c>
      <c r="C746">
        <v>29</v>
      </c>
      <c r="D746">
        <v>7</v>
      </c>
      <c r="E746" t="s">
        <v>938</v>
      </c>
      <c r="F746" t="s">
        <v>25</v>
      </c>
      <c r="G746" t="s">
        <v>26</v>
      </c>
      <c r="H746">
        <v>3</v>
      </c>
      <c r="I746">
        <v>850</v>
      </c>
      <c r="J746">
        <v>15</v>
      </c>
    </row>
    <row r="747" spans="1:10">
      <c r="A747" t="s">
        <v>993</v>
      </c>
      <c r="B747" t="s">
        <v>990</v>
      </c>
      <c r="C747">
        <v>29</v>
      </c>
      <c r="D747">
        <v>7</v>
      </c>
      <c r="E747" t="s">
        <v>938</v>
      </c>
      <c r="F747" t="s">
        <v>22</v>
      </c>
      <c r="G747" t="s">
        <v>23</v>
      </c>
      <c r="H747">
        <v>4</v>
      </c>
      <c r="I747">
        <v>500</v>
      </c>
      <c r="J747">
        <v>0</v>
      </c>
    </row>
    <row r="748" spans="1:10">
      <c r="A748" t="s">
        <v>994</v>
      </c>
      <c r="B748" t="s">
        <v>995</v>
      </c>
      <c r="C748">
        <v>29</v>
      </c>
      <c r="D748">
        <v>7</v>
      </c>
      <c r="E748" t="s">
        <v>938</v>
      </c>
      <c r="F748" t="s">
        <v>64</v>
      </c>
      <c r="G748" t="s">
        <v>14</v>
      </c>
      <c r="H748">
        <v>5</v>
      </c>
      <c r="I748">
        <v>2376</v>
      </c>
      <c r="J748">
        <v>10</v>
      </c>
    </row>
    <row r="749" spans="1:10">
      <c r="A749" t="s">
        <v>996</v>
      </c>
      <c r="B749" t="s">
        <v>995</v>
      </c>
      <c r="C749">
        <v>29</v>
      </c>
      <c r="D749">
        <v>7</v>
      </c>
      <c r="E749" t="s">
        <v>938</v>
      </c>
      <c r="F749" t="s">
        <v>97</v>
      </c>
      <c r="G749" t="s">
        <v>20</v>
      </c>
      <c r="H749">
        <v>3</v>
      </c>
      <c r="I749">
        <v>1881</v>
      </c>
      <c r="J749">
        <v>5</v>
      </c>
    </row>
    <row r="750" spans="1:10">
      <c r="A750" t="s">
        <v>997</v>
      </c>
      <c r="B750" t="s">
        <v>998</v>
      </c>
      <c r="C750">
        <v>29</v>
      </c>
      <c r="D750">
        <v>7</v>
      </c>
      <c r="E750" t="s">
        <v>938</v>
      </c>
      <c r="F750" t="s">
        <v>220</v>
      </c>
      <c r="G750" t="s">
        <v>221</v>
      </c>
      <c r="H750">
        <v>4</v>
      </c>
      <c r="I750">
        <v>510</v>
      </c>
      <c r="J750">
        <v>15</v>
      </c>
    </row>
    <row r="751" spans="1:10">
      <c r="A751" t="s">
        <v>999</v>
      </c>
      <c r="B751" t="s">
        <v>998</v>
      </c>
      <c r="C751">
        <v>29</v>
      </c>
      <c r="D751">
        <v>7</v>
      </c>
      <c r="E751" t="s">
        <v>938</v>
      </c>
      <c r="F751" t="s">
        <v>364</v>
      </c>
      <c r="G751" t="s">
        <v>221</v>
      </c>
      <c r="H751">
        <v>2</v>
      </c>
      <c r="I751">
        <v>960</v>
      </c>
      <c r="J751">
        <v>0</v>
      </c>
    </row>
    <row r="752" spans="1:10">
      <c r="A752" t="s">
        <v>1000</v>
      </c>
      <c r="B752" t="s">
        <v>1001</v>
      </c>
      <c r="C752">
        <v>29</v>
      </c>
      <c r="D752">
        <v>7</v>
      </c>
      <c r="E752" t="s">
        <v>938</v>
      </c>
      <c r="F752" t="s">
        <v>115</v>
      </c>
      <c r="G752" t="s">
        <v>23</v>
      </c>
      <c r="H752">
        <v>5</v>
      </c>
      <c r="I752">
        <v>1020</v>
      </c>
      <c r="J752">
        <v>15</v>
      </c>
    </row>
    <row r="753" spans="1:10">
      <c r="A753" t="s">
        <v>1002</v>
      </c>
      <c r="B753" t="s">
        <v>1001</v>
      </c>
      <c r="C753">
        <v>29</v>
      </c>
      <c r="D753">
        <v>7</v>
      </c>
      <c r="E753" t="s">
        <v>938</v>
      </c>
      <c r="F753" t="s">
        <v>31</v>
      </c>
      <c r="G753" t="s">
        <v>23</v>
      </c>
      <c r="H753">
        <v>1</v>
      </c>
      <c r="I753">
        <v>1400</v>
      </c>
      <c r="J753">
        <v>0</v>
      </c>
    </row>
    <row r="754" spans="1:10">
      <c r="A754" t="s">
        <v>1003</v>
      </c>
      <c r="B754" t="s">
        <v>1004</v>
      </c>
      <c r="C754">
        <v>29</v>
      </c>
      <c r="D754">
        <v>7</v>
      </c>
      <c r="E754" t="s">
        <v>938</v>
      </c>
      <c r="F754" t="s">
        <v>45</v>
      </c>
      <c r="G754" t="s">
        <v>26</v>
      </c>
      <c r="H754">
        <v>4</v>
      </c>
      <c r="I754">
        <v>4275</v>
      </c>
      <c r="J754">
        <v>5</v>
      </c>
    </row>
    <row r="755" spans="1:10">
      <c r="A755" t="s">
        <v>1005</v>
      </c>
      <c r="B755" t="s">
        <v>1004</v>
      </c>
      <c r="C755">
        <v>29</v>
      </c>
      <c r="D755">
        <v>7</v>
      </c>
      <c r="E755" t="s">
        <v>938</v>
      </c>
      <c r="F755" t="s">
        <v>82</v>
      </c>
      <c r="G755" t="s">
        <v>20</v>
      </c>
      <c r="H755">
        <v>1</v>
      </c>
      <c r="I755">
        <v>765</v>
      </c>
      <c r="J755">
        <v>15</v>
      </c>
    </row>
    <row r="756" spans="1:10">
      <c r="A756" t="s">
        <v>1006</v>
      </c>
      <c r="B756" t="s">
        <v>1004</v>
      </c>
      <c r="C756">
        <v>29</v>
      </c>
      <c r="D756">
        <v>7</v>
      </c>
      <c r="E756" t="s">
        <v>938</v>
      </c>
      <c r="F756" t="s">
        <v>220</v>
      </c>
      <c r="G756" t="s">
        <v>221</v>
      </c>
      <c r="H756">
        <v>2</v>
      </c>
      <c r="I756">
        <v>600</v>
      </c>
      <c r="J756">
        <v>0</v>
      </c>
    </row>
    <row r="757" spans="1:10">
      <c r="A757" t="s">
        <v>1007</v>
      </c>
      <c r="B757" t="s">
        <v>1004</v>
      </c>
      <c r="C757">
        <v>29</v>
      </c>
      <c r="D757">
        <v>7</v>
      </c>
      <c r="E757" t="s">
        <v>938</v>
      </c>
      <c r="F757" t="s">
        <v>68</v>
      </c>
      <c r="G757" t="s">
        <v>26</v>
      </c>
      <c r="H757">
        <v>2</v>
      </c>
      <c r="I757">
        <v>380</v>
      </c>
      <c r="J757">
        <v>0</v>
      </c>
    </row>
    <row r="758" spans="1:10">
      <c r="A758" t="s">
        <v>1008</v>
      </c>
      <c r="B758" t="s">
        <v>1004</v>
      </c>
      <c r="C758">
        <v>29</v>
      </c>
      <c r="D758">
        <v>7</v>
      </c>
      <c r="E758" t="s">
        <v>938</v>
      </c>
      <c r="F758" t="s">
        <v>35</v>
      </c>
      <c r="G758" t="s">
        <v>17</v>
      </c>
      <c r="H758">
        <v>1</v>
      </c>
      <c r="I758">
        <v>3150</v>
      </c>
      <c r="J758">
        <v>0</v>
      </c>
    </row>
    <row r="759" spans="1:10">
      <c r="A759" t="s">
        <v>1009</v>
      </c>
      <c r="B759" t="s">
        <v>1004</v>
      </c>
      <c r="C759">
        <v>29</v>
      </c>
      <c r="D759">
        <v>7</v>
      </c>
      <c r="E759" t="s">
        <v>938</v>
      </c>
      <c r="F759" t="s">
        <v>80</v>
      </c>
      <c r="G759" t="s">
        <v>14</v>
      </c>
      <c r="H759">
        <v>1</v>
      </c>
      <c r="I759">
        <v>340</v>
      </c>
      <c r="J759">
        <v>15</v>
      </c>
    </row>
    <row r="760" spans="1:10">
      <c r="A760" t="s">
        <v>1010</v>
      </c>
      <c r="B760" t="s">
        <v>1011</v>
      </c>
      <c r="C760">
        <v>30</v>
      </c>
      <c r="D760">
        <v>7</v>
      </c>
      <c r="E760" t="s">
        <v>938</v>
      </c>
      <c r="F760" t="s">
        <v>13</v>
      </c>
      <c r="G760" t="s">
        <v>14</v>
      </c>
      <c r="H760">
        <v>3</v>
      </c>
      <c r="I760">
        <v>432</v>
      </c>
      <c r="J760">
        <v>10</v>
      </c>
    </row>
    <row r="761" spans="1:10">
      <c r="A761" t="s">
        <v>1012</v>
      </c>
      <c r="B761" t="s">
        <v>1011</v>
      </c>
      <c r="C761">
        <v>30</v>
      </c>
      <c r="D761">
        <v>7</v>
      </c>
      <c r="E761" t="s">
        <v>938</v>
      </c>
      <c r="F761" t="s">
        <v>369</v>
      </c>
      <c r="G761" t="s">
        <v>221</v>
      </c>
      <c r="H761">
        <v>3</v>
      </c>
      <c r="I761">
        <v>700</v>
      </c>
      <c r="J761">
        <v>0</v>
      </c>
    </row>
    <row r="762" spans="1:10">
      <c r="A762" t="s">
        <v>1013</v>
      </c>
      <c r="B762" t="s">
        <v>1014</v>
      </c>
      <c r="C762">
        <v>30</v>
      </c>
      <c r="D762">
        <v>7</v>
      </c>
      <c r="E762" t="s">
        <v>938</v>
      </c>
      <c r="F762" t="s">
        <v>51</v>
      </c>
      <c r="G762" t="s">
        <v>26</v>
      </c>
      <c r="H762">
        <v>4</v>
      </c>
      <c r="I762">
        <v>500</v>
      </c>
      <c r="J762">
        <v>0</v>
      </c>
    </row>
    <row r="763" spans="1:10">
      <c r="A763" t="s">
        <v>1015</v>
      </c>
      <c r="B763" t="s">
        <v>1014</v>
      </c>
      <c r="C763">
        <v>30</v>
      </c>
      <c r="D763">
        <v>7</v>
      </c>
      <c r="E763" t="s">
        <v>938</v>
      </c>
      <c r="F763" t="s">
        <v>119</v>
      </c>
      <c r="G763" t="s">
        <v>14</v>
      </c>
      <c r="H763">
        <v>2</v>
      </c>
      <c r="I763">
        <v>731.5</v>
      </c>
      <c r="J763">
        <v>5</v>
      </c>
    </row>
    <row r="764" spans="1:10">
      <c r="A764" t="s">
        <v>1016</v>
      </c>
      <c r="B764" t="s">
        <v>1014</v>
      </c>
      <c r="C764">
        <v>30</v>
      </c>
      <c r="D764">
        <v>7</v>
      </c>
      <c r="E764" t="s">
        <v>938</v>
      </c>
      <c r="F764" t="s">
        <v>68</v>
      </c>
      <c r="G764" t="s">
        <v>26</v>
      </c>
      <c r="H764">
        <v>2</v>
      </c>
      <c r="I764">
        <v>380</v>
      </c>
      <c r="J764">
        <v>0</v>
      </c>
    </row>
    <row r="765" spans="1:10">
      <c r="A765" t="s">
        <v>1017</v>
      </c>
      <c r="B765" t="s">
        <v>1014</v>
      </c>
      <c r="C765">
        <v>30</v>
      </c>
      <c r="D765">
        <v>7</v>
      </c>
      <c r="E765" t="s">
        <v>938</v>
      </c>
      <c r="F765" t="s">
        <v>187</v>
      </c>
      <c r="G765" t="s">
        <v>14</v>
      </c>
      <c r="H765">
        <v>1</v>
      </c>
      <c r="I765">
        <v>4400</v>
      </c>
      <c r="J765">
        <v>0</v>
      </c>
    </row>
    <row r="766" spans="1:10">
      <c r="A766" t="s">
        <v>1018</v>
      </c>
      <c r="B766" t="s">
        <v>1019</v>
      </c>
      <c r="C766">
        <v>30</v>
      </c>
      <c r="D766">
        <v>7</v>
      </c>
      <c r="E766" t="s">
        <v>938</v>
      </c>
      <c r="F766" t="s">
        <v>187</v>
      </c>
      <c r="G766" t="s">
        <v>14</v>
      </c>
      <c r="H766">
        <v>5</v>
      </c>
      <c r="I766">
        <v>4180</v>
      </c>
      <c r="J766">
        <v>5</v>
      </c>
    </row>
    <row r="767" spans="1:10">
      <c r="A767" t="s">
        <v>1020</v>
      </c>
      <c r="B767" t="s">
        <v>1021</v>
      </c>
      <c r="C767">
        <v>30</v>
      </c>
      <c r="D767">
        <v>7</v>
      </c>
      <c r="E767" t="s">
        <v>938</v>
      </c>
      <c r="F767" t="s">
        <v>115</v>
      </c>
      <c r="G767" t="s">
        <v>23</v>
      </c>
      <c r="H767">
        <v>4</v>
      </c>
      <c r="I767">
        <v>1200</v>
      </c>
      <c r="J767">
        <v>0</v>
      </c>
    </row>
    <row r="768" spans="1:10">
      <c r="A768" t="s">
        <v>1022</v>
      </c>
      <c r="B768" t="s">
        <v>1021</v>
      </c>
      <c r="C768">
        <v>30</v>
      </c>
      <c r="D768">
        <v>7</v>
      </c>
      <c r="E768" t="s">
        <v>938</v>
      </c>
      <c r="F768" t="s">
        <v>220</v>
      </c>
      <c r="G768" t="s">
        <v>221</v>
      </c>
      <c r="H768">
        <v>2</v>
      </c>
      <c r="I768">
        <v>510</v>
      </c>
      <c r="J768">
        <v>15</v>
      </c>
    </row>
    <row r="769" spans="1:10">
      <c r="A769" t="s">
        <v>1023</v>
      </c>
      <c r="B769" t="s">
        <v>1021</v>
      </c>
      <c r="C769">
        <v>30</v>
      </c>
      <c r="D769">
        <v>7</v>
      </c>
      <c r="E769" t="s">
        <v>938</v>
      </c>
      <c r="F769" t="s">
        <v>51</v>
      </c>
      <c r="G769" t="s">
        <v>26</v>
      </c>
      <c r="H769">
        <v>1</v>
      </c>
      <c r="I769">
        <v>425</v>
      </c>
      <c r="J769">
        <v>15</v>
      </c>
    </row>
    <row r="770" spans="1:10">
      <c r="A770" t="s">
        <v>1024</v>
      </c>
      <c r="B770" t="s">
        <v>1021</v>
      </c>
      <c r="C770">
        <v>30</v>
      </c>
      <c r="D770">
        <v>7</v>
      </c>
      <c r="E770" t="s">
        <v>938</v>
      </c>
      <c r="F770" t="s">
        <v>28</v>
      </c>
      <c r="G770" t="s">
        <v>26</v>
      </c>
      <c r="H770">
        <v>4</v>
      </c>
      <c r="I770">
        <v>1275</v>
      </c>
      <c r="J770">
        <v>15</v>
      </c>
    </row>
    <row r="771" spans="1:10">
      <c r="A771" t="s">
        <v>1025</v>
      </c>
      <c r="B771" t="s">
        <v>1026</v>
      </c>
      <c r="C771">
        <v>30</v>
      </c>
      <c r="D771">
        <v>7</v>
      </c>
      <c r="E771" t="s">
        <v>938</v>
      </c>
      <c r="F771" t="s">
        <v>37</v>
      </c>
      <c r="G771" t="s">
        <v>20</v>
      </c>
      <c r="H771">
        <v>2</v>
      </c>
      <c r="I771">
        <v>2340</v>
      </c>
      <c r="J771">
        <v>0</v>
      </c>
    </row>
    <row r="772" spans="1:10">
      <c r="A772" t="s">
        <v>1027</v>
      </c>
      <c r="B772" t="s">
        <v>1026</v>
      </c>
      <c r="C772">
        <v>30</v>
      </c>
      <c r="D772">
        <v>7</v>
      </c>
      <c r="E772" t="s">
        <v>938</v>
      </c>
      <c r="F772" t="s">
        <v>82</v>
      </c>
      <c r="G772" t="s">
        <v>20</v>
      </c>
      <c r="H772">
        <v>4</v>
      </c>
      <c r="I772">
        <v>810</v>
      </c>
      <c r="J772">
        <v>10</v>
      </c>
    </row>
    <row r="773" spans="1:10">
      <c r="A773" t="s">
        <v>1028</v>
      </c>
      <c r="B773" t="s">
        <v>1026</v>
      </c>
      <c r="C773">
        <v>30</v>
      </c>
      <c r="D773">
        <v>7</v>
      </c>
      <c r="E773" t="s">
        <v>938</v>
      </c>
      <c r="F773" t="s">
        <v>349</v>
      </c>
      <c r="G773" t="s">
        <v>221</v>
      </c>
      <c r="H773">
        <v>1</v>
      </c>
      <c r="I773">
        <v>400</v>
      </c>
      <c r="J773">
        <v>0</v>
      </c>
    </row>
    <row r="774" spans="1:10">
      <c r="A774" t="s">
        <v>1029</v>
      </c>
      <c r="B774" t="s">
        <v>1030</v>
      </c>
      <c r="C774">
        <v>30</v>
      </c>
      <c r="D774">
        <v>7</v>
      </c>
      <c r="E774" t="s">
        <v>938</v>
      </c>
      <c r="F774" t="s">
        <v>39</v>
      </c>
      <c r="G774" t="s">
        <v>14</v>
      </c>
      <c r="H774">
        <v>1</v>
      </c>
      <c r="I774">
        <v>880</v>
      </c>
      <c r="J774">
        <v>0</v>
      </c>
    </row>
    <row r="775" spans="1:10">
      <c r="A775" t="s">
        <v>1031</v>
      </c>
      <c r="B775" t="s">
        <v>1030</v>
      </c>
      <c r="C775">
        <v>30</v>
      </c>
      <c r="D775">
        <v>7</v>
      </c>
      <c r="E775" t="s">
        <v>938</v>
      </c>
      <c r="F775" t="s">
        <v>220</v>
      </c>
      <c r="G775" t="s">
        <v>221</v>
      </c>
      <c r="H775">
        <v>4</v>
      </c>
      <c r="I775">
        <v>510</v>
      </c>
      <c r="J775">
        <v>15</v>
      </c>
    </row>
    <row r="776" spans="1:10">
      <c r="A776" t="s">
        <v>1032</v>
      </c>
      <c r="B776" t="s">
        <v>1030</v>
      </c>
      <c r="C776">
        <v>30</v>
      </c>
      <c r="D776">
        <v>7</v>
      </c>
      <c r="E776" t="s">
        <v>938</v>
      </c>
      <c r="F776" t="s">
        <v>51</v>
      </c>
      <c r="G776" t="s">
        <v>26</v>
      </c>
      <c r="H776">
        <v>3</v>
      </c>
      <c r="I776">
        <v>500</v>
      </c>
      <c r="J776">
        <v>0</v>
      </c>
    </row>
    <row r="777" spans="1:10">
      <c r="A777" t="s">
        <v>1033</v>
      </c>
      <c r="B777" t="s">
        <v>1034</v>
      </c>
      <c r="C777">
        <v>30</v>
      </c>
      <c r="D777">
        <v>7</v>
      </c>
      <c r="E777" t="s">
        <v>938</v>
      </c>
      <c r="F777" t="s">
        <v>68</v>
      </c>
      <c r="G777" t="s">
        <v>26</v>
      </c>
      <c r="H777">
        <v>1</v>
      </c>
      <c r="I777">
        <v>323</v>
      </c>
      <c r="J777">
        <v>15</v>
      </c>
    </row>
    <row r="778" spans="1:10">
      <c r="A778" t="s">
        <v>1035</v>
      </c>
      <c r="B778" t="s">
        <v>1034</v>
      </c>
      <c r="C778">
        <v>30</v>
      </c>
      <c r="D778">
        <v>7</v>
      </c>
      <c r="E778" t="s">
        <v>938</v>
      </c>
      <c r="F778" t="s">
        <v>349</v>
      </c>
      <c r="G778" t="s">
        <v>221</v>
      </c>
      <c r="H778">
        <v>1</v>
      </c>
      <c r="I778">
        <v>360</v>
      </c>
      <c r="J778">
        <v>10</v>
      </c>
    </row>
    <row r="779" spans="1:10">
      <c r="A779" t="s">
        <v>1036</v>
      </c>
      <c r="B779" t="s">
        <v>1034</v>
      </c>
      <c r="C779">
        <v>30</v>
      </c>
      <c r="D779">
        <v>7</v>
      </c>
      <c r="E779" t="s">
        <v>938</v>
      </c>
      <c r="F779" t="s">
        <v>68</v>
      </c>
      <c r="G779" t="s">
        <v>26</v>
      </c>
      <c r="H779">
        <v>2</v>
      </c>
      <c r="I779">
        <v>342</v>
      </c>
      <c r="J779">
        <v>10</v>
      </c>
    </row>
    <row r="780" spans="1:10">
      <c r="A780" t="s">
        <v>1037</v>
      </c>
      <c r="B780" t="s">
        <v>1034</v>
      </c>
      <c r="C780">
        <v>30</v>
      </c>
      <c r="D780">
        <v>7</v>
      </c>
      <c r="E780" t="s">
        <v>938</v>
      </c>
      <c r="F780" t="s">
        <v>64</v>
      </c>
      <c r="G780" t="s">
        <v>14</v>
      </c>
      <c r="H780">
        <v>4</v>
      </c>
      <c r="I780">
        <v>2244</v>
      </c>
      <c r="J780">
        <v>15</v>
      </c>
    </row>
    <row r="781" spans="1:10">
      <c r="A781" t="s">
        <v>1038</v>
      </c>
      <c r="B781" t="s">
        <v>1034</v>
      </c>
      <c r="C781">
        <v>30</v>
      </c>
      <c r="D781">
        <v>7</v>
      </c>
      <c r="E781" t="s">
        <v>938</v>
      </c>
      <c r="F781" t="s">
        <v>45</v>
      </c>
      <c r="G781" t="s">
        <v>26</v>
      </c>
      <c r="H781">
        <v>4</v>
      </c>
      <c r="I781">
        <v>4275</v>
      </c>
      <c r="J781">
        <v>5</v>
      </c>
    </row>
    <row r="782" spans="1:10">
      <c r="A782" t="s">
        <v>1039</v>
      </c>
      <c r="B782" t="s">
        <v>1034</v>
      </c>
      <c r="C782">
        <v>30</v>
      </c>
      <c r="D782">
        <v>7</v>
      </c>
      <c r="E782" t="s">
        <v>938</v>
      </c>
      <c r="F782" t="s">
        <v>364</v>
      </c>
      <c r="G782" t="s">
        <v>221</v>
      </c>
      <c r="H782">
        <v>1</v>
      </c>
      <c r="I782">
        <v>912</v>
      </c>
      <c r="J782">
        <v>5</v>
      </c>
    </row>
    <row r="783" spans="1:10">
      <c r="A783" t="s">
        <v>1040</v>
      </c>
      <c r="B783" t="s">
        <v>1034</v>
      </c>
      <c r="C783">
        <v>30</v>
      </c>
      <c r="D783">
        <v>7</v>
      </c>
      <c r="E783" t="s">
        <v>938</v>
      </c>
      <c r="F783" t="s">
        <v>97</v>
      </c>
      <c r="G783" t="s">
        <v>20</v>
      </c>
      <c r="H783">
        <v>3</v>
      </c>
      <c r="I783">
        <v>1980</v>
      </c>
      <c r="J783">
        <v>0</v>
      </c>
    </row>
    <row r="784" spans="1:10">
      <c r="A784" t="s">
        <v>1041</v>
      </c>
      <c r="B784" t="s">
        <v>1042</v>
      </c>
      <c r="C784">
        <v>31</v>
      </c>
      <c r="D784">
        <v>7</v>
      </c>
      <c r="E784" t="s">
        <v>938</v>
      </c>
      <c r="F784" t="s">
        <v>19</v>
      </c>
      <c r="G784" t="s">
        <v>20</v>
      </c>
      <c r="H784">
        <v>4</v>
      </c>
      <c r="I784">
        <v>1377</v>
      </c>
      <c r="J784">
        <v>15</v>
      </c>
    </row>
    <row r="785" spans="1:10">
      <c r="A785" t="s">
        <v>1043</v>
      </c>
      <c r="B785" t="s">
        <v>1042</v>
      </c>
      <c r="C785">
        <v>31</v>
      </c>
      <c r="D785">
        <v>7</v>
      </c>
      <c r="E785" t="s">
        <v>938</v>
      </c>
      <c r="F785" t="s">
        <v>115</v>
      </c>
      <c r="G785" t="s">
        <v>23</v>
      </c>
      <c r="H785">
        <v>2</v>
      </c>
      <c r="I785">
        <v>1200</v>
      </c>
      <c r="J785">
        <v>0</v>
      </c>
    </row>
    <row r="786" spans="1:10">
      <c r="A786" t="s">
        <v>1044</v>
      </c>
      <c r="B786" t="s">
        <v>1042</v>
      </c>
      <c r="C786">
        <v>31</v>
      </c>
      <c r="D786">
        <v>7</v>
      </c>
      <c r="E786" t="s">
        <v>938</v>
      </c>
      <c r="F786" t="s">
        <v>80</v>
      </c>
      <c r="G786" t="s">
        <v>14</v>
      </c>
      <c r="H786">
        <v>4</v>
      </c>
      <c r="I786">
        <v>380</v>
      </c>
      <c r="J786">
        <v>5</v>
      </c>
    </row>
    <row r="787" spans="1:10">
      <c r="A787" t="s">
        <v>1045</v>
      </c>
      <c r="B787" t="s">
        <v>1042</v>
      </c>
      <c r="C787">
        <v>31</v>
      </c>
      <c r="D787">
        <v>7</v>
      </c>
      <c r="E787" t="s">
        <v>938</v>
      </c>
      <c r="F787" t="s">
        <v>97</v>
      </c>
      <c r="G787" t="s">
        <v>20</v>
      </c>
      <c r="H787">
        <v>4</v>
      </c>
      <c r="I787">
        <v>1980</v>
      </c>
      <c r="J787">
        <v>0</v>
      </c>
    </row>
    <row r="788" spans="1:10">
      <c r="A788" t="s">
        <v>1046</v>
      </c>
      <c r="B788" t="s">
        <v>1042</v>
      </c>
      <c r="C788">
        <v>31</v>
      </c>
      <c r="D788">
        <v>7</v>
      </c>
      <c r="E788" t="s">
        <v>938</v>
      </c>
      <c r="F788" t="s">
        <v>349</v>
      </c>
      <c r="G788" t="s">
        <v>221</v>
      </c>
      <c r="H788">
        <v>5</v>
      </c>
      <c r="I788">
        <v>400</v>
      </c>
      <c r="J788">
        <v>0</v>
      </c>
    </row>
    <row r="789" spans="1:10">
      <c r="A789" t="s">
        <v>1047</v>
      </c>
      <c r="B789" t="s">
        <v>1048</v>
      </c>
      <c r="C789">
        <v>31</v>
      </c>
      <c r="D789">
        <v>7</v>
      </c>
      <c r="E789" t="s">
        <v>938</v>
      </c>
      <c r="F789" t="s">
        <v>349</v>
      </c>
      <c r="G789" t="s">
        <v>221</v>
      </c>
      <c r="H789">
        <v>5</v>
      </c>
      <c r="I789">
        <v>400</v>
      </c>
      <c r="J789">
        <v>0</v>
      </c>
    </row>
    <row r="790" spans="1:10">
      <c r="A790" t="s">
        <v>1049</v>
      </c>
      <c r="B790" t="s">
        <v>1048</v>
      </c>
      <c r="C790">
        <v>31</v>
      </c>
      <c r="D790">
        <v>7</v>
      </c>
      <c r="E790" t="s">
        <v>938</v>
      </c>
      <c r="F790" t="s">
        <v>42</v>
      </c>
      <c r="G790" t="s">
        <v>23</v>
      </c>
      <c r="H790">
        <v>1</v>
      </c>
      <c r="I790">
        <v>600</v>
      </c>
      <c r="J790">
        <v>0</v>
      </c>
    </row>
    <row r="791" spans="1:10">
      <c r="A791" t="s">
        <v>1050</v>
      </c>
      <c r="B791" t="s">
        <v>1048</v>
      </c>
      <c r="C791">
        <v>31</v>
      </c>
      <c r="D791">
        <v>7</v>
      </c>
      <c r="E791" t="s">
        <v>938</v>
      </c>
      <c r="F791" t="s">
        <v>13</v>
      </c>
      <c r="G791" t="s">
        <v>14</v>
      </c>
      <c r="H791">
        <v>4</v>
      </c>
      <c r="I791">
        <v>432</v>
      </c>
      <c r="J791">
        <v>10</v>
      </c>
    </row>
    <row r="792" spans="1:10">
      <c r="A792" t="s">
        <v>1051</v>
      </c>
      <c r="B792" t="s">
        <v>1048</v>
      </c>
      <c r="C792">
        <v>31</v>
      </c>
      <c r="D792">
        <v>7</v>
      </c>
      <c r="E792" t="s">
        <v>938</v>
      </c>
      <c r="F792" t="s">
        <v>45</v>
      </c>
      <c r="G792" t="s">
        <v>26</v>
      </c>
      <c r="H792">
        <v>5</v>
      </c>
      <c r="I792">
        <v>4500</v>
      </c>
      <c r="J792">
        <v>0</v>
      </c>
    </row>
    <row r="793" spans="1:10">
      <c r="A793" t="s">
        <v>1052</v>
      </c>
      <c r="B793" t="s">
        <v>1053</v>
      </c>
      <c r="C793">
        <v>31</v>
      </c>
      <c r="D793">
        <v>7</v>
      </c>
      <c r="E793" t="s">
        <v>938</v>
      </c>
      <c r="F793" t="s">
        <v>80</v>
      </c>
      <c r="G793" t="s">
        <v>14</v>
      </c>
      <c r="H793">
        <v>1</v>
      </c>
      <c r="I793">
        <v>400</v>
      </c>
      <c r="J793">
        <v>0</v>
      </c>
    </row>
    <row r="794" spans="1:10">
      <c r="A794" t="s">
        <v>1054</v>
      </c>
      <c r="B794" t="s">
        <v>1055</v>
      </c>
      <c r="C794">
        <v>31</v>
      </c>
      <c r="D794">
        <v>8</v>
      </c>
      <c r="E794" t="s">
        <v>1056</v>
      </c>
      <c r="F794" t="s">
        <v>13</v>
      </c>
      <c r="G794" t="s">
        <v>14</v>
      </c>
      <c r="H794">
        <v>2</v>
      </c>
      <c r="I794">
        <v>480</v>
      </c>
      <c r="J794">
        <v>0</v>
      </c>
    </row>
    <row r="795" spans="1:10">
      <c r="A795" t="s">
        <v>1057</v>
      </c>
      <c r="B795" t="s">
        <v>1055</v>
      </c>
      <c r="C795">
        <v>31</v>
      </c>
      <c r="D795">
        <v>8</v>
      </c>
      <c r="E795" t="s">
        <v>1056</v>
      </c>
      <c r="F795" t="s">
        <v>82</v>
      </c>
      <c r="G795" t="s">
        <v>20</v>
      </c>
      <c r="H795">
        <v>2</v>
      </c>
      <c r="I795">
        <v>900</v>
      </c>
      <c r="J795">
        <v>0</v>
      </c>
    </row>
    <row r="796" spans="1:10">
      <c r="A796" t="s">
        <v>1058</v>
      </c>
      <c r="B796" t="s">
        <v>1055</v>
      </c>
      <c r="C796">
        <v>31</v>
      </c>
      <c r="D796">
        <v>8</v>
      </c>
      <c r="E796" t="s">
        <v>1056</v>
      </c>
      <c r="F796" t="s">
        <v>37</v>
      </c>
      <c r="G796" t="s">
        <v>20</v>
      </c>
      <c r="H796">
        <v>5</v>
      </c>
      <c r="I796">
        <v>2106</v>
      </c>
      <c r="J796">
        <v>10</v>
      </c>
    </row>
    <row r="797" spans="1:10">
      <c r="A797" t="s">
        <v>1059</v>
      </c>
      <c r="B797" t="s">
        <v>1055</v>
      </c>
      <c r="C797">
        <v>31</v>
      </c>
      <c r="D797">
        <v>8</v>
      </c>
      <c r="E797" t="s">
        <v>1056</v>
      </c>
      <c r="F797" t="s">
        <v>22</v>
      </c>
      <c r="G797" t="s">
        <v>23</v>
      </c>
      <c r="H797">
        <v>5</v>
      </c>
      <c r="I797">
        <v>500</v>
      </c>
      <c r="J797">
        <v>0</v>
      </c>
    </row>
    <row r="798" spans="1:10">
      <c r="A798" t="s">
        <v>1060</v>
      </c>
      <c r="B798" t="s">
        <v>1055</v>
      </c>
      <c r="C798">
        <v>31</v>
      </c>
      <c r="D798">
        <v>8</v>
      </c>
      <c r="E798" t="s">
        <v>1056</v>
      </c>
      <c r="F798" t="s">
        <v>364</v>
      </c>
      <c r="G798" t="s">
        <v>221</v>
      </c>
      <c r="H798">
        <v>2</v>
      </c>
      <c r="I798">
        <v>960</v>
      </c>
      <c r="J798">
        <v>0</v>
      </c>
    </row>
    <row r="799" spans="1:10">
      <c r="A799" t="s">
        <v>1061</v>
      </c>
      <c r="B799" t="s">
        <v>1062</v>
      </c>
      <c r="C799">
        <v>31</v>
      </c>
      <c r="D799">
        <v>8</v>
      </c>
      <c r="E799" t="s">
        <v>1056</v>
      </c>
      <c r="F799" t="s">
        <v>22</v>
      </c>
      <c r="G799" t="s">
        <v>23</v>
      </c>
      <c r="H799">
        <v>2</v>
      </c>
      <c r="I799">
        <v>425</v>
      </c>
      <c r="J799">
        <v>15</v>
      </c>
    </row>
    <row r="800" spans="1:10">
      <c r="A800" t="s">
        <v>1063</v>
      </c>
      <c r="B800" t="s">
        <v>1062</v>
      </c>
      <c r="C800">
        <v>31</v>
      </c>
      <c r="D800">
        <v>8</v>
      </c>
      <c r="E800" t="s">
        <v>1056</v>
      </c>
      <c r="F800" t="s">
        <v>37</v>
      </c>
      <c r="G800" t="s">
        <v>20</v>
      </c>
      <c r="H800">
        <v>1</v>
      </c>
      <c r="I800">
        <v>1989</v>
      </c>
      <c r="J800">
        <v>15</v>
      </c>
    </row>
    <row r="801" spans="1:10">
      <c r="A801" t="s">
        <v>1064</v>
      </c>
      <c r="B801" t="s">
        <v>1065</v>
      </c>
      <c r="C801">
        <v>31</v>
      </c>
      <c r="D801">
        <v>8</v>
      </c>
      <c r="E801" t="s">
        <v>1056</v>
      </c>
      <c r="F801" t="s">
        <v>364</v>
      </c>
      <c r="G801" t="s">
        <v>221</v>
      </c>
      <c r="H801">
        <v>1</v>
      </c>
      <c r="I801">
        <v>912</v>
      </c>
      <c r="J801">
        <v>5</v>
      </c>
    </row>
    <row r="802" spans="1:10">
      <c r="A802" t="s">
        <v>1066</v>
      </c>
      <c r="B802" t="s">
        <v>1065</v>
      </c>
      <c r="C802">
        <v>31</v>
      </c>
      <c r="D802">
        <v>8</v>
      </c>
      <c r="E802" t="s">
        <v>1056</v>
      </c>
      <c r="F802" t="s">
        <v>37</v>
      </c>
      <c r="G802" t="s">
        <v>20</v>
      </c>
      <c r="H802">
        <v>5</v>
      </c>
      <c r="I802">
        <v>1989</v>
      </c>
      <c r="J802">
        <v>15</v>
      </c>
    </row>
    <row r="803" spans="1:10">
      <c r="A803" t="s">
        <v>1067</v>
      </c>
      <c r="B803" t="s">
        <v>1065</v>
      </c>
      <c r="C803">
        <v>31</v>
      </c>
      <c r="D803">
        <v>8</v>
      </c>
      <c r="E803" t="s">
        <v>1056</v>
      </c>
      <c r="F803" t="s">
        <v>364</v>
      </c>
      <c r="G803" t="s">
        <v>221</v>
      </c>
      <c r="H803">
        <v>1</v>
      </c>
      <c r="I803">
        <v>816</v>
      </c>
      <c r="J803">
        <v>15</v>
      </c>
    </row>
    <row r="804" spans="1:10">
      <c r="A804" t="s">
        <v>1068</v>
      </c>
      <c r="B804" t="s">
        <v>1069</v>
      </c>
      <c r="C804">
        <v>31</v>
      </c>
      <c r="D804">
        <v>8</v>
      </c>
      <c r="E804" t="s">
        <v>1056</v>
      </c>
      <c r="F804" t="s">
        <v>187</v>
      </c>
      <c r="G804" t="s">
        <v>14</v>
      </c>
      <c r="H804">
        <v>3</v>
      </c>
      <c r="I804">
        <v>3740</v>
      </c>
      <c r="J804">
        <v>15</v>
      </c>
    </row>
    <row r="805" spans="1:10">
      <c r="A805" t="s">
        <v>1070</v>
      </c>
      <c r="B805" t="s">
        <v>1069</v>
      </c>
      <c r="C805">
        <v>31</v>
      </c>
      <c r="D805">
        <v>8</v>
      </c>
      <c r="E805" t="s">
        <v>1056</v>
      </c>
      <c r="F805" t="s">
        <v>25</v>
      </c>
      <c r="G805" t="s">
        <v>26</v>
      </c>
      <c r="H805">
        <v>2</v>
      </c>
      <c r="I805">
        <v>850</v>
      </c>
      <c r="J805">
        <v>15</v>
      </c>
    </row>
    <row r="806" spans="1:10">
      <c r="A806" t="s">
        <v>1071</v>
      </c>
      <c r="B806" t="s">
        <v>1069</v>
      </c>
      <c r="C806">
        <v>31</v>
      </c>
      <c r="D806">
        <v>8</v>
      </c>
      <c r="E806" t="s">
        <v>1056</v>
      </c>
      <c r="F806" t="s">
        <v>25</v>
      </c>
      <c r="G806" t="s">
        <v>26</v>
      </c>
      <c r="H806">
        <v>1</v>
      </c>
      <c r="I806">
        <v>1000</v>
      </c>
      <c r="J806">
        <v>0</v>
      </c>
    </row>
    <row r="807" spans="1:10">
      <c r="A807" t="s">
        <v>1072</v>
      </c>
      <c r="B807" t="s">
        <v>1069</v>
      </c>
      <c r="C807">
        <v>31</v>
      </c>
      <c r="D807">
        <v>8</v>
      </c>
      <c r="E807" t="s">
        <v>1056</v>
      </c>
      <c r="F807" t="s">
        <v>119</v>
      </c>
      <c r="G807" t="s">
        <v>14</v>
      </c>
      <c r="H807">
        <v>3</v>
      </c>
      <c r="I807">
        <v>654.5</v>
      </c>
      <c r="J807">
        <v>15</v>
      </c>
    </row>
    <row r="808" spans="1:10">
      <c r="A808" t="s">
        <v>1073</v>
      </c>
      <c r="B808" t="s">
        <v>1069</v>
      </c>
      <c r="C808">
        <v>31</v>
      </c>
      <c r="D808">
        <v>8</v>
      </c>
      <c r="E808" t="s">
        <v>1056</v>
      </c>
      <c r="F808" t="s">
        <v>119</v>
      </c>
      <c r="G808" t="s">
        <v>14</v>
      </c>
      <c r="H808">
        <v>1</v>
      </c>
      <c r="I808">
        <v>654.5</v>
      </c>
      <c r="J808">
        <v>15</v>
      </c>
    </row>
    <row r="809" spans="1:10">
      <c r="A809" t="s">
        <v>1074</v>
      </c>
      <c r="B809" t="s">
        <v>1069</v>
      </c>
      <c r="C809">
        <v>31</v>
      </c>
      <c r="D809">
        <v>8</v>
      </c>
      <c r="E809" t="s">
        <v>1056</v>
      </c>
      <c r="F809" t="s">
        <v>51</v>
      </c>
      <c r="G809" t="s">
        <v>26</v>
      </c>
      <c r="H809">
        <v>4</v>
      </c>
      <c r="I809">
        <v>475</v>
      </c>
      <c r="J809">
        <v>5</v>
      </c>
    </row>
    <row r="810" spans="1:10">
      <c r="A810" t="s">
        <v>1075</v>
      </c>
      <c r="B810" t="s">
        <v>1076</v>
      </c>
      <c r="C810">
        <v>32</v>
      </c>
      <c r="D810">
        <v>8</v>
      </c>
      <c r="E810" t="s">
        <v>1056</v>
      </c>
      <c r="F810" t="s">
        <v>22</v>
      </c>
      <c r="G810" t="s">
        <v>23</v>
      </c>
      <c r="H810">
        <v>5</v>
      </c>
      <c r="I810">
        <v>475</v>
      </c>
      <c r="J810">
        <v>5</v>
      </c>
    </row>
    <row r="811" spans="1:10">
      <c r="A811" t="s">
        <v>1077</v>
      </c>
      <c r="B811" t="s">
        <v>1076</v>
      </c>
      <c r="C811">
        <v>32</v>
      </c>
      <c r="D811">
        <v>8</v>
      </c>
      <c r="E811" t="s">
        <v>1056</v>
      </c>
      <c r="F811" t="s">
        <v>28</v>
      </c>
      <c r="G811" t="s">
        <v>26</v>
      </c>
      <c r="H811">
        <v>1</v>
      </c>
      <c r="I811">
        <v>1425</v>
      </c>
      <c r="J811">
        <v>5</v>
      </c>
    </row>
    <row r="812" spans="1:10">
      <c r="A812" t="s">
        <v>1078</v>
      </c>
      <c r="B812" t="s">
        <v>1076</v>
      </c>
      <c r="C812">
        <v>32</v>
      </c>
      <c r="D812">
        <v>8</v>
      </c>
      <c r="E812" t="s">
        <v>1056</v>
      </c>
      <c r="F812" t="s">
        <v>68</v>
      </c>
      <c r="G812" t="s">
        <v>26</v>
      </c>
      <c r="H812">
        <v>2</v>
      </c>
      <c r="I812">
        <v>380</v>
      </c>
      <c r="J812">
        <v>0</v>
      </c>
    </row>
    <row r="813" spans="1:10">
      <c r="A813" t="s">
        <v>1079</v>
      </c>
      <c r="B813" t="s">
        <v>1076</v>
      </c>
      <c r="C813">
        <v>32</v>
      </c>
      <c r="D813">
        <v>8</v>
      </c>
      <c r="E813" t="s">
        <v>1056</v>
      </c>
      <c r="F813" t="s">
        <v>37</v>
      </c>
      <c r="G813" t="s">
        <v>20</v>
      </c>
      <c r="H813">
        <v>1</v>
      </c>
      <c r="I813">
        <v>1989</v>
      </c>
      <c r="J813">
        <v>15</v>
      </c>
    </row>
    <row r="814" spans="1:10">
      <c r="A814" t="s">
        <v>1080</v>
      </c>
      <c r="B814" t="s">
        <v>1076</v>
      </c>
      <c r="C814">
        <v>32</v>
      </c>
      <c r="D814">
        <v>8</v>
      </c>
      <c r="E814" t="s">
        <v>1056</v>
      </c>
      <c r="F814" t="s">
        <v>119</v>
      </c>
      <c r="G814" t="s">
        <v>14</v>
      </c>
      <c r="H814">
        <v>2</v>
      </c>
      <c r="I814">
        <v>770</v>
      </c>
      <c r="J814">
        <v>0</v>
      </c>
    </row>
    <row r="815" spans="1:10">
      <c r="A815" t="s">
        <v>1081</v>
      </c>
      <c r="B815" t="s">
        <v>1076</v>
      </c>
      <c r="C815">
        <v>32</v>
      </c>
      <c r="D815">
        <v>8</v>
      </c>
      <c r="E815" t="s">
        <v>1056</v>
      </c>
      <c r="F815" t="s">
        <v>119</v>
      </c>
      <c r="G815" t="s">
        <v>14</v>
      </c>
      <c r="H815">
        <v>5</v>
      </c>
      <c r="I815">
        <v>693</v>
      </c>
      <c r="J815">
        <v>10</v>
      </c>
    </row>
    <row r="816" spans="1:10">
      <c r="A816" t="s">
        <v>1082</v>
      </c>
      <c r="B816" t="s">
        <v>1076</v>
      </c>
      <c r="C816">
        <v>32</v>
      </c>
      <c r="D816">
        <v>8</v>
      </c>
      <c r="E816" t="s">
        <v>1056</v>
      </c>
      <c r="F816" t="s">
        <v>16</v>
      </c>
      <c r="G816" t="s">
        <v>17</v>
      </c>
      <c r="H816">
        <v>1</v>
      </c>
      <c r="I816">
        <v>520</v>
      </c>
      <c r="J816">
        <v>0</v>
      </c>
    </row>
    <row r="817" spans="1:10">
      <c r="A817" t="s">
        <v>1083</v>
      </c>
      <c r="B817" t="s">
        <v>1084</v>
      </c>
      <c r="C817">
        <v>32</v>
      </c>
      <c r="D817">
        <v>8</v>
      </c>
      <c r="E817" t="s">
        <v>1056</v>
      </c>
      <c r="F817" t="s">
        <v>58</v>
      </c>
      <c r="G817" t="s">
        <v>23</v>
      </c>
      <c r="H817">
        <v>3</v>
      </c>
      <c r="I817">
        <v>850</v>
      </c>
      <c r="J817">
        <v>15</v>
      </c>
    </row>
    <row r="818" spans="1:10">
      <c r="A818" t="s">
        <v>1085</v>
      </c>
      <c r="B818" t="s">
        <v>1084</v>
      </c>
      <c r="C818">
        <v>32</v>
      </c>
      <c r="D818">
        <v>8</v>
      </c>
      <c r="E818" t="s">
        <v>1056</v>
      </c>
      <c r="F818" t="s">
        <v>82</v>
      </c>
      <c r="G818" t="s">
        <v>20</v>
      </c>
      <c r="H818">
        <v>4</v>
      </c>
      <c r="I818">
        <v>900</v>
      </c>
      <c r="J818">
        <v>0</v>
      </c>
    </row>
    <row r="819" spans="1:10">
      <c r="A819" t="s">
        <v>1086</v>
      </c>
      <c r="B819" t="s">
        <v>1084</v>
      </c>
      <c r="C819">
        <v>32</v>
      </c>
      <c r="D819">
        <v>8</v>
      </c>
      <c r="E819" t="s">
        <v>1056</v>
      </c>
      <c r="F819" t="s">
        <v>97</v>
      </c>
      <c r="G819" t="s">
        <v>20</v>
      </c>
      <c r="H819">
        <v>3</v>
      </c>
      <c r="I819">
        <v>1980</v>
      </c>
      <c r="J819">
        <v>0</v>
      </c>
    </row>
    <row r="820" spans="1:10">
      <c r="A820" t="s">
        <v>1087</v>
      </c>
      <c r="B820" t="s">
        <v>1084</v>
      </c>
      <c r="C820">
        <v>32</v>
      </c>
      <c r="D820">
        <v>8</v>
      </c>
      <c r="E820" t="s">
        <v>1056</v>
      </c>
      <c r="F820" t="s">
        <v>187</v>
      </c>
      <c r="G820" t="s">
        <v>14</v>
      </c>
      <c r="H820">
        <v>1</v>
      </c>
      <c r="I820">
        <v>3960</v>
      </c>
      <c r="J820">
        <v>10</v>
      </c>
    </row>
    <row r="821" spans="1:10">
      <c r="A821" t="s">
        <v>1088</v>
      </c>
      <c r="B821" t="s">
        <v>1084</v>
      </c>
      <c r="C821">
        <v>32</v>
      </c>
      <c r="D821">
        <v>8</v>
      </c>
      <c r="E821" t="s">
        <v>1056</v>
      </c>
      <c r="F821" t="s">
        <v>146</v>
      </c>
      <c r="G821" t="s">
        <v>20</v>
      </c>
      <c r="H821">
        <v>2</v>
      </c>
      <c r="I821">
        <v>630</v>
      </c>
      <c r="J821">
        <v>0</v>
      </c>
    </row>
    <row r="822" spans="1:10">
      <c r="A822" t="s">
        <v>1089</v>
      </c>
      <c r="B822" t="s">
        <v>1090</v>
      </c>
      <c r="C822">
        <v>32</v>
      </c>
      <c r="D822">
        <v>8</v>
      </c>
      <c r="E822" t="s">
        <v>1056</v>
      </c>
      <c r="F822" t="s">
        <v>68</v>
      </c>
      <c r="G822" t="s">
        <v>26</v>
      </c>
      <c r="H822">
        <v>1</v>
      </c>
      <c r="I822">
        <v>361</v>
      </c>
      <c r="J822">
        <v>5</v>
      </c>
    </row>
    <row r="823" spans="1:10">
      <c r="A823" t="s">
        <v>1091</v>
      </c>
      <c r="B823" t="s">
        <v>1090</v>
      </c>
      <c r="C823">
        <v>32</v>
      </c>
      <c r="D823">
        <v>8</v>
      </c>
      <c r="E823" t="s">
        <v>1056</v>
      </c>
      <c r="F823" t="s">
        <v>187</v>
      </c>
      <c r="G823" t="s">
        <v>14</v>
      </c>
      <c r="H823">
        <v>1</v>
      </c>
      <c r="I823">
        <v>3740</v>
      </c>
      <c r="J823">
        <v>15</v>
      </c>
    </row>
    <row r="824" spans="1:10">
      <c r="A824" t="s">
        <v>1092</v>
      </c>
      <c r="B824" t="s">
        <v>1090</v>
      </c>
      <c r="C824">
        <v>32</v>
      </c>
      <c r="D824">
        <v>8</v>
      </c>
      <c r="E824" t="s">
        <v>1056</v>
      </c>
      <c r="F824" t="s">
        <v>31</v>
      </c>
      <c r="G824" t="s">
        <v>23</v>
      </c>
      <c r="H824">
        <v>5</v>
      </c>
      <c r="I824">
        <v>1400</v>
      </c>
      <c r="J824">
        <v>0</v>
      </c>
    </row>
    <row r="825" spans="1:10">
      <c r="A825" t="s">
        <v>1093</v>
      </c>
      <c r="B825" t="s">
        <v>1090</v>
      </c>
      <c r="C825">
        <v>32</v>
      </c>
      <c r="D825">
        <v>8</v>
      </c>
      <c r="E825" t="s">
        <v>1056</v>
      </c>
      <c r="F825" t="s">
        <v>42</v>
      </c>
      <c r="G825" t="s">
        <v>23</v>
      </c>
      <c r="H825">
        <v>1</v>
      </c>
      <c r="I825">
        <v>540</v>
      </c>
      <c r="J825">
        <v>10</v>
      </c>
    </row>
    <row r="826" spans="1:10">
      <c r="A826" t="s">
        <v>1094</v>
      </c>
      <c r="B826" t="s">
        <v>1095</v>
      </c>
      <c r="C826">
        <v>32</v>
      </c>
      <c r="D826">
        <v>8</v>
      </c>
      <c r="E826" t="s">
        <v>1056</v>
      </c>
      <c r="F826" t="s">
        <v>25</v>
      </c>
      <c r="G826" t="s">
        <v>26</v>
      </c>
      <c r="H826">
        <v>3</v>
      </c>
      <c r="I826">
        <v>1000</v>
      </c>
      <c r="J826">
        <v>0</v>
      </c>
    </row>
    <row r="827" spans="1:10">
      <c r="A827" t="s">
        <v>1096</v>
      </c>
      <c r="B827" t="s">
        <v>1095</v>
      </c>
      <c r="C827">
        <v>32</v>
      </c>
      <c r="D827">
        <v>8</v>
      </c>
      <c r="E827" t="s">
        <v>1056</v>
      </c>
      <c r="F827" t="s">
        <v>220</v>
      </c>
      <c r="G827" t="s">
        <v>221</v>
      </c>
      <c r="H827">
        <v>1</v>
      </c>
      <c r="I827">
        <v>600</v>
      </c>
      <c r="J827">
        <v>0</v>
      </c>
    </row>
    <row r="828" spans="1:10">
      <c r="A828" t="s">
        <v>1097</v>
      </c>
      <c r="B828" t="s">
        <v>1098</v>
      </c>
      <c r="C828">
        <v>32</v>
      </c>
      <c r="D828">
        <v>8</v>
      </c>
      <c r="E828" t="s">
        <v>1056</v>
      </c>
      <c r="F828" t="s">
        <v>42</v>
      </c>
      <c r="G828" t="s">
        <v>23</v>
      </c>
      <c r="H828">
        <v>5</v>
      </c>
      <c r="I828">
        <v>570</v>
      </c>
      <c r="J828">
        <v>5</v>
      </c>
    </row>
    <row r="829" spans="1:10">
      <c r="A829" t="s">
        <v>1099</v>
      </c>
      <c r="B829" t="s">
        <v>1098</v>
      </c>
      <c r="C829">
        <v>32</v>
      </c>
      <c r="D829">
        <v>8</v>
      </c>
      <c r="E829" t="s">
        <v>1056</v>
      </c>
      <c r="F829" t="s">
        <v>80</v>
      </c>
      <c r="G829" t="s">
        <v>14</v>
      </c>
      <c r="H829">
        <v>2</v>
      </c>
      <c r="I829">
        <v>340</v>
      </c>
      <c r="J829">
        <v>15</v>
      </c>
    </row>
    <row r="830" spans="1:10">
      <c r="A830" t="s">
        <v>1100</v>
      </c>
      <c r="B830" t="s">
        <v>1101</v>
      </c>
      <c r="C830">
        <v>32</v>
      </c>
      <c r="D830">
        <v>8</v>
      </c>
      <c r="E830" t="s">
        <v>1056</v>
      </c>
      <c r="F830" t="s">
        <v>220</v>
      </c>
      <c r="G830" t="s">
        <v>221</v>
      </c>
      <c r="H830">
        <v>4</v>
      </c>
      <c r="I830">
        <v>600</v>
      </c>
      <c r="J830">
        <v>0</v>
      </c>
    </row>
    <row r="831" spans="1:10">
      <c r="A831" t="s">
        <v>1102</v>
      </c>
      <c r="B831" t="s">
        <v>1101</v>
      </c>
      <c r="C831">
        <v>32</v>
      </c>
      <c r="D831">
        <v>8</v>
      </c>
      <c r="E831" t="s">
        <v>1056</v>
      </c>
      <c r="F831" t="s">
        <v>80</v>
      </c>
      <c r="G831" t="s">
        <v>14</v>
      </c>
      <c r="H831">
        <v>4</v>
      </c>
      <c r="I831">
        <v>360</v>
      </c>
      <c r="J831">
        <v>10</v>
      </c>
    </row>
    <row r="832" spans="1:10">
      <c r="A832" t="s">
        <v>1103</v>
      </c>
      <c r="B832" t="s">
        <v>1104</v>
      </c>
      <c r="C832">
        <v>33</v>
      </c>
      <c r="D832">
        <v>8</v>
      </c>
      <c r="E832" t="s">
        <v>1056</v>
      </c>
      <c r="F832" t="s">
        <v>51</v>
      </c>
      <c r="G832" t="s">
        <v>26</v>
      </c>
      <c r="H832">
        <v>3</v>
      </c>
      <c r="I832">
        <v>500</v>
      </c>
      <c r="J832">
        <v>0</v>
      </c>
    </row>
    <row r="833" spans="1:10">
      <c r="A833" t="s">
        <v>1105</v>
      </c>
      <c r="B833" t="s">
        <v>1104</v>
      </c>
      <c r="C833">
        <v>33</v>
      </c>
      <c r="D833">
        <v>8</v>
      </c>
      <c r="E833" t="s">
        <v>1056</v>
      </c>
      <c r="F833" t="s">
        <v>115</v>
      </c>
      <c r="G833" t="s">
        <v>23</v>
      </c>
      <c r="H833">
        <v>5</v>
      </c>
      <c r="I833">
        <v>1200</v>
      </c>
      <c r="J833">
        <v>0</v>
      </c>
    </row>
    <row r="834" spans="1:10">
      <c r="A834" t="s">
        <v>1106</v>
      </c>
      <c r="B834" t="s">
        <v>1104</v>
      </c>
      <c r="C834">
        <v>33</v>
      </c>
      <c r="D834">
        <v>8</v>
      </c>
      <c r="E834" t="s">
        <v>1056</v>
      </c>
      <c r="F834" t="s">
        <v>119</v>
      </c>
      <c r="G834" t="s">
        <v>14</v>
      </c>
      <c r="H834">
        <v>5</v>
      </c>
      <c r="I834">
        <v>693</v>
      </c>
      <c r="J834">
        <v>10</v>
      </c>
    </row>
    <row r="835" spans="1:10">
      <c r="A835" t="s">
        <v>1107</v>
      </c>
      <c r="B835" t="s">
        <v>1104</v>
      </c>
      <c r="C835">
        <v>33</v>
      </c>
      <c r="D835">
        <v>8</v>
      </c>
      <c r="E835" t="s">
        <v>1056</v>
      </c>
      <c r="F835" t="s">
        <v>82</v>
      </c>
      <c r="G835" t="s">
        <v>20</v>
      </c>
      <c r="H835">
        <v>4</v>
      </c>
      <c r="I835">
        <v>900</v>
      </c>
      <c r="J835">
        <v>0</v>
      </c>
    </row>
    <row r="836" spans="1:10">
      <c r="A836" t="s">
        <v>1108</v>
      </c>
      <c r="B836" t="s">
        <v>1104</v>
      </c>
      <c r="C836">
        <v>33</v>
      </c>
      <c r="D836">
        <v>8</v>
      </c>
      <c r="E836" t="s">
        <v>1056</v>
      </c>
      <c r="F836" t="s">
        <v>82</v>
      </c>
      <c r="G836" t="s">
        <v>20</v>
      </c>
      <c r="H836">
        <v>5</v>
      </c>
      <c r="I836">
        <v>900</v>
      </c>
      <c r="J836">
        <v>0</v>
      </c>
    </row>
    <row r="837" spans="1:10">
      <c r="A837" t="s">
        <v>1109</v>
      </c>
      <c r="B837" t="s">
        <v>1110</v>
      </c>
      <c r="C837">
        <v>33</v>
      </c>
      <c r="D837">
        <v>8</v>
      </c>
      <c r="E837" t="s">
        <v>1056</v>
      </c>
      <c r="F837" t="s">
        <v>39</v>
      </c>
      <c r="G837" t="s">
        <v>14</v>
      </c>
      <c r="H837">
        <v>5</v>
      </c>
      <c r="I837">
        <v>880</v>
      </c>
      <c r="J837">
        <v>0</v>
      </c>
    </row>
    <row r="838" spans="1:10">
      <c r="A838" t="s">
        <v>1111</v>
      </c>
      <c r="B838" t="s">
        <v>1110</v>
      </c>
      <c r="C838">
        <v>33</v>
      </c>
      <c r="D838">
        <v>8</v>
      </c>
      <c r="E838" t="s">
        <v>1056</v>
      </c>
      <c r="F838" t="s">
        <v>97</v>
      </c>
      <c r="G838" t="s">
        <v>20</v>
      </c>
      <c r="H838">
        <v>4</v>
      </c>
      <c r="I838">
        <v>1782</v>
      </c>
      <c r="J838">
        <v>10</v>
      </c>
    </row>
    <row r="839" spans="1:10">
      <c r="A839" t="s">
        <v>1112</v>
      </c>
      <c r="B839" t="s">
        <v>1113</v>
      </c>
      <c r="C839">
        <v>33</v>
      </c>
      <c r="D839">
        <v>8</v>
      </c>
      <c r="E839" t="s">
        <v>1056</v>
      </c>
      <c r="F839" t="s">
        <v>13</v>
      </c>
      <c r="G839" t="s">
        <v>14</v>
      </c>
      <c r="H839">
        <v>2</v>
      </c>
      <c r="I839">
        <v>432</v>
      </c>
      <c r="J839">
        <v>10</v>
      </c>
    </row>
    <row r="840" spans="1:10">
      <c r="A840" t="s">
        <v>1114</v>
      </c>
      <c r="B840" t="s">
        <v>1113</v>
      </c>
      <c r="C840">
        <v>33</v>
      </c>
      <c r="D840">
        <v>8</v>
      </c>
      <c r="E840" t="s">
        <v>1056</v>
      </c>
      <c r="F840" t="s">
        <v>31</v>
      </c>
      <c r="G840" t="s">
        <v>23</v>
      </c>
      <c r="H840">
        <v>5</v>
      </c>
      <c r="I840">
        <v>1260</v>
      </c>
      <c r="J840">
        <v>10</v>
      </c>
    </row>
    <row r="841" spans="1:10">
      <c r="A841" t="s">
        <v>1115</v>
      </c>
      <c r="B841" t="s">
        <v>1113</v>
      </c>
      <c r="C841">
        <v>33</v>
      </c>
      <c r="D841">
        <v>8</v>
      </c>
      <c r="E841" t="s">
        <v>1056</v>
      </c>
      <c r="F841" t="s">
        <v>31</v>
      </c>
      <c r="G841" t="s">
        <v>23</v>
      </c>
      <c r="H841">
        <v>4</v>
      </c>
      <c r="I841">
        <v>1400</v>
      </c>
      <c r="J841">
        <v>0</v>
      </c>
    </row>
    <row r="842" spans="1:10">
      <c r="A842" t="s">
        <v>1116</v>
      </c>
      <c r="B842" t="s">
        <v>1117</v>
      </c>
      <c r="C842">
        <v>33</v>
      </c>
      <c r="D842">
        <v>8</v>
      </c>
      <c r="E842" t="s">
        <v>1056</v>
      </c>
      <c r="F842" t="s">
        <v>19</v>
      </c>
      <c r="G842" t="s">
        <v>20</v>
      </c>
      <c r="H842">
        <v>5</v>
      </c>
      <c r="I842">
        <v>1620</v>
      </c>
      <c r="J842">
        <v>0</v>
      </c>
    </row>
    <row r="843" spans="1:10">
      <c r="A843" t="s">
        <v>1118</v>
      </c>
      <c r="B843" t="s">
        <v>1117</v>
      </c>
      <c r="C843">
        <v>33</v>
      </c>
      <c r="D843">
        <v>8</v>
      </c>
      <c r="E843" t="s">
        <v>1056</v>
      </c>
      <c r="F843" t="s">
        <v>22</v>
      </c>
      <c r="G843" t="s">
        <v>23</v>
      </c>
      <c r="H843">
        <v>5</v>
      </c>
      <c r="I843">
        <v>500</v>
      </c>
      <c r="J843">
        <v>0</v>
      </c>
    </row>
    <row r="844" spans="1:10">
      <c r="A844" t="s">
        <v>1119</v>
      </c>
      <c r="B844" t="s">
        <v>1117</v>
      </c>
      <c r="C844">
        <v>33</v>
      </c>
      <c r="D844">
        <v>8</v>
      </c>
      <c r="E844" t="s">
        <v>1056</v>
      </c>
      <c r="F844" t="s">
        <v>97</v>
      </c>
      <c r="G844" t="s">
        <v>20</v>
      </c>
      <c r="H844">
        <v>3</v>
      </c>
      <c r="I844">
        <v>1980</v>
      </c>
      <c r="J844">
        <v>0</v>
      </c>
    </row>
    <row r="845" spans="1:10">
      <c r="A845" t="s">
        <v>1120</v>
      </c>
      <c r="B845" t="s">
        <v>1117</v>
      </c>
      <c r="C845">
        <v>33</v>
      </c>
      <c r="D845">
        <v>8</v>
      </c>
      <c r="E845" t="s">
        <v>1056</v>
      </c>
      <c r="F845" t="s">
        <v>13</v>
      </c>
      <c r="G845" t="s">
        <v>14</v>
      </c>
      <c r="H845">
        <v>1</v>
      </c>
      <c r="I845">
        <v>480</v>
      </c>
      <c r="J845">
        <v>0</v>
      </c>
    </row>
    <row r="846" spans="1:10">
      <c r="A846" t="s">
        <v>1121</v>
      </c>
      <c r="B846" t="s">
        <v>1117</v>
      </c>
      <c r="C846">
        <v>33</v>
      </c>
      <c r="D846">
        <v>8</v>
      </c>
      <c r="E846" t="s">
        <v>1056</v>
      </c>
      <c r="F846" t="s">
        <v>31</v>
      </c>
      <c r="G846" t="s">
        <v>23</v>
      </c>
      <c r="H846">
        <v>5</v>
      </c>
      <c r="I846">
        <v>1190</v>
      </c>
      <c r="J846">
        <v>15</v>
      </c>
    </row>
    <row r="847" spans="1:10">
      <c r="A847" t="s">
        <v>1122</v>
      </c>
      <c r="B847" t="s">
        <v>1117</v>
      </c>
      <c r="C847">
        <v>33</v>
      </c>
      <c r="D847">
        <v>8</v>
      </c>
      <c r="E847" t="s">
        <v>1056</v>
      </c>
      <c r="F847" t="s">
        <v>97</v>
      </c>
      <c r="G847" t="s">
        <v>20</v>
      </c>
      <c r="H847">
        <v>3</v>
      </c>
      <c r="I847">
        <v>1881</v>
      </c>
      <c r="J847">
        <v>5</v>
      </c>
    </row>
    <row r="848" spans="1:10">
      <c r="A848" t="s">
        <v>1123</v>
      </c>
      <c r="B848" t="s">
        <v>1124</v>
      </c>
      <c r="C848">
        <v>33</v>
      </c>
      <c r="D848">
        <v>8</v>
      </c>
      <c r="E848" t="s">
        <v>1056</v>
      </c>
      <c r="F848" t="s">
        <v>187</v>
      </c>
      <c r="G848" t="s">
        <v>14</v>
      </c>
      <c r="H848">
        <v>5</v>
      </c>
      <c r="I848">
        <v>3960</v>
      </c>
      <c r="J848">
        <v>10</v>
      </c>
    </row>
    <row r="849" spans="1:10">
      <c r="A849" t="s">
        <v>1125</v>
      </c>
      <c r="B849" t="s">
        <v>1124</v>
      </c>
      <c r="C849">
        <v>33</v>
      </c>
      <c r="D849">
        <v>8</v>
      </c>
      <c r="E849" t="s">
        <v>1056</v>
      </c>
      <c r="F849" t="s">
        <v>13</v>
      </c>
      <c r="G849" t="s">
        <v>14</v>
      </c>
      <c r="H849">
        <v>3</v>
      </c>
      <c r="I849">
        <v>480</v>
      </c>
      <c r="J849">
        <v>0</v>
      </c>
    </row>
    <row r="850" spans="1:10">
      <c r="A850" t="s">
        <v>1126</v>
      </c>
      <c r="B850" t="s">
        <v>1124</v>
      </c>
      <c r="C850">
        <v>33</v>
      </c>
      <c r="D850">
        <v>8</v>
      </c>
      <c r="E850" t="s">
        <v>1056</v>
      </c>
      <c r="F850" t="s">
        <v>37</v>
      </c>
      <c r="G850" t="s">
        <v>20</v>
      </c>
      <c r="H850">
        <v>2</v>
      </c>
      <c r="I850">
        <v>2340</v>
      </c>
      <c r="J850">
        <v>0</v>
      </c>
    </row>
    <row r="851" spans="1:10">
      <c r="A851" t="s">
        <v>1127</v>
      </c>
      <c r="B851" t="s">
        <v>1128</v>
      </c>
      <c r="C851">
        <v>33</v>
      </c>
      <c r="D851">
        <v>8</v>
      </c>
      <c r="E851" t="s">
        <v>1056</v>
      </c>
      <c r="F851" t="s">
        <v>187</v>
      </c>
      <c r="G851" t="s">
        <v>14</v>
      </c>
      <c r="H851">
        <v>5</v>
      </c>
      <c r="I851">
        <v>4400</v>
      </c>
      <c r="J851">
        <v>0</v>
      </c>
    </row>
    <row r="852" spans="1:10">
      <c r="A852" t="s">
        <v>1129</v>
      </c>
      <c r="B852" t="s">
        <v>1130</v>
      </c>
      <c r="C852">
        <v>34</v>
      </c>
      <c r="D852">
        <v>8</v>
      </c>
      <c r="E852" t="s">
        <v>1056</v>
      </c>
      <c r="F852" t="s">
        <v>58</v>
      </c>
      <c r="G852" t="s">
        <v>23</v>
      </c>
      <c r="H852">
        <v>3</v>
      </c>
      <c r="I852">
        <v>1000</v>
      </c>
      <c r="J852">
        <v>0</v>
      </c>
    </row>
    <row r="853" spans="1:10">
      <c r="A853" t="s">
        <v>1131</v>
      </c>
      <c r="B853" t="s">
        <v>1130</v>
      </c>
      <c r="C853">
        <v>34</v>
      </c>
      <c r="D853">
        <v>8</v>
      </c>
      <c r="E853" t="s">
        <v>1056</v>
      </c>
      <c r="F853" t="s">
        <v>22</v>
      </c>
      <c r="G853" t="s">
        <v>23</v>
      </c>
      <c r="H853">
        <v>2</v>
      </c>
      <c r="I853">
        <v>475</v>
      </c>
      <c r="J853">
        <v>5</v>
      </c>
    </row>
    <row r="854" spans="1:10">
      <c r="A854" t="s">
        <v>1132</v>
      </c>
      <c r="B854" t="s">
        <v>1133</v>
      </c>
      <c r="C854">
        <v>34</v>
      </c>
      <c r="D854">
        <v>8</v>
      </c>
      <c r="E854" t="s">
        <v>1056</v>
      </c>
      <c r="F854" t="s">
        <v>97</v>
      </c>
      <c r="G854" t="s">
        <v>20</v>
      </c>
      <c r="H854">
        <v>5</v>
      </c>
      <c r="I854">
        <v>1881</v>
      </c>
      <c r="J854">
        <v>5</v>
      </c>
    </row>
    <row r="855" spans="1:10">
      <c r="A855" t="s">
        <v>1134</v>
      </c>
      <c r="B855" t="s">
        <v>1135</v>
      </c>
      <c r="C855">
        <v>34</v>
      </c>
      <c r="D855">
        <v>8</v>
      </c>
      <c r="E855" t="s">
        <v>1056</v>
      </c>
      <c r="F855" t="s">
        <v>22</v>
      </c>
      <c r="G855" t="s">
        <v>23</v>
      </c>
      <c r="H855">
        <v>2</v>
      </c>
      <c r="I855">
        <v>500</v>
      </c>
      <c r="J855">
        <v>0</v>
      </c>
    </row>
    <row r="856" spans="1:10">
      <c r="A856" t="s">
        <v>1136</v>
      </c>
      <c r="B856" t="s">
        <v>1135</v>
      </c>
      <c r="C856">
        <v>34</v>
      </c>
      <c r="D856">
        <v>8</v>
      </c>
      <c r="E856" t="s">
        <v>1056</v>
      </c>
      <c r="F856" t="s">
        <v>349</v>
      </c>
      <c r="G856" t="s">
        <v>221</v>
      </c>
      <c r="H856">
        <v>4</v>
      </c>
      <c r="I856">
        <v>360</v>
      </c>
      <c r="J856">
        <v>10</v>
      </c>
    </row>
    <row r="857" spans="1:10">
      <c r="A857" t="s">
        <v>1137</v>
      </c>
      <c r="B857" t="s">
        <v>1138</v>
      </c>
      <c r="C857">
        <v>34</v>
      </c>
      <c r="D857">
        <v>8</v>
      </c>
      <c r="E857" t="s">
        <v>1056</v>
      </c>
      <c r="F857" t="s">
        <v>19</v>
      </c>
      <c r="G857" t="s">
        <v>20</v>
      </c>
      <c r="H857">
        <v>1</v>
      </c>
      <c r="I857">
        <v>1377</v>
      </c>
      <c r="J857">
        <v>15</v>
      </c>
    </row>
    <row r="858" spans="1:10">
      <c r="A858" t="s">
        <v>1139</v>
      </c>
      <c r="B858" t="s">
        <v>1138</v>
      </c>
      <c r="C858">
        <v>34</v>
      </c>
      <c r="D858">
        <v>8</v>
      </c>
      <c r="E858" t="s">
        <v>1056</v>
      </c>
      <c r="F858" t="s">
        <v>51</v>
      </c>
      <c r="G858" t="s">
        <v>26</v>
      </c>
      <c r="H858">
        <v>2</v>
      </c>
      <c r="I858">
        <v>500</v>
      </c>
      <c r="J858">
        <v>0</v>
      </c>
    </row>
    <row r="859" spans="1:10">
      <c r="A859" t="s">
        <v>1140</v>
      </c>
      <c r="B859" t="s">
        <v>1138</v>
      </c>
      <c r="C859">
        <v>34</v>
      </c>
      <c r="D859">
        <v>8</v>
      </c>
      <c r="E859" t="s">
        <v>1056</v>
      </c>
      <c r="F859" t="s">
        <v>369</v>
      </c>
      <c r="G859" t="s">
        <v>221</v>
      </c>
      <c r="H859">
        <v>2</v>
      </c>
      <c r="I859">
        <v>595</v>
      </c>
      <c r="J859">
        <v>15</v>
      </c>
    </row>
    <row r="860" spans="1:10">
      <c r="A860" t="s">
        <v>1141</v>
      </c>
      <c r="B860" t="s">
        <v>1142</v>
      </c>
      <c r="C860">
        <v>34</v>
      </c>
      <c r="D860">
        <v>8</v>
      </c>
      <c r="E860" t="s">
        <v>1056</v>
      </c>
      <c r="F860" t="s">
        <v>82</v>
      </c>
      <c r="G860" t="s">
        <v>20</v>
      </c>
      <c r="H860">
        <v>3</v>
      </c>
      <c r="I860">
        <v>810</v>
      </c>
      <c r="J860">
        <v>10</v>
      </c>
    </row>
    <row r="861" spans="1:10">
      <c r="A861" t="s">
        <v>1143</v>
      </c>
      <c r="B861" t="s">
        <v>1144</v>
      </c>
      <c r="C861">
        <v>34</v>
      </c>
      <c r="D861">
        <v>8</v>
      </c>
      <c r="E861" t="s">
        <v>1056</v>
      </c>
      <c r="F861" t="s">
        <v>146</v>
      </c>
      <c r="G861" t="s">
        <v>20</v>
      </c>
      <c r="H861">
        <v>2</v>
      </c>
      <c r="I861">
        <v>535.5</v>
      </c>
      <c r="J861">
        <v>15</v>
      </c>
    </row>
    <row r="862" spans="1:10">
      <c r="A862" t="s">
        <v>1145</v>
      </c>
      <c r="B862" t="s">
        <v>1144</v>
      </c>
      <c r="C862">
        <v>34</v>
      </c>
      <c r="D862">
        <v>8</v>
      </c>
      <c r="E862" t="s">
        <v>1056</v>
      </c>
      <c r="F862" t="s">
        <v>364</v>
      </c>
      <c r="G862" t="s">
        <v>221</v>
      </c>
      <c r="H862">
        <v>3</v>
      </c>
      <c r="I862">
        <v>816</v>
      </c>
      <c r="J862">
        <v>15</v>
      </c>
    </row>
    <row r="863" spans="1:10">
      <c r="A863" t="s">
        <v>1146</v>
      </c>
      <c r="B863" t="s">
        <v>1144</v>
      </c>
      <c r="C863">
        <v>34</v>
      </c>
      <c r="D863">
        <v>8</v>
      </c>
      <c r="E863" t="s">
        <v>1056</v>
      </c>
      <c r="F863" t="s">
        <v>97</v>
      </c>
      <c r="G863" t="s">
        <v>20</v>
      </c>
      <c r="H863">
        <v>4</v>
      </c>
      <c r="I863">
        <v>1980</v>
      </c>
      <c r="J863">
        <v>0</v>
      </c>
    </row>
    <row r="864" spans="1:10">
      <c r="A864" t="s">
        <v>1147</v>
      </c>
      <c r="B864" t="s">
        <v>1148</v>
      </c>
      <c r="C864">
        <v>35</v>
      </c>
      <c r="D864">
        <v>8</v>
      </c>
      <c r="E864" t="s">
        <v>1056</v>
      </c>
      <c r="F864" t="s">
        <v>64</v>
      </c>
      <c r="G864" t="s">
        <v>14</v>
      </c>
      <c r="H864">
        <v>2</v>
      </c>
      <c r="I864">
        <v>2508</v>
      </c>
      <c r="J864">
        <v>5</v>
      </c>
    </row>
    <row r="865" spans="1:10">
      <c r="A865" t="s">
        <v>1149</v>
      </c>
      <c r="B865" t="s">
        <v>1148</v>
      </c>
      <c r="C865">
        <v>35</v>
      </c>
      <c r="D865">
        <v>8</v>
      </c>
      <c r="E865" t="s">
        <v>1056</v>
      </c>
      <c r="F865" t="s">
        <v>64</v>
      </c>
      <c r="G865" t="s">
        <v>14</v>
      </c>
      <c r="H865">
        <v>5</v>
      </c>
      <c r="I865">
        <v>2640</v>
      </c>
      <c r="J865">
        <v>0</v>
      </c>
    </row>
    <row r="866" spans="1:10">
      <c r="A866" t="s">
        <v>1150</v>
      </c>
      <c r="B866" t="s">
        <v>1148</v>
      </c>
      <c r="C866">
        <v>35</v>
      </c>
      <c r="D866">
        <v>8</v>
      </c>
      <c r="E866" t="s">
        <v>1056</v>
      </c>
      <c r="F866" t="s">
        <v>37</v>
      </c>
      <c r="G866" t="s">
        <v>20</v>
      </c>
      <c r="H866">
        <v>2</v>
      </c>
      <c r="I866">
        <v>2340</v>
      </c>
      <c r="J866">
        <v>0</v>
      </c>
    </row>
    <row r="867" spans="1:10">
      <c r="A867" t="s">
        <v>1151</v>
      </c>
      <c r="B867" t="s">
        <v>1148</v>
      </c>
      <c r="C867">
        <v>35</v>
      </c>
      <c r="D867">
        <v>8</v>
      </c>
      <c r="E867" t="s">
        <v>1056</v>
      </c>
      <c r="F867" t="s">
        <v>97</v>
      </c>
      <c r="G867" t="s">
        <v>20</v>
      </c>
      <c r="H867">
        <v>1</v>
      </c>
      <c r="I867">
        <v>1782</v>
      </c>
      <c r="J867">
        <v>10</v>
      </c>
    </row>
    <row r="868" spans="1:10">
      <c r="A868" t="s">
        <v>1152</v>
      </c>
      <c r="B868" t="s">
        <v>1148</v>
      </c>
      <c r="C868">
        <v>35</v>
      </c>
      <c r="D868">
        <v>8</v>
      </c>
      <c r="E868" t="s">
        <v>1056</v>
      </c>
      <c r="F868" t="s">
        <v>31</v>
      </c>
      <c r="G868" t="s">
        <v>23</v>
      </c>
      <c r="H868">
        <v>1</v>
      </c>
      <c r="I868">
        <v>1260</v>
      </c>
      <c r="J868">
        <v>10</v>
      </c>
    </row>
    <row r="869" spans="1:10">
      <c r="A869" t="s">
        <v>1153</v>
      </c>
      <c r="B869" t="s">
        <v>1148</v>
      </c>
      <c r="C869">
        <v>35</v>
      </c>
      <c r="D869">
        <v>8</v>
      </c>
      <c r="E869" t="s">
        <v>1056</v>
      </c>
      <c r="F869" t="s">
        <v>369</v>
      </c>
      <c r="G869" t="s">
        <v>221</v>
      </c>
      <c r="H869">
        <v>3</v>
      </c>
      <c r="I869">
        <v>595</v>
      </c>
      <c r="J869">
        <v>15</v>
      </c>
    </row>
    <row r="870" spans="1:10">
      <c r="A870" t="s">
        <v>1154</v>
      </c>
      <c r="B870" t="s">
        <v>1155</v>
      </c>
      <c r="C870">
        <v>35</v>
      </c>
      <c r="D870">
        <v>8</v>
      </c>
      <c r="E870" t="s">
        <v>1056</v>
      </c>
      <c r="F870" t="s">
        <v>364</v>
      </c>
      <c r="G870" t="s">
        <v>221</v>
      </c>
      <c r="H870">
        <v>1</v>
      </c>
      <c r="I870">
        <v>912</v>
      </c>
      <c r="J870">
        <v>5</v>
      </c>
    </row>
    <row r="871" spans="1:10">
      <c r="A871" t="s">
        <v>1156</v>
      </c>
      <c r="B871" t="s">
        <v>1155</v>
      </c>
      <c r="C871">
        <v>35</v>
      </c>
      <c r="D871">
        <v>8</v>
      </c>
      <c r="E871" t="s">
        <v>1056</v>
      </c>
      <c r="F871" t="s">
        <v>187</v>
      </c>
      <c r="G871" t="s">
        <v>14</v>
      </c>
      <c r="H871">
        <v>5</v>
      </c>
      <c r="I871">
        <v>3960</v>
      </c>
      <c r="J871">
        <v>10</v>
      </c>
    </row>
    <row r="872" spans="1:10">
      <c r="A872" t="s">
        <v>1157</v>
      </c>
      <c r="B872" t="s">
        <v>1155</v>
      </c>
      <c r="C872">
        <v>35</v>
      </c>
      <c r="D872">
        <v>8</v>
      </c>
      <c r="E872" t="s">
        <v>1056</v>
      </c>
      <c r="F872" t="s">
        <v>115</v>
      </c>
      <c r="G872" t="s">
        <v>23</v>
      </c>
      <c r="H872">
        <v>2</v>
      </c>
      <c r="I872">
        <v>1020</v>
      </c>
      <c r="J872">
        <v>15</v>
      </c>
    </row>
    <row r="873" spans="1:10">
      <c r="A873" t="s">
        <v>1158</v>
      </c>
      <c r="B873" t="s">
        <v>1155</v>
      </c>
      <c r="C873">
        <v>35</v>
      </c>
      <c r="D873">
        <v>8</v>
      </c>
      <c r="E873" t="s">
        <v>1056</v>
      </c>
      <c r="F873" t="s">
        <v>349</v>
      </c>
      <c r="G873" t="s">
        <v>221</v>
      </c>
      <c r="H873">
        <v>2</v>
      </c>
      <c r="I873">
        <v>380</v>
      </c>
      <c r="J873">
        <v>5</v>
      </c>
    </row>
    <row r="874" spans="1:10">
      <c r="A874" t="s">
        <v>1159</v>
      </c>
      <c r="B874" t="s">
        <v>1160</v>
      </c>
      <c r="C874">
        <v>35</v>
      </c>
      <c r="D874">
        <v>8</v>
      </c>
      <c r="E874" t="s">
        <v>1056</v>
      </c>
      <c r="F874" t="s">
        <v>187</v>
      </c>
      <c r="G874" t="s">
        <v>14</v>
      </c>
      <c r="H874">
        <v>1</v>
      </c>
      <c r="I874">
        <v>4400</v>
      </c>
      <c r="J874">
        <v>0</v>
      </c>
    </row>
    <row r="875" spans="1:10">
      <c r="A875" t="s">
        <v>1161</v>
      </c>
      <c r="B875" t="s">
        <v>1160</v>
      </c>
      <c r="C875">
        <v>35</v>
      </c>
      <c r="D875">
        <v>8</v>
      </c>
      <c r="E875" t="s">
        <v>1056</v>
      </c>
      <c r="F875" t="s">
        <v>51</v>
      </c>
      <c r="G875" t="s">
        <v>26</v>
      </c>
      <c r="H875">
        <v>3</v>
      </c>
      <c r="I875">
        <v>500</v>
      </c>
      <c r="J875">
        <v>0</v>
      </c>
    </row>
    <row r="876" spans="1:10">
      <c r="A876" t="s">
        <v>1162</v>
      </c>
      <c r="B876" t="s">
        <v>1160</v>
      </c>
      <c r="C876">
        <v>35</v>
      </c>
      <c r="D876">
        <v>8</v>
      </c>
      <c r="E876" t="s">
        <v>1056</v>
      </c>
      <c r="F876" t="s">
        <v>45</v>
      </c>
      <c r="G876" t="s">
        <v>26</v>
      </c>
      <c r="H876">
        <v>3</v>
      </c>
      <c r="I876">
        <v>4500</v>
      </c>
      <c r="J876">
        <v>0</v>
      </c>
    </row>
    <row r="877" spans="1:10">
      <c r="A877" t="s">
        <v>1163</v>
      </c>
      <c r="B877" t="s">
        <v>1160</v>
      </c>
      <c r="C877">
        <v>35</v>
      </c>
      <c r="D877">
        <v>8</v>
      </c>
      <c r="E877" t="s">
        <v>1056</v>
      </c>
      <c r="F877" t="s">
        <v>42</v>
      </c>
      <c r="G877" t="s">
        <v>23</v>
      </c>
      <c r="H877">
        <v>5</v>
      </c>
      <c r="I877">
        <v>510</v>
      </c>
      <c r="J877">
        <v>15</v>
      </c>
    </row>
    <row r="878" spans="1:10">
      <c r="A878" t="s">
        <v>1164</v>
      </c>
      <c r="B878" t="s">
        <v>1165</v>
      </c>
      <c r="C878">
        <v>35</v>
      </c>
      <c r="D878">
        <v>8</v>
      </c>
      <c r="E878" t="s">
        <v>1056</v>
      </c>
      <c r="F878" t="s">
        <v>220</v>
      </c>
      <c r="G878" t="s">
        <v>221</v>
      </c>
      <c r="H878">
        <v>1</v>
      </c>
      <c r="I878">
        <v>510</v>
      </c>
      <c r="J878">
        <v>15</v>
      </c>
    </row>
    <row r="879" spans="1:10">
      <c r="A879" t="s">
        <v>1166</v>
      </c>
      <c r="B879" t="s">
        <v>1165</v>
      </c>
      <c r="C879">
        <v>35</v>
      </c>
      <c r="D879">
        <v>8</v>
      </c>
      <c r="E879" t="s">
        <v>1056</v>
      </c>
      <c r="F879" t="s">
        <v>68</v>
      </c>
      <c r="G879" t="s">
        <v>26</v>
      </c>
      <c r="H879">
        <v>1</v>
      </c>
      <c r="I879">
        <v>342</v>
      </c>
      <c r="J879">
        <v>10</v>
      </c>
    </row>
    <row r="880" spans="1:10">
      <c r="A880" t="s">
        <v>1167</v>
      </c>
      <c r="B880" t="s">
        <v>1168</v>
      </c>
      <c r="C880">
        <v>35</v>
      </c>
      <c r="D880">
        <v>8</v>
      </c>
      <c r="E880" t="s">
        <v>1056</v>
      </c>
      <c r="F880" t="s">
        <v>80</v>
      </c>
      <c r="G880" t="s">
        <v>14</v>
      </c>
      <c r="H880">
        <v>1</v>
      </c>
      <c r="I880">
        <v>340</v>
      </c>
      <c r="J880">
        <v>15</v>
      </c>
    </row>
    <row r="881" spans="1:10">
      <c r="A881" t="s">
        <v>1169</v>
      </c>
      <c r="B881" t="s">
        <v>1170</v>
      </c>
      <c r="C881">
        <v>35</v>
      </c>
      <c r="D881">
        <v>8</v>
      </c>
      <c r="E881" t="s">
        <v>1056</v>
      </c>
      <c r="F881" t="s">
        <v>13</v>
      </c>
      <c r="G881" t="s">
        <v>14</v>
      </c>
      <c r="H881">
        <v>5</v>
      </c>
      <c r="I881">
        <v>432</v>
      </c>
      <c r="J881">
        <v>10</v>
      </c>
    </row>
    <row r="882" spans="1:10">
      <c r="A882" t="s">
        <v>1171</v>
      </c>
      <c r="B882" t="s">
        <v>1170</v>
      </c>
      <c r="C882">
        <v>35</v>
      </c>
      <c r="D882">
        <v>8</v>
      </c>
      <c r="E882" t="s">
        <v>1056</v>
      </c>
      <c r="F882" t="s">
        <v>28</v>
      </c>
      <c r="G882" t="s">
        <v>26</v>
      </c>
      <c r="H882">
        <v>2</v>
      </c>
      <c r="I882">
        <v>1500</v>
      </c>
      <c r="J882">
        <v>0</v>
      </c>
    </row>
    <row r="883" spans="1:10">
      <c r="A883" t="s">
        <v>1172</v>
      </c>
      <c r="B883" t="s">
        <v>1170</v>
      </c>
      <c r="C883">
        <v>35</v>
      </c>
      <c r="D883">
        <v>8</v>
      </c>
      <c r="E883" t="s">
        <v>1056</v>
      </c>
      <c r="F883" t="s">
        <v>25</v>
      </c>
      <c r="G883" t="s">
        <v>26</v>
      </c>
      <c r="H883">
        <v>1</v>
      </c>
      <c r="I883">
        <v>1000</v>
      </c>
      <c r="J883">
        <v>0</v>
      </c>
    </row>
    <row r="884" spans="1:10">
      <c r="A884" t="s">
        <v>1173</v>
      </c>
      <c r="B884" t="s">
        <v>1170</v>
      </c>
      <c r="C884">
        <v>35</v>
      </c>
      <c r="D884">
        <v>8</v>
      </c>
      <c r="E884" t="s">
        <v>1056</v>
      </c>
      <c r="F884" t="s">
        <v>80</v>
      </c>
      <c r="G884" t="s">
        <v>14</v>
      </c>
      <c r="H884">
        <v>5</v>
      </c>
      <c r="I884">
        <v>380</v>
      </c>
      <c r="J884">
        <v>5</v>
      </c>
    </row>
    <row r="885" spans="1:10">
      <c r="A885" t="s">
        <v>1174</v>
      </c>
      <c r="B885" t="s">
        <v>1170</v>
      </c>
      <c r="C885">
        <v>35</v>
      </c>
      <c r="D885">
        <v>8</v>
      </c>
      <c r="E885" t="s">
        <v>1056</v>
      </c>
      <c r="F885" t="s">
        <v>364</v>
      </c>
      <c r="G885" t="s">
        <v>221</v>
      </c>
      <c r="H885">
        <v>1</v>
      </c>
      <c r="I885">
        <v>960</v>
      </c>
      <c r="J885">
        <v>0</v>
      </c>
    </row>
    <row r="886" spans="1:10">
      <c r="A886" t="s">
        <v>1175</v>
      </c>
      <c r="B886" t="s">
        <v>1170</v>
      </c>
      <c r="C886">
        <v>35</v>
      </c>
      <c r="D886">
        <v>8</v>
      </c>
      <c r="E886" t="s">
        <v>1056</v>
      </c>
      <c r="F886" t="s">
        <v>28</v>
      </c>
      <c r="G886" t="s">
        <v>26</v>
      </c>
      <c r="H886">
        <v>1</v>
      </c>
      <c r="I886">
        <v>1500</v>
      </c>
      <c r="J886">
        <v>0</v>
      </c>
    </row>
    <row r="887" spans="1:10">
      <c r="A887" t="s">
        <v>1176</v>
      </c>
      <c r="B887" t="s">
        <v>1177</v>
      </c>
      <c r="C887">
        <v>35</v>
      </c>
      <c r="D887">
        <v>9</v>
      </c>
      <c r="E887" t="s">
        <v>1178</v>
      </c>
      <c r="F887" t="s">
        <v>66</v>
      </c>
      <c r="G887" t="s">
        <v>17</v>
      </c>
      <c r="H887">
        <v>1</v>
      </c>
      <c r="I887">
        <v>1470</v>
      </c>
      <c r="J887">
        <v>0</v>
      </c>
    </row>
    <row r="888" spans="1:10">
      <c r="A888" t="s">
        <v>1179</v>
      </c>
      <c r="B888" t="s">
        <v>1177</v>
      </c>
      <c r="C888">
        <v>35</v>
      </c>
      <c r="D888">
        <v>9</v>
      </c>
      <c r="E888" t="s">
        <v>1178</v>
      </c>
      <c r="F888" t="s">
        <v>22</v>
      </c>
      <c r="G888" t="s">
        <v>23</v>
      </c>
      <c r="H888">
        <v>3</v>
      </c>
      <c r="I888">
        <v>450</v>
      </c>
      <c r="J888">
        <v>10</v>
      </c>
    </row>
    <row r="889" spans="1:10">
      <c r="A889" t="s">
        <v>1180</v>
      </c>
      <c r="B889" t="s">
        <v>1181</v>
      </c>
      <c r="C889">
        <v>36</v>
      </c>
      <c r="D889">
        <v>9</v>
      </c>
      <c r="E889" t="s">
        <v>1178</v>
      </c>
      <c r="F889" t="s">
        <v>94</v>
      </c>
      <c r="G889" t="s">
        <v>17</v>
      </c>
      <c r="H889">
        <v>4</v>
      </c>
      <c r="I889">
        <v>1680</v>
      </c>
      <c r="J889">
        <v>0</v>
      </c>
    </row>
    <row r="890" spans="1:10">
      <c r="A890" t="s">
        <v>1182</v>
      </c>
      <c r="B890" t="s">
        <v>1181</v>
      </c>
      <c r="C890">
        <v>36</v>
      </c>
      <c r="D890">
        <v>9</v>
      </c>
      <c r="E890" t="s">
        <v>1178</v>
      </c>
      <c r="F890" t="s">
        <v>19</v>
      </c>
      <c r="G890" t="s">
        <v>20</v>
      </c>
      <c r="H890">
        <v>1</v>
      </c>
      <c r="I890">
        <v>1620</v>
      </c>
      <c r="J890">
        <v>0</v>
      </c>
    </row>
    <row r="891" spans="1:10">
      <c r="A891" t="s">
        <v>1183</v>
      </c>
      <c r="B891" t="s">
        <v>1181</v>
      </c>
      <c r="C891">
        <v>36</v>
      </c>
      <c r="D891">
        <v>9</v>
      </c>
      <c r="E891" t="s">
        <v>1178</v>
      </c>
      <c r="F891" t="s">
        <v>369</v>
      </c>
      <c r="G891" t="s">
        <v>221</v>
      </c>
      <c r="H891">
        <v>2</v>
      </c>
      <c r="I891">
        <v>700</v>
      </c>
      <c r="J891">
        <v>0</v>
      </c>
    </row>
    <row r="892" spans="1:10">
      <c r="A892" t="s">
        <v>1184</v>
      </c>
      <c r="B892" t="s">
        <v>1181</v>
      </c>
      <c r="C892">
        <v>36</v>
      </c>
      <c r="D892">
        <v>9</v>
      </c>
      <c r="E892" t="s">
        <v>1178</v>
      </c>
      <c r="F892" t="s">
        <v>28</v>
      </c>
      <c r="G892" t="s">
        <v>26</v>
      </c>
      <c r="H892">
        <v>2</v>
      </c>
      <c r="I892">
        <v>1275</v>
      </c>
      <c r="J892">
        <v>15</v>
      </c>
    </row>
    <row r="893" spans="1:10">
      <c r="A893" t="s">
        <v>1185</v>
      </c>
      <c r="B893" t="s">
        <v>1186</v>
      </c>
      <c r="C893">
        <v>36</v>
      </c>
      <c r="D893">
        <v>9</v>
      </c>
      <c r="E893" t="s">
        <v>1178</v>
      </c>
      <c r="F893" t="s">
        <v>64</v>
      </c>
      <c r="G893" t="s">
        <v>14</v>
      </c>
      <c r="H893">
        <v>4</v>
      </c>
      <c r="I893">
        <v>2640</v>
      </c>
      <c r="J893">
        <v>0</v>
      </c>
    </row>
    <row r="894" spans="1:10">
      <c r="A894" t="s">
        <v>1187</v>
      </c>
      <c r="B894" t="s">
        <v>1186</v>
      </c>
      <c r="C894">
        <v>36</v>
      </c>
      <c r="D894">
        <v>9</v>
      </c>
      <c r="E894" t="s">
        <v>1178</v>
      </c>
      <c r="F894" t="s">
        <v>94</v>
      </c>
      <c r="G894" t="s">
        <v>17</v>
      </c>
      <c r="H894">
        <v>2</v>
      </c>
      <c r="I894">
        <v>1428</v>
      </c>
      <c r="J894">
        <v>15</v>
      </c>
    </row>
    <row r="895" spans="1:10">
      <c r="A895" t="s">
        <v>1188</v>
      </c>
      <c r="B895" t="s">
        <v>1186</v>
      </c>
      <c r="C895">
        <v>36</v>
      </c>
      <c r="D895">
        <v>9</v>
      </c>
      <c r="E895" t="s">
        <v>1178</v>
      </c>
      <c r="F895" t="s">
        <v>80</v>
      </c>
      <c r="G895" t="s">
        <v>14</v>
      </c>
      <c r="H895">
        <v>2</v>
      </c>
      <c r="I895">
        <v>380</v>
      </c>
      <c r="J895">
        <v>5</v>
      </c>
    </row>
    <row r="896" spans="1:10">
      <c r="A896" t="s">
        <v>1189</v>
      </c>
      <c r="B896" t="s">
        <v>1186</v>
      </c>
      <c r="C896">
        <v>36</v>
      </c>
      <c r="D896">
        <v>9</v>
      </c>
      <c r="E896" t="s">
        <v>1178</v>
      </c>
      <c r="F896" t="s">
        <v>35</v>
      </c>
      <c r="G896" t="s">
        <v>17</v>
      </c>
      <c r="H896">
        <v>4</v>
      </c>
      <c r="I896">
        <v>3150</v>
      </c>
      <c r="J896">
        <v>0</v>
      </c>
    </row>
    <row r="897" spans="1:10">
      <c r="A897" t="s">
        <v>1190</v>
      </c>
      <c r="B897" t="s">
        <v>1186</v>
      </c>
      <c r="C897">
        <v>36</v>
      </c>
      <c r="D897">
        <v>9</v>
      </c>
      <c r="E897" t="s">
        <v>1178</v>
      </c>
      <c r="F897" t="s">
        <v>80</v>
      </c>
      <c r="G897" t="s">
        <v>14</v>
      </c>
      <c r="H897">
        <v>5</v>
      </c>
      <c r="I897">
        <v>400</v>
      </c>
      <c r="J897">
        <v>0</v>
      </c>
    </row>
    <row r="898" spans="1:10">
      <c r="A898" t="s">
        <v>1191</v>
      </c>
      <c r="B898" t="s">
        <v>1192</v>
      </c>
      <c r="C898">
        <v>36</v>
      </c>
      <c r="D898">
        <v>9</v>
      </c>
      <c r="E898" t="s">
        <v>1178</v>
      </c>
      <c r="F898" t="s">
        <v>187</v>
      </c>
      <c r="G898" t="s">
        <v>14</v>
      </c>
      <c r="H898">
        <v>5</v>
      </c>
      <c r="I898">
        <v>4400</v>
      </c>
      <c r="J898">
        <v>0</v>
      </c>
    </row>
    <row r="899" spans="1:10">
      <c r="A899" t="s">
        <v>1193</v>
      </c>
      <c r="B899" t="s">
        <v>1192</v>
      </c>
      <c r="C899">
        <v>36</v>
      </c>
      <c r="D899">
        <v>9</v>
      </c>
      <c r="E899" t="s">
        <v>1178</v>
      </c>
      <c r="F899" t="s">
        <v>66</v>
      </c>
      <c r="G899" t="s">
        <v>17</v>
      </c>
      <c r="H899">
        <v>2</v>
      </c>
      <c r="I899">
        <v>1396.5</v>
      </c>
      <c r="J899">
        <v>5</v>
      </c>
    </row>
    <row r="900" spans="1:10">
      <c r="A900" t="s">
        <v>1194</v>
      </c>
      <c r="B900" t="s">
        <v>1192</v>
      </c>
      <c r="C900">
        <v>36</v>
      </c>
      <c r="D900">
        <v>9</v>
      </c>
      <c r="E900" t="s">
        <v>1178</v>
      </c>
      <c r="F900" t="s">
        <v>94</v>
      </c>
      <c r="G900" t="s">
        <v>17</v>
      </c>
      <c r="H900">
        <v>1</v>
      </c>
      <c r="I900">
        <v>1428</v>
      </c>
      <c r="J900">
        <v>15</v>
      </c>
    </row>
    <row r="901" spans="1:10">
      <c r="A901" t="s">
        <v>1195</v>
      </c>
      <c r="B901" t="s">
        <v>1192</v>
      </c>
      <c r="C901">
        <v>36</v>
      </c>
      <c r="D901">
        <v>9</v>
      </c>
      <c r="E901" t="s">
        <v>1178</v>
      </c>
      <c r="F901" t="s">
        <v>369</v>
      </c>
      <c r="G901" t="s">
        <v>221</v>
      </c>
      <c r="H901">
        <v>2</v>
      </c>
      <c r="I901">
        <v>595</v>
      </c>
      <c r="J901">
        <v>15</v>
      </c>
    </row>
    <row r="902" spans="1:10">
      <c r="A902" t="s">
        <v>1196</v>
      </c>
      <c r="B902" t="s">
        <v>1192</v>
      </c>
      <c r="C902">
        <v>36</v>
      </c>
      <c r="D902">
        <v>9</v>
      </c>
      <c r="E902" t="s">
        <v>1178</v>
      </c>
      <c r="F902" t="s">
        <v>13</v>
      </c>
      <c r="G902" t="s">
        <v>14</v>
      </c>
      <c r="H902">
        <v>2</v>
      </c>
      <c r="I902">
        <v>408</v>
      </c>
      <c r="J902">
        <v>15</v>
      </c>
    </row>
    <row r="903" spans="1:10">
      <c r="A903" t="s">
        <v>1197</v>
      </c>
      <c r="B903" t="s">
        <v>1192</v>
      </c>
      <c r="C903">
        <v>36</v>
      </c>
      <c r="D903">
        <v>9</v>
      </c>
      <c r="E903" t="s">
        <v>1178</v>
      </c>
      <c r="F903" t="s">
        <v>28</v>
      </c>
      <c r="G903" t="s">
        <v>26</v>
      </c>
      <c r="H903">
        <v>3</v>
      </c>
      <c r="I903">
        <v>1500</v>
      </c>
      <c r="J903">
        <v>0</v>
      </c>
    </row>
    <row r="904" spans="1:10">
      <c r="A904" t="s">
        <v>1198</v>
      </c>
      <c r="B904" t="s">
        <v>1199</v>
      </c>
      <c r="C904">
        <v>36</v>
      </c>
      <c r="D904">
        <v>9</v>
      </c>
      <c r="E904" t="s">
        <v>1178</v>
      </c>
      <c r="F904" t="s">
        <v>28</v>
      </c>
      <c r="G904" t="s">
        <v>26</v>
      </c>
      <c r="H904">
        <v>3</v>
      </c>
      <c r="I904">
        <v>1275</v>
      </c>
      <c r="J904">
        <v>15</v>
      </c>
    </row>
    <row r="905" spans="1:10">
      <c r="A905" t="s">
        <v>1200</v>
      </c>
      <c r="B905" t="s">
        <v>1199</v>
      </c>
      <c r="C905">
        <v>36</v>
      </c>
      <c r="D905">
        <v>9</v>
      </c>
      <c r="E905" t="s">
        <v>1178</v>
      </c>
      <c r="F905" t="s">
        <v>64</v>
      </c>
      <c r="G905" t="s">
        <v>14</v>
      </c>
      <c r="H905">
        <v>3</v>
      </c>
      <c r="I905">
        <v>2244</v>
      </c>
      <c r="J905">
        <v>15</v>
      </c>
    </row>
    <row r="906" spans="1:10">
      <c r="A906" t="s">
        <v>1201</v>
      </c>
      <c r="B906" t="s">
        <v>1199</v>
      </c>
      <c r="C906">
        <v>36</v>
      </c>
      <c r="D906">
        <v>9</v>
      </c>
      <c r="E906" t="s">
        <v>1178</v>
      </c>
      <c r="F906" t="s">
        <v>115</v>
      </c>
      <c r="G906" t="s">
        <v>23</v>
      </c>
      <c r="H906">
        <v>4</v>
      </c>
      <c r="I906">
        <v>1200</v>
      </c>
      <c r="J906">
        <v>0</v>
      </c>
    </row>
    <row r="907" spans="1:10">
      <c r="A907" t="s">
        <v>1202</v>
      </c>
      <c r="B907" t="s">
        <v>1199</v>
      </c>
      <c r="C907">
        <v>36</v>
      </c>
      <c r="D907">
        <v>9</v>
      </c>
      <c r="E907" t="s">
        <v>1178</v>
      </c>
      <c r="F907" t="s">
        <v>115</v>
      </c>
      <c r="G907" t="s">
        <v>23</v>
      </c>
      <c r="H907">
        <v>1</v>
      </c>
      <c r="I907">
        <v>1200</v>
      </c>
      <c r="J907">
        <v>0</v>
      </c>
    </row>
    <row r="908" spans="1:10">
      <c r="A908" t="s">
        <v>1203</v>
      </c>
      <c r="B908" t="s">
        <v>1199</v>
      </c>
      <c r="C908">
        <v>36</v>
      </c>
      <c r="D908">
        <v>9</v>
      </c>
      <c r="E908" t="s">
        <v>1178</v>
      </c>
      <c r="F908" t="s">
        <v>97</v>
      </c>
      <c r="G908" t="s">
        <v>20</v>
      </c>
      <c r="H908">
        <v>1</v>
      </c>
      <c r="I908">
        <v>1980</v>
      </c>
      <c r="J908">
        <v>0</v>
      </c>
    </row>
    <row r="909" spans="1:10">
      <c r="A909" t="s">
        <v>1204</v>
      </c>
      <c r="B909" t="s">
        <v>1199</v>
      </c>
      <c r="C909">
        <v>36</v>
      </c>
      <c r="D909">
        <v>9</v>
      </c>
      <c r="E909" t="s">
        <v>1178</v>
      </c>
      <c r="F909" t="s">
        <v>94</v>
      </c>
      <c r="G909" t="s">
        <v>17</v>
      </c>
      <c r="H909">
        <v>5</v>
      </c>
      <c r="I909">
        <v>1596</v>
      </c>
      <c r="J909">
        <v>5</v>
      </c>
    </row>
    <row r="910" spans="1:10">
      <c r="A910" t="s">
        <v>1205</v>
      </c>
      <c r="B910" t="s">
        <v>1206</v>
      </c>
      <c r="C910">
        <v>36</v>
      </c>
      <c r="D910">
        <v>9</v>
      </c>
      <c r="E910" t="s">
        <v>1178</v>
      </c>
      <c r="F910" t="s">
        <v>187</v>
      </c>
      <c r="G910" t="s">
        <v>14</v>
      </c>
      <c r="H910">
        <v>1</v>
      </c>
      <c r="I910">
        <v>4400</v>
      </c>
      <c r="J910">
        <v>0</v>
      </c>
    </row>
    <row r="911" spans="1:10">
      <c r="A911" t="s">
        <v>1207</v>
      </c>
      <c r="B911" t="s">
        <v>1206</v>
      </c>
      <c r="C911">
        <v>36</v>
      </c>
      <c r="D911">
        <v>9</v>
      </c>
      <c r="E911" t="s">
        <v>1178</v>
      </c>
      <c r="F911" t="s">
        <v>37</v>
      </c>
      <c r="G911" t="s">
        <v>20</v>
      </c>
      <c r="H911">
        <v>4</v>
      </c>
      <c r="I911">
        <v>2340</v>
      </c>
      <c r="J911">
        <v>0</v>
      </c>
    </row>
    <row r="912" spans="1:10">
      <c r="A912" t="s">
        <v>1208</v>
      </c>
      <c r="B912" t="s">
        <v>1206</v>
      </c>
      <c r="C912">
        <v>36</v>
      </c>
      <c r="D912">
        <v>9</v>
      </c>
      <c r="E912" t="s">
        <v>1178</v>
      </c>
      <c r="F912" t="s">
        <v>82</v>
      </c>
      <c r="G912" t="s">
        <v>20</v>
      </c>
      <c r="H912">
        <v>4</v>
      </c>
      <c r="I912">
        <v>900</v>
      </c>
      <c r="J912">
        <v>0</v>
      </c>
    </row>
    <row r="913" spans="1:10">
      <c r="A913" t="s">
        <v>1209</v>
      </c>
      <c r="B913" t="s">
        <v>1210</v>
      </c>
      <c r="C913">
        <v>36</v>
      </c>
      <c r="D913">
        <v>9</v>
      </c>
      <c r="E913" t="s">
        <v>1178</v>
      </c>
      <c r="F913" t="s">
        <v>45</v>
      </c>
      <c r="G913" t="s">
        <v>26</v>
      </c>
      <c r="H913">
        <v>2</v>
      </c>
      <c r="I913">
        <v>4500</v>
      </c>
      <c r="J913">
        <v>0</v>
      </c>
    </row>
    <row r="914" spans="1:10">
      <c r="A914" t="s">
        <v>1211</v>
      </c>
      <c r="B914" t="s">
        <v>1210</v>
      </c>
      <c r="C914">
        <v>36</v>
      </c>
      <c r="D914">
        <v>9</v>
      </c>
      <c r="E914" t="s">
        <v>1178</v>
      </c>
      <c r="F914" t="s">
        <v>119</v>
      </c>
      <c r="G914" t="s">
        <v>14</v>
      </c>
      <c r="H914">
        <v>2</v>
      </c>
      <c r="I914">
        <v>693</v>
      </c>
      <c r="J914">
        <v>10</v>
      </c>
    </row>
    <row r="915" spans="1:10">
      <c r="A915" t="s">
        <v>1212</v>
      </c>
      <c r="B915" t="s">
        <v>1210</v>
      </c>
      <c r="C915">
        <v>36</v>
      </c>
      <c r="D915">
        <v>9</v>
      </c>
      <c r="E915" t="s">
        <v>1178</v>
      </c>
      <c r="F915" t="s">
        <v>16</v>
      </c>
      <c r="G915" t="s">
        <v>17</v>
      </c>
      <c r="H915">
        <v>5</v>
      </c>
      <c r="I915">
        <v>520</v>
      </c>
      <c r="J915">
        <v>0</v>
      </c>
    </row>
    <row r="916" spans="1:10">
      <c r="A916" t="s">
        <v>1213</v>
      </c>
      <c r="B916" t="s">
        <v>1210</v>
      </c>
      <c r="C916">
        <v>36</v>
      </c>
      <c r="D916">
        <v>9</v>
      </c>
      <c r="E916" t="s">
        <v>1178</v>
      </c>
      <c r="F916" t="s">
        <v>51</v>
      </c>
      <c r="G916" t="s">
        <v>26</v>
      </c>
      <c r="H916">
        <v>5</v>
      </c>
      <c r="I916">
        <v>500</v>
      </c>
      <c r="J916">
        <v>0</v>
      </c>
    </row>
    <row r="917" spans="1:10">
      <c r="A917" t="s">
        <v>1214</v>
      </c>
      <c r="B917" t="s">
        <v>1215</v>
      </c>
      <c r="C917">
        <v>36</v>
      </c>
      <c r="D917">
        <v>9</v>
      </c>
      <c r="E917" t="s">
        <v>1178</v>
      </c>
      <c r="F917" t="s">
        <v>94</v>
      </c>
      <c r="G917" t="s">
        <v>17</v>
      </c>
      <c r="H917">
        <v>4</v>
      </c>
      <c r="I917">
        <v>1680</v>
      </c>
      <c r="J917">
        <v>0</v>
      </c>
    </row>
    <row r="918" spans="1:10">
      <c r="A918" t="s">
        <v>1216</v>
      </c>
      <c r="B918" t="s">
        <v>1217</v>
      </c>
      <c r="C918">
        <v>37</v>
      </c>
      <c r="D918">
        <v>9</v>
      </c>
      <c r="E918" t="s">
        <v>1178</v>
      </c>
      <c r="F918" t="s">
        <v>220</v>
      </c>
      <c r="G918" t="s">
        <v>221</v>
      </c>
      <c r="H918">
        <v>5</v>
      </c>
      <c r="I918">
        <v>600</v>
      </c>
      <c r="J918">
        <v>0</v>
      </c>
    </row>
    <row r="919" spans="1:10">
      <c r="A919" t="s">
        <v>1218</v>
      </c>
      <c r="B919" t="s">
        <v>1217</v>
      </c>
      <c r="C919">
        <v>37</v>
      </c>
      <c r="D919">
        <v>9</v>
      </c>
      <c r="E919" t="s">
        <v>1178</v>
      </c>
      <c r="F919" t="s">
        <v>80</v>
      </c>
      <c r="G919" t="s">
        <v>14</v>
      </c>
      <c r="H919">
        <v>2</v>
      </c>
      <c r="I919">
        <v>400</v>
      </c>
      <c r="J919">
        <v>0</v>
      </c>
    </row>
    <row r="920" spans="1:10">
      <c r="A920" t="s">
        <v>1219</v>
      </c>
      <c r="B920" t="s">
        <v>1220</v>
      </c>
      <c r="C920">
        <v>37</v>
      </c>
      <c r="D920">
        <v>9</v>
      </c>
      <c r="E920" t="s">
        <v>1178</v>
      </c>
      <c r="F920" t="s">
        <v>16</v>
      </c>
      <c r="G920" t="s">
        <v>17</v>
      </c>
      <c r="H920">
        <v>4</v>
      </c>
      <c r="I920">
        <v>520</v>
      </c>
      <c r="J920">
        <v>0</v>
      </c>
    </row>
    <row r="921" spans="1:10">
      <c r="A921" t="s">
        <v>1221</v>
      </c>
      <c r="B921" t="s">
        <v>1220</v>
      </c>
      <c r="C921">
        <v>37</v>
      </c>
      <c r="D921">
        <v>9</v>
      </c>
      <c r="E921" t="s">
        <v>1178</v>
      </c>
      <c r="F921" t="s">
        <v>94</v>
      </c>
      <c r="G921" t="s">
        <v>17</v>
      </c>
      <c r="H921">
        <v>3</v>
      </c>
      <c r="I921">
        <v>1428</v>
      </c>
      <c r="J921">
        <v>15</v>
      </c>
    </row>
    <row r="922" spans="1:10">
      <c r="A922" t="s">
        <v>1222</v>
      </c>
      <c r="B922" t="s">
        <v>1220</v>
      </c>
      <c r="C922">
        <v>37</v>
      </c>
      <c r="D922">
        <v>9</v>
      </c>
      <c r="E922" t="s">
        <v>1178</v>
      </c>
      <c r="F922" t="s">
        <v>35</v>
      </c>
      <c r="G922" t="s">
        <v>17</v>
      </c>
      <c r="H922">
        <v>2</v>
      </c>
      <c r="I922">
        <v>2677.5</v>
      </c>
      <c r="J922">
        <v>15</v>
      </c>
    </row>
    <row r="923" spans="1:10">
      <c r="A923" t="s">
        <v>1223</v>
      </c>
      <c r="B923" t="s">
        <v>1224</v>
      </c>
      <c r="C923">
        <v>37</v>
      </c>
      <c r="D923">
        <v>9</v>
      </c>
      <c r="E923" t="s">
        <v>1178</v>
      </c>
      <c r="F923" t="s">
        <v>369</v>
      </c>
      <c r="G923" t="s">
        <v>221</v>
      </c>
      <c r="H923">
        <v>3</v>
      </c>
      <c r="I923">
        <v>595</v>
      </c>
      <c r="J923">
        <v>15</v>
      </c>
    </row>
    <row r="924" spans="1:10">
      <c r="A924" t="s">
        <v>1225</v>
      </c>
      <c r="B924" t="s">
        <v>1224</v>
      </c>
      <c r="C924">
        <v>37</v>
      </c>
      <c r="D924">
        <v>9</v>
      </c>
      <c r="E924" t="s">
        <v>1178</v>
      </c>
      <c r="F924" t="s">
        <v>31</v>
      </c>
      <c r="G924" t="s">
        <v>23</v>
      </c>
      <c r="H924">
        <v>4</v>
      </c>
      <c r="I924">
        <v>1330</v>
      </c>
      <c r="J924">
        <v>5</v>
      </c>
    </row>
    <row r="925" spans="1:10">
      <c r="A925" t="s">
        <v>1226</v>
      </c>
      <c r="B925" t="s">
        <v>1224</v>
      </c>
      <c r="C925">
        <v>37</v>
      </c>
      <c r="D925">
        <v>9</v>
      </c>
      <c r="E925" t="s">
        <v>1178</v>
      </c>
      <c r="F925" t="s">
        <v>364</v>
      </c>
      <c r="G925" t="s">
        <v>221</v>
      </c>
      <c r="H925">
        <v>3</v>
      </c>
      <c r="I925">
        <v>864</v>
      </c>
      <c r="J925">
        <v>10</v>
      </c>
    </row>
    <row r="926" spans="1:10">
      <c r="A926" t="s">
        <v>1227</v>
      </c>
      <c r="B926" t="s">
        <v>1224</v>
      </c>
      <c r="C926">
        <v>37</v>
      </c>
      <c r="D926">
        <v>9</v>
      </c>
      <c r="E926" t="s">
        <v>1178</v>
      </c>
      <c r="F926" t="s">
        <v>13</v>
      </c>
      <c r="G926" t="s">
        <v>14</v>
      </c>
      <c r="H926">
        <v>4</v>
      </c>
      <c r="I926">
        <v>432</v>
      </c>
      <c r="J926">
        <v>10</v>
      </c>
    </row>
    <row r="927" spans="1:10">
      <c r="A927" t="s">
        <v>1228</v>
      </c>
      <c r="B927" t="s">
        <v>1229</v>
      </c>
      <c r="C927">
        <v>37</v>
      </c>
      <c r="D927">
        <v>9</v>
      </c>
      <c r="E927" t="s">
        <v>1178</v>
      </c>
      <c r="F927" t="s">
        <v>37</v>
      </c>
      <c r="G927" t="s">
        <v>20</v>
      </c>
      <c r="H927">
        <v>1</v>
      </c>
      <c r="I927">
        <v>2340</v>
      </c>
      <c r="J927">
        <v>0</v>
      </c>
    </row>
    <row r="928" spans="1:10">
      <c r="A928" t="s">
        <v>1230</v>
      </c>
      <c r="B928" t="s">
        <v>1229</v>
      </c>
      <c r="C928">
        <v>37</v>
      </c>
      <c r="D928">
        <v>9</v>
      </c>
      <c r="E928" t="s">
        <v>1178</v>
      </c>
      <c r="F928" t="s">
        <v>22</v>
      </c>
      <c r="G928" t="s">
        <v>23</v>
      </c>
      <c r="H928">
        <v>4</v>
      </c>
      <c r="I928">
        <v>500</v>
      </c>
      <c r="J928">
        <v>0</v>
      </c>
    </row>
    <row r="929" spans="1:10">
      <c r="A929" t="s">
        <v>1231</v>
      </c>
      <c r="B929" t="s">
        <v>1229</v>
      </c>
      <c r="C929">
        <v>37</v>
      </c>
      <c r="D929">
        <v>9</v>
      </c>
      <c r="E929" t="s">
        <v>1178</v>
      </c>
      <c r="F929" t="s">
        <v>119</v>
      </c>
      <c r="G929" t="s">
        <v>14</v>
      </c>
      <c r="H929">
        <v>3</v>
      </c>
      <c r="I929">
        <v>770</v>
      </c>
      <c r="J929">
        <v>0</v>
      </c>
    </row>
    <row r="930" spans="1:10">
      <c r="A930" t="s">
        <v>1232</v>
      </c>
      <c r="B930" t="s">
        <v>1229</v>
      </c>
      <c r="C930">
        <v>37</v>
      </c>
      <c r="D930">
        <v>9</v>
      </c>
      <c r="E930" t="s">
        <v>1178</v>
      </c>
      <c r="F930" t="s">
        <v>86</v>
      </c>
      <c r="G930" t="s">
        <v>17</v>
      </c>
      <c r="H930">
        <v>5</v>
      </c>
      <c r="I930">
        <v>846</v>
      </c>
      <c r="J930">
        <v>10</v>
      </c>
    </row>
    <row r="931" spans="1:10">
      <c r="A931" t="s">
        <v>1233</v>
      </c>
      <c r="B931" t="s">
        <v>1234</v>
      </c>
      <c r="C931">
        <v>37</v>
      </c>
      <c r="D931">
        <v>9</v>
      </c>
      <c r="E931" t="s">
        <v>1178</v>
      </c>
      <c r="F931" t="s">
        <v>35</v>
      </c>
      <c r="G931" t="s">
        <v>17</v>
      </c>
      <c r="H931">
        <v>1</v>
      </c>
      <c r="I931">
        <v>2992.5</v>
      </c>
      <c r="J931">
        <v>5</v>
      </c>
    </row>
    <row r="932" spans="1:10">
      <c r="A932" t="s">
        <v>1235</v>
      </c>
      <c r="B932" t="s">
        <v>1234</v>
      </c>
      <c r="C932">
        <v>37</v>
      </c>
      <c r="D932">
        <v>9</v>
      </c>
      <c r="E932" t="s">
        <v>1178</v>
      </c>
      <c r="F932" t="s">
        <v>119</v>
      </c>
      <c r="G932" t="s">
        <v>14</v>
      </c>
      <c r="H932">
        <v>2</v>
      </c>
      <c r="I932">
        <v>770</v>
      </c>
      <c r="J932">
        <v>0</v>
      </c>
    </row>
    <row r="933" spans="1:10">
      <c r="A933" t="s">
        <v>1236</v>
      </c>
      <c r="B933" t="s">
        <v>1234</v>
      </c>
      <c r="C933">
        <v>37</v>
      </c>
      <c r="D933">
        <v>9</v>
      </c>
      <c r="E933" t="s">
        <v>1178</v>
      </c>
      <c r="F933" t="s">
        <v>58</v>
      </c>
      <c r="G933" t="s">
        <v>23</v>
      </c>
      <c r="H933">
        <v>5</v>
      </c>
      <c r="I933">
        <v>900</v>
      </c>
      <c r="J933">
        <v>10</v>
      </c>
    </row>
    <row r="934" spans="1:10">
      <c r="A934" t="s">
        <v>1237</v>
      </c>
      <c r="B934" t="s">
        <v>1234</v>
      </c>
      <c r="C934">
        <v>37</v>
      </c>
      <c r="D934">
        <v>9</v>
      </c>
      <c r="E934" t="s">
        <v>1178</v>
      </c>
      <c r="F934" t="s">
        <v>80</v>
      </c>
      <c r="G934" t="s">
        <v>14</v>
      </c>
      <c r="H934">
        <v>1</v>
      </c>
      <c r="I934">
        <v>380</v>
      </c>
      <c r="J934">
        <v>5</v>
      </c>
    </row>
    <row r="935" spans="1:10">
      <c r="A935" t="s">
        <v>1238</v>
      </c>
      <c r="B935" t="s">
        <v>1234</v>
      </c>
      <c r="C935">
        <v>37</v>
      </c>
      <c r="D935">
        <v>9</v>
      </c>
      <c r="E935" t="s">
        <v>1178</v>
      </c>
      <c r="F935" t="s">
        <v>39</v>
      </c>
      <c r="G935" t="s">
        <v>14</v>
      </c>
      <c r="H935">
        <v>4</v>
      </c>
      <c r="I935">
        <v>792</v>
      </c>
      <c r="J935">
        <v>10</v>
      </c>
    </row>
    <row r="936" spans="1:10">
      <c r="A936" t="s">
        <v>1239</v>
      </c>
      <c r="B936" t="s">
        <v>1240</v>
      </c>
      <c r="C936">
        <v>37</v>
      </c>
      <c r="D936">
        <v>9</v>
      </c>
      <c r="E936" t="s">
        <v>1178</v>
      </c>
      <c r="F936" t="s">
        <v>39</v>
      </c>
      <c r="G936" t="s">
        <v>14</v>
      </c>
      <c r="H936">
        <v>4</v>
      </c>
      <c r="I936">
        <v>836</v>
      </c>
      <c r="J936">
        <v>5</v>
      </c>
    </row>
    <row r="937" spans="1:10">
      <c r="A937" t="s">
        <v>1241</v>
      </c>
      <c r="B937" t="s">
        <v>1240</v>
      </c>
      <c r="C937">
        <v>37</v>
      </c>
      <c r="D937">
        <v>9</v>
      </c>
      <c r="E937" t="s">
        <v>1178</v>
      </c>
      <c r="F937" t="s">
        <v>13</v>
      </c>
      <c r="G937" t="s">
        <v>14</v>
      </c>
      <c r="H937">
        <v>1</v>
      </c>
      <c r="I937">
        <v>480</v>
      </c>
      <c r="J937">
        <v>0</v>
      </c>
    </row>
    <row r="938" spans="1:10">
      <c r="A938" t="s">
        <v>1242</v>
      </c>
      <c r="B938" t="s">
        <v>1240</v>
      </c>
      <c r="C938">
        <v>37</v>
      </c>
      <c r="D938">
        <v>9</v>
      </c>
      <c r="E938" t="s">
        <v>1178</v>
      </c>
      <c r="F938" t="s">
        <v>16</v>
      </c>
      <c r="G938" t="s">
        <v>17</v>
      </c>
      <c r="H938">
        <v>2</v>
      </c>
      <c r="I938">
        <v>520</v>
      </c>
      <c r="J938">
        <v>0</v>
      </c>
    </row>
    <row r="939" spans="1:10">
      <c r="A939" t="s">
        <v>1243</v>
      </c>
      <c r="B939" t="s">
        <v>1240</v>
      </c>
      <c r="C939">
        <v>37</v>
      </c>
      <c r="D939">
        <v>9</v>
      </c>
      <c r="E939" t="s">
        <v>1178</v>
      </c>
      <c r="F939" t="s">
        <v>58</v>
      </c>
      <c r="G939" t="s">
        <v>23</v>
      </c>
      <c r="H939">
        <v>1</v>
      </c>
      <c r="I939">
        <v>1000</v>
      </c>
      <c r="J939">
        <v>0</v>
      </c>
    </row>
    <row r="940" spans="1:10">
      <c r="A940" t="s">
        <v>1244</v>
      </c>
      <c r="B940" t="s">
        <v>1240</v>
      </c>
      <c r="C940">
        <v>37</v>
      </c>
      <c r="D940">
        <v>9</v>
      </c>
      <c r="E940" t="s">
        <v>1178</v>
      </c>
      <c r="F940" t="s">
        <v>119</v>
      </c>
      <c r="G940" t="s">
        <v>14</v>
      </c>
      <c r="H940">
        <v>5</v>
      </c>
      <c r="I940">
        <v>770</v>
      </c>
      <c r="J940">
        <v>0</v>
      </c>
    </row>
    <row r="941" spans="1:10">
      <c r="A941" t="s">
        <v>1245</v>
      </c>
      <c r="B941" t="s">
        <v>1240</v>
      </c>
      <c r="C941">
        <v>37</v>
      </c>
      <c r="D941">
        <v>9</v>
      </c>
      <c r="E941" t="s">
        <v>1178</v>
      </c>
      <c r="F941" t="s">
        <v>19</v>
      </c>
      <c r="G941" t="s">
        <v>20</v>
      </c>
      <c r="H941">
        <v>5</v>
      </c>
      <c r="I941">
        <v>1620</v>
      </c>
      <c r="J941">
        <v>0</v>
      </c>
    </row>
    <row r="942" spans="1:10">
      <c r="A942" t="s">
        <v>1246</v>
      </c>
      <c r="B942" t="s">
        <v>1240</v>
      </c>
      <c r="C942">
        <v>37</v>
      </c>
      <c r="D942">
        <v>9</v>
      </c>
      <c r="E942" t="s">
        <v>1178</v>
      </c>
      <c r="F942" t="s">
        <v>86</v>
      </c>
      <c r="G942" t="s">
        <v>17</v>
      </c>
      <c r="H942">
        <v>4</v>
      </c>
      <c r="I942">
        <v>799</v>
      </c>
      <c r="J942">
        <v>15</v>
      </c>
    </row>
    <row r="943" spans="1:10">
      <c r="A943" t="s">
        <v>1247</v>
      </c>
      <c r="B943" t="s">
        <v>1240</v>
      </c>
      <c r="C943">
        <v>37</v>
      </c>
      <c r="D943">
        <v>9</v>
      </c>
      <c r="E943" t="s">
        <v>1178</v>
      </c>
      <c r="F943" t="s">
        <v>31</v>
      </c>
      <c r="G943" t="s">
        <v>23</v>
      </c>
      <c r="H943">
        <v>3</v>
      </c>
      <c r="I943">
        <v>1330</v>
      </c>
      <c r="J943">
        <v>5</v>
      </c>
    </row>
    <row r="944" spans="1:10">
      <c r="A944" t="s">
        <v>1248</v>
      </c>
      <c r="B944" t="s">
        <v>1249</v>
      </c>
      <c r="C944">
        <v>37</v>
      </c>
      <c r="D944">
        <v>9</v>
      </c>
      <c r="E944" t="s">
        <v>1178</v>
      </c>
      <c r="F944" t="s">
        <v>97</v>
      </c>
      <c r="G944" t="s">
        <v>20</v>
      </c>
      <c r="H944">
        <v>1</v>
      </c>
      <c r="I944">
        <v>1980</v>
      </c>
      <c r="J944">
        <v>0</v>
      </c>
    </row>
    <row r="945" spans="1:10">
      <c r="A945" t="s">
        <v>1250</v>
      </c>
      <c r="B945" t="s">
        <v>1249</v>
      </c>
      <c r="C945">
        <v>37</v>
      </c>
      <c r="D945">
        <v>9</v>
      </c>
      <c r="E945" t="s">
        <v>1178</v>
      </c>
      <c r="F945" t="s">
        <v>97</v>
      </c>
      <c r="G945" t="s">
        <v>20</v>
      </c>
      <c r="H945">
        <v>5</v>
      </c>
      <c r="I945">
        <v>1683</v>
      </c>
      <c r="J945">
        <v>15</v>
      </c>
    </row>
    <row r="946" spans="1:10">
      <c r="A946" t="s">
        <v>1251</v>
      </c>
      <c r="B946" t="s">
        <v>1249</v>
      </c>
      <c r="C946">
        <v>37</v>
      </c>
      <c r="D946">
        <v>9</v>
      </c>
      <c r="E946" t="s">
        <v>1178</v>
      </c>
      <c r="F946" t="s">
        <v>25</v>
      </c>
      <c r="G946" t="s">
        <v>26</v>
      </c>
      <c r="H946">
        <v>4</v>
      </c>
      <c r="I946">
        <v>900</v>
      </c>
      <c r="J946">
        <v>10</v>
      </c>
    </row>
    <row r="947" spans="1:10">
      <c r="A947" t="s">
        <v>1252</v>
      </c>
      <c r="B947" t="s">
        <v>1253</v>
      </c>
      <c r="C947">
        <v>38</v>
      </c>
      <c r="D947">
        <v>9</v>
      </c>
      <c r="E947" t="s">
        <v>1178</v>
      </c>
      <c r="F947" t="s">
        <v>19</v>
      </c>
      <c r="G947" t="s">
        <v>20</v>
      </c>
      <c r="H947">
        <v>4</v>
      </c>
      <c r="I947">
        <v>1377</v>
      </c>
      <c r="J947">
        <v>15</v>
      </c>
    </row>
    <row r="948" spans="1:10">
      <c r="A948" t="s">
        <v>1254</v>
      </c>
      <c r="B948" t="s">
        <v>1253</v>
      </c>
      <c r="C948">
        <v>38</v>
      </c>
      <c r="D948">
        <v>9</v>
      </c>
      <c r="E948" t="s">
        <v>1178</v>
      </c>
      <c r="F948" t="s">
        <v>115</v>
      </c>
      <c r="G948" t="s">
        <v>23</v>
      </c>
      <c r="H948">
        <v>5</v>
      </c>
      <c r="I948">
        <v>1080</v>
      </c>
      <c r="J948">
        <v>10</v>
      </c>
    </row>
    <row r="949" spans="1:10">
      <c r="A949" t="s">
        <v>1255</v>
      </c>
      <c r="B949" t="s">
        <v>1253</v>
      </c>
      <c r="C949">
        <v>38</v>
      </c>
      <c r="D949">
        <v>9</v>
      </c>
      <c r="E949" t="s">
        <v>1178</v>
      </c>
      <c r="F949" t="s">
        <v>119</v>
      </c>
      <c r="G949" t="s">
        <v>14</v>
      </c>
      <c r="H949">
        <v>4</v>
      </c>
      <c r="I949">
        <v>731.5</v>
      </c>
      <c r="J949">
        <v>5</v>
      </c>
    </row>
    <row r="950" spans="1:10">
      <c r="A950" t="s">
        <v>1256</v>
      </c>
      <c r="B950" t="s">
        <v>1257</v>
      </c>
      <c r="C950">
        <v>38</v>
      </c>
      <c r="D950">
        <v>9</v>
      </c>
      <c r="E950" t="s">
        <v>1178</v>
      </c>
      <c r="F950" t="s">
        <v>115</v>
      </c>
      <c r="G950" t="s">
        <v>23</v>
      </c>
      <c r="H950">
        <v>3</v>
      </c>
      <c r="I950">
        <v>1200</v>
      </c>
      <c r="J950">
        <v>0</v>
      </c>
    </row>
    <row r="951" spans="1:10">
      <c r="A951" t="s">
        <v>1258</v>
      </c>
      <c r="B951" t="s">
        <v>1257</v>
      </c>
      <c r="C951">
        <v>38</v>
      </c>
      <c r="D951">
        <v>9</v>
      </c>
      <c r="E951" t="s">
        <v>1178</v>
      </c>
      <c r="F951" t="s">
        <v>42</v>
      </c>
      <c r="G951" t="s">
        <v>23</v>
      </c>
      <c r="H951">
        <v>2</v>
      </c>
      <c r="I951">
        <v>600</v>
      </c>
      <c r="J951">
        <v>0</v>
      </c>
    </row>
    <row r="952" spans="1:10">
      <c r="A952" t="s">
        <v>1259</v>
      </c>
      <c r="B952" t="s">
        <v>1260</v>
      </c>
      <c r="C952">
        <v>38</v>
      </c>
      <c r="D952">
        <v>9</v>
      </c>
      <c r="E952" t="s">
        <v>1178</v>
      </c>
      <c r="F952" t="s">
        <v>39</v>
      </c>
      <c r="G952" t="s">
        <v>14</v>
      </c>
      <c r="H952">
        <v>4</v>
      </c>
      <c r="I952">
        <v>880</v>
      </c>
      <c r="J952">
        <v>0</v>
      </c>
    </row>
    <row r="953" spans="1:10">
      <c r="A953" t="s">
        <v>1261</v>
      </c>
      <c r="B953" t="s">
        <v>1260</v>
      </c>
      <c r="C953">
        <v>38</v>
      </c>
      <c r="D953">
        <v>9</v>
      </c>
      <c r="E953" t="s">
        <v>1178</v>
      </c>
      <c r="F953" t="s">
        <v>64</v>
      </c>
      <c r="G953" t="s">
        <v>14</v>
      </c>
      <c r="H953">
        <v>1</v>
      </c>
      <c r="I953">
        <v>2244</v>
      </c>
      <c r="J953">
        <v>15</v>
      </c>
    </row>
    <row r="954" spans="1:10">
      <c r="A954" t="s">
        <v>1262</v>
      </c>
      <c r="B954" t="s">
        <v>1260</v>
      </c>
      <c r="C954">
        <v>38</v>
      </c>
      <c r="D954">
        <v>9</v>
      </c>
      <c r="E954" t="s">
        <v>1178</v>
      </c>
      <c r="F954" t="s">
        <v>31</v>
      </c>
      <c r="G954" t="s">
        <v>23</v>
      </c>
      <c r="H954">
        <v>1</v>
      </c>
      <c r="I954">
        <v>1400</v>
      </c>
      <c r="J954">
        <v>0</v>
      </c>
    </row>
    <row r="955" spans="1:10">
      <c r="A955" t="s">
        <v>1263</v>
      </c>
      <c r="B955" t="s">
        <v>1264</v>
      </c>
      <c r="C955">
        <v>38</v>
      </c>
      <c r="D955">
        <v>9</v>
      </c>
      <c r="E955" t="s">
        <v>1178</v>
      </c>
      <c r="F955" t="s">
        <v>16</v>
      </c>
      <c r="G955" t="s">
        <v>17</v>
      </c>
      <c r="H955">
        <v>5</v>
      </c>
      <c r="I955">
        <v>442</v>
      </c>
      <c r="J955">
        <v>15</v>
      </c>
    </row>
    <row r="956" spans="1:10">
      <c r="A956" t="s">
        <v>1265</v>
      </c>
      <c r="B956" t="s">
        <v>1264</v>
      </c>
      <c r="C956">
        <v>38</v>
      </c>
      <c r="D956">
        <v>9</v>
      </c>
      <c r="E956" t="s">
        <v>1178</v>
      </c>
      <c r="F956" t="s">
        <v>37</v>
      </c>
      <c r="G956" t="s">
        <v>20</v>
      </c>
      <c r="H956">
        <v>2</v>
      </c>
      <c r="I956">
        <v>2106</v>
      </c>
      <c r="J956">
        <v>10</v>
      </c>
    </row>
    <row r="957" spans="1:10">
      <c r="A957" t="s">
        <v>1266</v>
      </c>
      <c r="B957" t="s">
        <v>1264</v>
      </c>
      <c r="C957">
        <v>38</v>
      </c>
      <c r="D957">
        <v>9</v>
      </c>
      <c r="E957" t="s">
        <v>1178</v>
      </c>
      <c r="F957" t="s">
        <v>22</v>
      </c>
      <c r="G957" t="s">
        <v>23</v>
      </c>
      <c r="H957">
        <v>2</v>
      </c>
      <c r="I957">
        <v>450</v>
      </c>
      <c r="J957">
        <v>10</v>
      </c>
    </row>
    <row r="958" spans="1:10">
      <c r="A958" t="s">
        <v>1267</v>
      </c>
      <c r="B958" t="s">
        <v>1264</v>
      </c>
      <c r="C958">
        <v>38</v>
      </c>
      <c r="D958">
        <v>9</v>
      </c>
      <c r="E958" t="s">
        <v>1178</v>
      </c>
      <c r="F958" t="s">
        <v>349</v>
      </c>
      <c r="G958" t="s">
        <v>221</v>
      </c>
      <c r="H958">
        <v>2</v>
      </c>
      <c r="I958">
        <v>400</v>
      </c>
      <c r="J958">
        <v>0</v>
      </c>
    </row>
    <row r="959" spans="1:10">
      <c r="A959" t="s">
        <v>1268</v>
      </c>
      <c r="B959" t="s">
        <v>1264</v>
      </c>
      <c r="C959">
        <v>38</v>
      </c>
      <c r="D959">
        <v>9</v>
      </c>
      <c r="E959" t="s">
        <v>1178</v>
      </c>
      <c r="F959" t="s">
        <v>64</v>
      </c>
      <c r="G959" t="s">
        <v>14</v>
      </c>
      <c r="H959">
        <v>2</v>
      </c>
      <c r="I959">
        <v>2376</v>
      </c>
      <c r="J959">
        <v>10</v>
      </c>
    </row>
    <row r="960" spans="1:10">
      <c r="A960" t="s">
        <v>1269</v>
      </c>
      <c r="B960" t="s">
        <v>1270</v>
      </c>
      <c r="C960">
        <v>38</v>
      </c>
      <c r="D960">
        <v>9</v>
      </c>
      <c r="E960" t="s">
        <v>1178</v>
      </c>
      <c r="F960" t="s">
        <v>97</v>
      </c>
      <c r="G960" t="s">
        <v>20</v>
      </c>
      <c r="H960">
        <v>5</v>
      </c>
      <c r="I960">
        <v>1881</v>
      </c>
      <c r="J960">
        <v>5</v>
      </c>
    </row>
    <row r="961" spans="1:10">
      <c r="A961" t="s">
        <v>1271</v>
      </c>
      <c r="B961" t="s">
        <v>1270</v>
      </c>
      <c r="C961">
        <v>38</v>
      </c>
      <c r="D961">
        <v>9</v>
      </c>
      <c r="E961" t="s">
        <v>1178</v>
      </c>
      <c r="F961" t="s">
        <v>22</v>
      </c>
      <c r="G961" t="s">
        <v>23</v>
      </c>
      <c r="H961">
        <v>3</v>
      </c>
      <c r="I961">
        <v>475</v>
      </c>
      <c r="J961">
        <v>5</v>
      </c>
    </row>
    <row r="962" spans="1:10">
      <c r="A962" t="s">
        <v>1272</v>
      </c>
      <c r="B962" t="s">
        <v>1270</v>
      </c>
      <c r="C962">
        <v>38</v>
      </c>
      <c r="D962">
        <v>9</v>
      </c>
      <c r="E962" t="s">
        <v>1178</v>
      </c>
      <c r="F962" t="s">
        <v>45</v>
      </c>
      <c r="G962" t="s">
        <v>26</v>
      </c>
      <c r="H962">
        <v>1</v>
      </c>
      <c r="I962">
        <v>3825</v>
      </c>
      <c r="J962">
        <v>15</v>
      </c>
    </row>
    <row r="963" spans="1:10">
      <c r="A963" t="s">
        <v>1273</v>
      </c>
      <c r="B963" t="s">
        <v>1270</v>
      </c>
      <c r="C963">
        <v>38</v>
      </c>
      <c r="D963">
        <v>9</v>
      </c>
      <c r="E963" t="s">
        <v>1178</v>
      </c>
      <c r="F963" t="s">
        <v>45</v>
      </c>
      <c r="G963" t="s">
        <v>26</v>
      </c>
      <c r="H963">
        <v>5</v>
      </c>
      <c r="I963">
        <v>3825</v>
      </c>
      <c r="J963">
        <v>15</v>
      </c>
    </row>
    <row r="964" spans="1:10">
      <c r="A964" t="s">
        <v>1274</v>
      </c>
      <c r="B964" t="s">
        <v>1270</v>
      </c>
      <c r="C964">
        <v>38</v>
      </c>
      <c r="D964">
        <v>9</v>
      </c>
      <c r="E964" t="s">
        <v>1178</v>
      </c>
      <c r="F964" t="s">
        <v>45</v>
      </c>
      <c r="G964" t="s">
        <v>26</v>
      </c>
      <c r="H964">
        <v>4</v>
      </c>
      <c r="I964">
        <v>4500</v>
      </c>
      <c r="J964">
        <v>0</v>
      </c>
    </row>
    <row r="965" spans="1:10">
      <c r="A965" t="s">
        <v>1275</v>
      </c>
      <c r="B965" t="s">
        <v>1270</v>
      </c>
      <c r="C965">
        <v>38</v>
      </c>
      <c r="D965">
        <v>9</v>
      </c>
      <c r="E965" t="s">
        <v>1178</v>
      </c>
      <c r="F965" t="s">
        <v>16</v>
      </c>
      <c r="G965" t="s">
        <v>17</v>
      </c>
      <c r="H965">
        <v>2</v>
      </c>
      <c r="I965">
        <v>520</v>
      </c>
      <c r="J965">
        <v>0</v>
      </c>
    </row>
    <row r="966" spans="1:10">
      <c r="A966" t="s">
        <v>1276</v>
      </c>
      <c r="B966" t="s">
        <v>1277</v>
      </c>
      <c r="C966">
        <v>38</v>
      </c>
      <c r="D966">
        <v>9</v>
      </c>
      <c r="E966" t="s">
        <v>1178</v>
      </c>
      <c r="F966" t="s">
        <v>45</v>
      </c>
      <c r="G966" t="s">
        <v>26</v>
      </c>
      <c r="H966">
        <v>5</v>
      </c>
      <c r="I966">
        <v>4050</v>
      </c>
      <c r="J966">
        <v>10</v>
      </c>
    </row>
    <row r="967" spans="1:10">
      <c r="A967" t="s">
        <v>1278</v>
      </c>
      <c r="B967" t="s">
        <v>1277</v>
      </c>
      <c r="C967">
        <v>38</v>
      </c>
      <c r="D967">
        <v>9</v>
      </c>
      <c r="E967" t="s">
        <v>1178</v>
      </c>
      <c r="F967" t="s">
        <v>19</v>
      </c>
      <c r="G967" t="s">
        <v>20</v>
      </c>
      <c r="H967">
        <v>5</v>
      </c>
      <c r="I967">
        <v>1620</v>
      </c>
      <c r="J967">
        <v>0</v>
      </c>
    </row>
    <row r="968" spans="1:10">
      <c r="A968" t="s">
        <v>1279</v>
      </c>
      <c r="B968" t="s">
        <v>1277</v>
      </c>
      <c r="C968">
        <v>38</v>
      </c>
      <c r="D968">
        <v>9</v>
      </c>
      <c r="E968" t="s">
        <v>1178</v>
      </c>
      <c r="F968" t="s">
        <v>31</v>
      </c>
      <c r="G968" t="s">
        <v>23</v>
      </c>
      <c r="H968">
        <v>3</v>
      </c>
      <c r="I968">
        <v>1260</v>
      </c>
      <c r="J968">
        <v>10</v>
      </c>
    </row>
    <row r="969" spans="1:10">
      <c r="A969" t="s">
        <v>1280</v>
      </c>
      <c r="B969" t="s">
        <v>1281</v>
      </c>
      <c r="C969">
        <v>38</v>
      </c>
      <c r="D969">
        <v>9</v>
      </c>
      <c r="E969" t="s">
        <v>1178</v>
      </c>
      <c r="F969" t="s">
        <v>16</v>
      </c>
      <c r="G969" t="s">
        <v>17</v>
      </c>
      <c r="H969">
        <v>5</v>
      </c>
      <c r="I969">
        <v>520</v>
      </c>
      <c r="J969">
        <v>0</v>
      </c>
    </row>
    <row r="970" spans="1:10">
      <c r="A970" t="s">
        <v>1282</v>
      </c>
      <c r="B970" t="s">
        <v>1281</v>
      </c>
      <c r="C970">
        <v>38</v>
      </c>
      <c r="D970">
        <v>9</v>
      </c>
      <c r="E970" t="s">
        <v>1178</v>
      </c>
      <c r="F970" t="s">
        <v>13</v>
      </c>
      <c r="G970" t="s">
        <v>14</v>
      </c>
      <c r="H970">
        <v>5</v>
      </c>
      <c r="I970">
        <v>432</v>
      </c>
      <c r="J970">
        <v>10</v>
      </c>
    </row>
    <row r="971" spans="1:10">
      <c r="A971" t="s">
        <v>1283</v>
      </c>
      <c r="B971" t="s">
        <v>1281</v>
      </c>
      <c r="C971">
        <v>38</v>
      </c>
      <c r="D971">
        <v>9</v>
      </c>
      <c r="E971" t="s">
        <v>1178</v>
      </c>
      <c r="F971" t="s">
        <v>364</v>
      </c>
      <c r="G971" t="s">
        <v>221</v>
      </c>
      <c r="H971">
        <v>3</v>
      </c>
      <c r="I971">
        <v>912</v>
      </c>
      <c r="J971">
        <v>5</v>
      </c>
    </row>
    <row r="972" spans="1:10">
      <c r="A972" t="s">
        <v>1284</v>
      </c>
      <c r="B972" t="s">
        <v>1281</v>
      </c>
      <c r="C972">
        <v>38</v>
      </c>
      <c r="D972">
        <v>9</v>
      </c>
      <c r="E972" t="s">
        <v>1178</v>
      </c>
      <c r="F972" t="s">
        <v>80</v>
      </c>
      <c r="G972" t="s">
        <v>14</v>
      </c>
      <c r="H972">
        <v>3</v>
      </c>
      <c r="I972">
        <v>400</v>
      </c>
      <c r="J972">
        <v>0</v>
      </c>
    </row>
    <row r="973" spans="1:10">
      <c r="A973" t="s">
        <v>1285</v>
      </c>
      <c r="B973" t="s">
        <v>1286</v>
      </c>
      <c r="C973">
        <v>39</v>
      </c>
      <c r="D973">
        <v>9</v>
      </c>
      <c r="E973" t="s">
        <v>1178</v>
      </c>
      <c r="F973" t="s">
        <v>220</v>
      </c>
      <c r="G973" t="s">
        <v>221</v>
      </c>
      <c r="H973">
        <v>5</v>
      </c>
      <c r="I973">
        <v>570</v>
      </c>
      <c r="J973">
        <v>5</v>
      </c>
    </row>
    <row r="974" spans="1:10">
      <c r="A974" t="s">
        <v>1287</v>
      </c>
      <c r="B974" t="s">
        <v>1286</v>
      </c>
      <c r="C974">
        <v>39</v>
      </c>
      <c r="D974">
        <v>9</v>
      </c>
      <c r="E974" t="s">
        <v>1178</v>
      </c>
      <c r="F974" t="s">
        <v>80</v>
      </c>
      <c r="G974" t="s">
        <v>14</v>
      </c>
      <c r="H974">
        <v>4</v>
      </c>
      <c r="I974">
        <v>400</v>
      </c>
      <c r="J974">
        <v>0</v>
      </c>
    </row>
    <row r="975" spans="1:10">
      <c r="A975" t="s">
        <v>1288</v>
      </c>
      <c r="B975" t="s">
        <v>1286</v>
      </c>
      <c r="C975">
        <v>39</v>
      </c>
      <c r="D975">
        <v>9</v>
      </c>
      <c r="E975" t="s">
        <v>1178</v>
      </c>
      <c r="F975" t="s">
        <v>25</v>
      </c>
      <c r="G975" t="s">
        <v>26</v>
      </c>
      <c r="H975">
        <v>4</v>
      </c>
      <c r="I975">
        <v>1000</v>
      </c>
      <c r="J975">
        <v>0</v>
      </c>
    </row>
    <row r="976" spans="1:10">
      <c r="A976" t="s">
        <v>1289</v>
      </c>
      <c r="B976" t="s">
        <v>1290</v>
      </c>
      <c r="C976">
        <v>39</v>
      </c>
      <c r="D976">
        <v>9</v>
      </c>
      <c r="E976" t="s">
        <v>1178</v>
      </c>
      <c r="F976" t="s">
        <v>66</v>
      </c>
      <c r="G976" t="s">
        <v>17</v>
      </c>
      <c r="H976">
        <v>4</v>
      </c>
      <c r="I976">
        <v>1470</v>
      </c>
      <c r="J976">
        <v>0</v>
      </c>
    </row>
    <row r="977" spans="1:10">
      <c r="A977" t="s">
        <v>1291</v>
      </c>
      <c r="B977" t="s">
        <v>1290</v>
      </c>
      <c r="C977">
        <v>39</v>
      </c>
      <c r="D977">
        <v>9</v>
      </c>
      <c r="E977" t="s">
        <v>1178</v>
      </c>
      <c r="F977" t="s">
        <v>86</v>
      </c>
      <c r="G977" t="s">
        <v>17</v>
      </c>
      <c r="H977">
        <v>4</v>
      </c>
      <c r="I977">
        <v>940</v>
      </c>
      <c r="J977">
        <v>0</v>
      </c>
    </row>
    <row r="978" spans="1:10">
      <c r="A978" t="s">
        <v>1292</v>
      </c>
      <c r="B978" t="s">
        <v>1290</v>
      </c>
      <c r="C978">
        <v>39</v>
      </c>
      <c r="D978">
        <v>9</v>
      </c>
      <c r="E978" t="s">
        <v>1178</v>
      </c>
      <c r="F978" t="s">
        <v>45</v>
      </c>
      <c r="G978" t="s">
        <v>26</v>
      </c>
      <c r="H978">
        <v>4</v>
      </c>
      <c r="I978">
        <v>4500</v>
      </c>
      <c r="J978">
        <v>0</v>
      </c>
    </row>
    <row r="979" spans="1:10">
      <c r="A979" t="s">
        <v>1293</v>
      </c>
      <c r="B979" t="s">
        <v>1294</v>
      </c>
      <c r="C979">
        <v>39</v>
      </c>
      <c r="D979">
        <v>9</v>
      </c>
      <c r="E979" t="s">
        <v>1178</v>
      </c>
      <c r="F979" t="s">
        <v>22</v>
      </c>
      <c r="G979" t="s">
        <v>23</v>
      </c>
      <c r="H979">
        <v>4</v>
      </c>
      <c r="I979">
        <v>450</v>
      </c>
      <c r="J979">
        <v>10</v>
      </c>
    </row>
    <row r="980" spans="1:10">
      <c r="A980" t="s">
        <v>1295</v>
      </c>
      <c r="B980" t="s">
        <v>1294</v>
      </c>
      <c r="C980">
        <v>39</v>
      </c>
      <c r="D980">
        <v>9</v>
      </c>
      <c r="E980" t="s">
        <v>1178</v>
      </c>
      <c r="F980" t="s">
        <v>146</v>
      </c>
      <c r="G980" t="s">
        <v>20</v>
      </c>
      <c r="H980">
        <v>4</v>
      </c>
      <c r="I980">
        <v>630</v>
      </c>
      <c r="J980">
        <v>0</v>
      </c>
    </row>
    <row r="981" spans="1:10">
      <c r="A981" t="s">
        <v>1296</v>
      </c>
      <c r="B981" t="s">
        <v>1294</v>
      </c>
      <c r="C981">
        <v>39</v>
      </c>
      <c r="D981">
        <v>9</v>
      </c>
      <c r="E981" t="s">
        <v>1178</v>
      </c>
      <c r="F981" t="s">
        <v>16</v>
      </c>
      <c r="G981" t="s">
        <v>17</v>
      </c>
      <c r="H981">
        <v>4</v>
      </c>
      <c r="I981">
        <v>468</v>
      </c>
      <c r="J981">
        <v>10</v>
      </c>
    </row>
    <row r="982" spans="1:10">
      <c r="A982" t="s">
        <v>1297</v>
      </c>
      <c r="B982" t="s">
        <v>1294</v>
      </c>
      <c r="C982">
        <v>39</v>
      </c>
      <c r="D982">
        <v>9</v>
      </c>
      <c r="E982" t="s">
        <v>1178</v>
      </c>
      <c r="F982" t="s">
        <v>25</v>
      </c>
      <c r="G982" t="s">
        <v>26</v>
      </c>
      <c r="H982">
        <v>2</v>
      </c>
      <c r="I982">
        <v>1000</v>
      </c>
      <c r="J982">
        <v>0</v>
      </c>
    </row>
    <row r="983" spans="1:10">
      <c r="A983" t="s">
        <v>1298</v>
      </c>
      <c r="B983" t="s">
        <v>1294</v>
      </c>
      <c r="C983">
        <v>39</v>
      </c>
      <c r="D983">
        <v>9</v>
      </c>
      <c r="E983" t="s">
        <v>1178</v>
      </c>
      <c r="F983" t="s">
        <v>42</v>
      </c>
      <c r="G983" t="s">
        <v>23</v>
      </c>
      <c r="H983">
        <v>2</v>
      </c>
      <c r="I983">
        <v>570</v>
      </c>
      <c r="J983">
        <v>5</v>
      </c>
    </row>
    <row r="984" spans="1:10">
      <c r="A984" t="s">
        <v>1299</v>
      </c>
      <c r="B984" t="s">
        <v>1300</v>
      </c>
      <c r="C984">
        <v>39</v>
      </c>
      <c r="D984">
        <v>9</v>
      </c>
      <c r="E984" t="s">
        <v>1178</v>
      </c>
      <c r="F984" t="s">
        <v>28</v>
      </c>
      <c r="G984" t="s">
        <v>26</v>
      </c>
      <c r="H984">
        <v>1</v>
      </c>
      <c r="I984">
        <v>1425</v>
      </c>
      <c r="J984">
        <v>5</v>
      </c>
    </row>
    <row r="985" spans="1:10">
      <c r="A985" t="s">
        <v>1301</v>
      </c>
      <c r="B985" t="s">
        <v>1300</v>
      </c>
      <c r="C985">
        <v>39</v>
      </c>
      <c r="D985">
        <v>9</v>
      </c>
      <c r="E985" t="s">
        <v>1178</v>
      </c>
      <c r="F985" t="s">
        <v>94</v>
      </c>
      <c r="G985" t="s">
        <v>17</v>
      </c>
      <c r="H985">
        <v>2</v>
      </c>
      <c r="I985">
        <v>1680</v>
      </c>
      <c r="J985">
        <v>0</v>
      </c>
    </row>
    <row r="986" spans="1:10">
      <c r="A986" t="s">
        <v>1302</v>
      </c>
      <c r="B986" t="s">
        <v>1303</v>
      </c>
      <c r="C986">
        <v>39</v>
      </c>
      <c r="D986">
        <v>9</v>
      </c>
      <c r="E986" t="s">
        <v>1178</v>
      </c>
      <c r="F986" t="s">
        <v>58</v>
      </c>
      <c r="G986" t="s">
        <v>23</v>
      </c>
      <c r="H986">
        <v>5</v>
      </c>
      <c r="I986">
        <v>1000</v>
      </c>
      <c r="J986">
        <v>0</v>
      </c>
    </row>
    <row r="987" spans="1:10">
      <c r="A987" t="s">
        <v>1304</v>
      </c>
      <c r="B987" t="s">
        <v>1303</v>
      </c>
      <c r="C987">
        <v>39</v>
      </c>
      <c r="D987">
        <v>9</v>
      </c>
      <c r="E987" t="s">
        <v>1178</v>
      </c>
      <c r="F987" t="s">
        <v>13</v>
      </c>
      <c r="G987" t="s">
        <v>14</v>
      </c>
      <c r="H987">
        <v>2</v>
      </c>
      <c r="I987">
        <v>456</v>
      </c>
      <c r="J987">
        <v>5</v>
      </c>
    </row>
    <row r="988" spans="1:10">
      <c r="A988" t="s">
        <v>1305</v>
      </c>
      <c r="B988" t="s">
        <v>1303</v>
      </c>
      <c r="C988">
        <v>39</v>
      </c>
      <c r="D988">
        <v>9</v>
      </c>
      <c r="E988" t="s">
        <v>1178</v>
      </c>
      <c r="F988" t="s">
        <v>28</v>
      </c>
      <c r="G988" t="s">
        <v>26</v>
      </c>
      <c r="H988">
        <v>2</v>
      </c>
      <c r="I988">
        <v>1275</v>
      </c>
      <c r="J988">
        <v>15</v>
      </c>
    </row>
    <row r="989" spans="1:10">
      <c r="A989" t="s">
        <v>1306</v>
      </c>
      <c r="B989" t="s">
        <v>1307</v>
      </c>
      <c r="C989">
        <v>39</v>
      </c>
      <c r="D989">
        <v>9</v>
      </c>
      <c r="E989" t="s">
        <v>1178</v>
      </c>
      <c r="F989" t="s">
        <v>68</v>
      </c>
      <c r="G989" t="s">
        <v>26</v>
      </c>
      <c r="H989">
        <v>5</v>
      </c>
      <c r="I989">
        <v>342</v>
      </c>
      <c r="J989">
        <v>10</v>
      </c>
    </row>
    <row r="990" spans="1:10">
      <c r="A990" t="s">
        <v>1308</v>
      </c>
      <c r="B990" t="s">
        <v>1307</v>
      </c>
      <c r="C990">
        <v>39</v>
      </c>
      <c r="D990">
        <v>9</v>
      </c>
      <c r="E990" t="s">
        <v>1178</v>
      </c>
      <c r="F990" t="s">
        <v>22</v>
      </c>
      <c r="G990" t="s">
        <v>23</v>
      </c>
      <c r="H990">
        <v>4</v>
      </c>
      <c r="I990">
        <v>425</v>
      </c>
      <c r="J990">
        <v>15</v>
      </c>
    </row>
    <row r="991" spans="1:10">
      <c r="A991" t="s">
        <v>1309</v>
      </c>
      <c r="B991" t="s">
        <v>1307</v>
      </c>
      <c r="C991">
        <v>39</v>
      </c>
      <c r="D991">
        <v>9</v>
      </c>
      <c r="E991" t="s">
        <v>1178</v>
      </c>
      <c r="F991" t="s">
        <v>45</v>
      </c>
      <c r="G991" t="s">
        <v>26</v>
      </c>
      <c r="H991">
        <v>3</v>
      </c>
      <c r="I991">
        <v>3825</v>
      </c>
      <c r="J991">
        <v>15</v>
      </c>
    </row>
    <row r="992" spans="1:10">
      <c r="A992" t="s">
        <v>1310</v>
      </c>
      <c r="B992" t="s">
        <v>1311</v>
      </c>
      <c r="C992">
        <v>39</v>
      </c>
      <c r="D992">
        <v>9</v>
      </c>
      <c r="E992" t="s">
        <v>1178</v>
      </c>
      <c r="F992" t="s">
        <v>80</v>
      </c>
      <c r="G992" t="s">
        <v>14</v>
      </c>
      <c r="H992">
        <v>5</v>
      </c>
      <c r="I992">
        <v>400</v>
      </c>
      <c r="J992">
        <v>0</v>
      </c>
    </row>
    <row r="993" spans="1:10">
      <c r="A993" t="s">
        <v>1312</v>
      </c>
      <c r="B993" t="s">
        <v>1311</v>
      </c>
      <c r="C993">
        <v>39</v>
      </c>
      <c r="D993">
        <v>9</v>
      </c>
      <c r="E993" t="s">
        <v>1178</v>
      </c>
      <c r="F993" t="s">
        <v>369</v>
      </c>
      <c r="G993" t="s">
        <v>221</v>
      </c>
      <c r="H993">
        <v>1</v>
      </c>
      <c r="I993">
        <v>700</v>
      </c>
      <c r="J993">
        <v>0</v>
      </c>
    </row>
    <row r="994" spans="1:10">
      <c r="A994" t="s">
        <v>1313</v>
      </c>
      <c r="B994" t="s">
        <v>1314</v>
      </c>
      <c r="C994">
        <v>40</v>
      </c>
      <c r="D994">
        <v>9</v>
      </c>
      <c r="E994" t="s">
        <v>1178</v>
      </c>
      <c r="F994" t="s">
        <v>19</v>
      </c>
      <c r="G994" t="s">
        <v>20</v>
      </c>
      <c r="H994">
        <v>1</v>
      </c>
      <c r="I994">
        <v>1377</v>
      </c>
      <c r="J994">
        <v>15</v>
      </c>
    </row>
    <row r="995" spans="1:10">
      <c r="A995" t="s">
        <v>1315</v>
      </c>
      <c r="B995" t="s">
        <v>1314</v>
      </c>
      <c r="C995">
        <v>40</v>
      </c>
      <c r="D995">
        <v>9</v>
      </c>
      <c r="E995" t="s">
        <v>1178</v>
      </c>
      <c r="F995" t="s">
        <v>349</v>
      </c>
      <c r="G995" t="s">
        <v>221</v>
      </c>
      <c r="H995">
        <v>4</v>
      </c>
      <c r="I995">
        <v>400</v>
      </c>
      <c r="J995">
        <v>0</v>
      </c>
    </row>
    <row r="996" spans="1:10">
      <c r="A996" t="s">
        <v>1316</v>
      </c>
      <c r="B996" t="s">
        <v>1314</v>
      </c>
      <c r="C996">
        <v>40</v>
      </c>
      <c r="D996">
        <v>9</v>
      </c>
      <c r="E996" t="s">
        <v>1178</v>
      </c>
      <c r="F996" t="s">
        <v>187</v>
      </c>
      <c r="G996" t="s">
        <v>14</v>
      </c>
      <c r="H996">
        <v>5</v>
      </c>
      <c r="I996">
        <v>4180</v>
      </c>
      <c r="J996">
        <v>5</v>
      </c>
    </row>
    <row r="997" spans="1:10">
      <c r="A997" t="s">
        <v>1317</v>
      </c>
      <c r="B997" t="s">
        <v>1318</v>
      </c>
      <c r="C997">
        <v>40</v>
      </c>
      <c r="D997">
        <v>10</v>
      </c>
      <c r="E997" t="s">
        <v>1319</v>
      </c>
      <c r="F997" t="s">
        <v>80</v>
      </c>
      <c r="G997" t="s">
        <v>14</v>
      </c>
      <c r="H997">
        <v>2</v>
      </c>
      <c r="I997">
        <v>400</v>
      </c>
      <c r="J997">
        <v>0</v>
      </c>
    </row>
    <row r="998" spans="1:10">
      <c r="A998" t="s">
        <v>1320</v>
      </c>
      <c r="B998" t="s">
        <v>1318</v>
      </c>
      <c r="C998">
        <v>40</v>
      </c>
      <c r="D998">
        <v>10</v>
      </c>
      <c r="E998" t="s">
        <v>1319</v>
      </c>
      <c r="F998" t="s">
        <v>119</v>
      </c>
      <c r="G998" t="s">
        <v>14</v>
      </c>
      <c r="H998">
        <v>5</v>
      </c>
      <c r="I998">
        <v>770</v>
      </c>
      <c r="J998">
        <v>0</v>
      </c>
    </row>
    <row r="999" spans="1:10">
      <c r="A999" t="s">
        <v>1321</v>
      </c>
      <c r="B999" t="s">
        <v>1318</v>
      </c>
      <c r="C999">
        <v>40</v>
      </c>
      <c r="D999">
        <v>10</v>
      </c>
      <c r="E999" t="s">
        <v>1319</v>
      </c>
      <c r="F999" t="s">
        <v>19</v>
      </c>
      <c r="G999" t="s">
        <v>20</v>
      </c>
      <c r="H999">
        <v>1</v>
      </c>
      <c r="I999">
        <v>1539</v>
      </c>
      <c r="J999">
        <v>5</v>
      </c>
    </row>
    <row r="1000" spans="1:10">
      <c r="A1000" t="s">
        <v>1322</v>
      </c>
      <c r="B1000" t="s">
        <v>1323</v>
      </c>
      <c r="C1000">
        <v>40</v>
      </c>
      <c r="D1000">
        <v>10</v>
      </c>
      <c r="E1000" t="s">
        <v>1319</v>
      </c>
      <c r="F1000" t="s">
        <v>35</v>
      </c>
      <c r="G1000" t="s">
        <v>17</v>
      </c>
      <c r="H1000">
        <v>3</v>
      </c>
      <c r="I1000">
        <v>3150</v>
      </c>
      <c r="J1000">
        <v>0</v>
      </c>
    </row>
    <row r="1001" spans="1:10">
      <c r="A1001" t="s">
        <v>1324</v>
      </c>
      <c r="B1001" t="s">
        <v>1323</v>
      </c>
      <c r="C1001">
        <v>40</v>
      </c>
      <c r="D1001">
        <v>10</v>
      </c>
      <c r="E1001" t="s">
        <v>1319</v>
      </c>
      <c r="F1001" t="s">
        <v>86</v>
      </c>
      <c r="G1001" t="s">
        <v>17</v>
      </c>
      <c r="H1001">
        <v>2</v>
      </c>
      <c r="I1001">
        <v>893</v>
      </c>
      <c r="J1001">
        <v>5</v>
      </c>
    </row>
    <row r="1002" spans="1:10">
      <c r="A1002" t="s">
        <v>1325</v>
      </c>
      <c r="B1002" t="s">
        <v>1323</v>
      </c>
      <c r="C1002">
        <v>40</v>
      </c>
      <c r="D1002">
        <v>10</v>
      </c>
      <c r="E1002" t="s">
        <v>1319</v>
      </c>
      <c r="F1002" t="s">
        <v>39</v>
      </c>
      <c r="G1002" t="s">
        <v>14</v>
      </c>
      <c r="H1002">
        <v>4</v>
      </c>
      <c r="I1002">
        <v>836</v>
      </c>
      <c r="J1002">
        <v>5</v>
      </c>
    </row>
    <row r="1003" spans="1:10">
      <c r="A1003" t="s">
        <v>1326</v>
      </c>
      <c r="B1003" t="s">
        <v>1323</v>
      </c>
      <c r="C1003">
        <v>40</v>
      </c>
      <c r="D1003">
        <v>10</v>
      </c>
      <c r="E1003" t="s">
        <v>1319</v>
      </c>
      <c r="F1003" t="s">
        <v>16</v>
      </c>
      <c r="G1003" t="s">
        <v>17</v>
      </c>
      <c r="H1003">
        <v>3</v>
      </c>
      <c r="I1003">
        <v>442</v>
      </c>
      <c r="J1003">
        <v>15</v>
      </c>
    </row>
    <row r="1004" spans="1:10">
      <c r="A1004" t="s">
        <v>1327</v>
      </c>
      <c r="B1004" t="s">
        <v>1323</v>
      </c>
      <c r="C1004">
        <v>40</v>
      </c>
      <c r="D1004">
        <v>10</v>
      </c>
      <c r="E1004" t="s">
        <v>1319</v>
      </c>
      <c r="F1004" t="s">
        <v>39</v>
      </c>
      <c r="G1004" t="s">
        <v>14</v>
      </c>
      <c r="H1004">
        <v>5</v>
      </c>
      <c r="I1004">
        <v>748</v>
      </c>
      <c r="J1004">
        <v>15</v>
      </c>
    </row>
    <row r="1005" spans="1:10">
      <c r="A1005" t="s">
        <v>1328</v>
      </c>
      <c r="B1005" t="s">
        <v>1323</v>
      </c>
      <c r="C1005">
        <v>40</v>
      </c>
      <c r="D1005">
        <v>10</v>
      </c>
      <c r="E1005" t="s">
        <v>1319</v>
      </c>
      <c r="F1005" t="s">
        <v>86</v>
      </c>
      <c r="G1005" t="s">
        <v>17</v>
      </c>
      <c r="H1005">
        <v>4</v>
      </c>
      <c r="I1005">
        <v>799</v>
      </c>
      <c r="J1005">
        <v>15</v>
      </c>
    </row>
    <row r="1006" spans="1:10">
      <c r="A1006" t="s">
        <v>1329</v>
      </c>
      <c r="B1006" t="s">
        <v>1330</v>
      </c>
      <c r="C1006">
        <v>40</v>
      </c>
      <c r="D1006">
        <v>10</v>
      </c>
      <c r="E1006" t="s">
        <v>1319</v>
      </c>
      <c r="F1006" t="s">
        <v>19</v>
      </c>
      <c r="G1006" t="s">
        <v>20</v>
      </c>
      <c r="H1006">
        <v>2</v>
      </c>
      <c r="I1006">
        <v>1377</v>
      </c>
      <c r="J1006">
        <v>15</v>
      </c>
    </row>
    <row r="1007" spans="1:10">
      <c r="A1007" t="s">
        <v>1331</v>
      </c>
      <c r="B1007" t="s">
        <v>1330</v>
      </c>
      <c r="C1007">
        <v>40</v>
      </c>
      <c r="D1007">
        <v>10</v>
      </c>
      <c r="E1007" t="s">
        <v>1319</v>
      </c>
      <c r="F1007" t="s">
        <v>187</v>
      </c>
      <c r="G1007" t="s">
        <v>14</v>
      </c>
      <c r="H1007">
        <v>2</v>
      </c>
      <c r="I1007">
        <v>4400</v>
      </c>
      <c r="J1007">
        <v>0</v>
      </c>
    </row>
    <row r="1008" spans="1:10">
      <c r="A1008" t="s">
        <v>1332</v>
      </c>
      <c r="B1008" t="s">
        <v>1330</v>
      </c>
      <c r="C1008">
        <v>40</v>
      </c>
      <c r="D1008">
        <v>10</v>
      </c>
      <c r="E1008" t="s">
        <v>1319</v>
      </c>
      <c r="F1008" t="s">
        <v>82</v>
      </c>
      <c r="G1008" t="s">
        <v>20</v>
      </c>
      <c r="H1008">
        <v>2</v>
      </c>
      <c r="I1008">
        <v>810</v>
      </c>
      <c r="J1008">
        <v>10</v>
      </c>
    </row>
    <row r="1009" spans="1:10">
      <c r="A1009" t="s">
        <v>1333</v>
      </c>
      <c r="B1009" t="s">
        <v>1330</v>
      </c>
      <c r="C1009">
        <v>40</v>
      </c>
      <c r="D1009">
        <v>10</v>
      </c>
      <c r="E1009" t="s">
        <v>1319</v>
      </c>
      <c r="F1009" t="s">
        <v>66</v>
      </c>
      <c r="G1009" t="s">
        <v>17</v>
      </c>
      <c r="H1009">
        <v>4</v>
      </c>
      <c r="I1009">
        <v>1470</v>
      </c>
      <c r="J1009">
        <v>0</v>
      </c>
    </row>
    <row r="1010" spans="1:10">
      <c r="A1010" t="s">
        <v>1334</v>
      </c>
      <c r="B1010" t="s">
        <v>1330</v>
      </c>
      <c r="C1010">
        <v>40</v>
      </c>
      <c r="D1010">
        <v>10</v>
      </c>
      <c r="E1010" t="s">
        <v>1319</v>
      </c>
      <c r="F1010" t="s">
        <v>349</v>
      </c>
      <c r="G1010" t="s">
        <v>221</v>
      </c>
      <c r="H1010">
        <v>2</v>
      </c>
      <c r="I1010">
        <v>400</v>
      </c>
      <c r="J1010">
        <v>0</v>
      </c>
    </row>
    <row r="1011" spans="1:10">
      <c r="A1011" t="s">
        <v>1335</v>
      </c>
      <c r="B1011" t="s">
        <v>1330</v>
      </c>
      <c r="C1011">
        <v>40</v>
      </c>
      <c r="D1011">
        <v>10</v>
      </c>
      <c r="E1011" t="s">
        <v>1319</v>
      </c>
      <c r="F1011" t="s">
        <v>28</v>
      </c>
      <c r="G1011" t="s">
        <v>26</v>
      </c>
      <c r="H1011">
        <v>4</v>
      </c>
      <c r="I1011">
        <v>1425</v>
      </c>
      <c r="J1011">
        <v>5</v>
      </c>
    </row>
    <row r="1012" spans="1:10">
      <c r="A1012" t="s">
        <v>1336</v>
      </c>
      <c r="B1012" t="s">
        <v>1330</v>
      </c>
      <c r="C1012">
        <v>40</v>
      </c>
      <c r="D1012">
        <v>10</v>
      </c>
      <c r="E1012" t="s">
        <v>1319</v>
      </c>
      <c r="F1012" t="s">
        <v>16</v>
      </c>
      <c r="G1012" t="s">
        <v>17</v>
      </c>
      <c r="H1012">
        <v>5</v>
      </c>
      <c r="I1012">
        <v>520</v>
      </c>
      <c r="J1012">
        <v>0</v>
      </c>
    </row>
    <row r="1013" spans="1:10">
      <c r="A1013" t="s">
        <v>1337</v>
      </c>
      <c r="B1013" t="s">
        <v>1330</v>
      </c>
      <c r="C1013">
        <v>40</v>
      </c>
      <c r="D1013">
        <v>10</v>
      </c>
      <c r="E1013" t="s">
        <v>1319</v>
      </c>
      <c r="F1013" t="s">
        <v>349</v>
      </c>
      <c r="G1013" t="s">
        <v>221</v>
      </c>
      <c r="H1013">
        <v>4</v>
      </c>
      <c r="I1013">
        <v>400</v>
      </c>
      <c r="J1013">
        <v>0</v>
      </c>
    </row>
    <row r="1014" spans="1:10">
      <c r="A1014" t="s">
        <v>1338</v>
      </c>
      <c r="B1014" t="s">
        <v>1330</v>
      </c>
      <c r="C1014">
        <v>40</v>
      </c>
      <c r="D1014">
        <v>10</v>
      </c>
      <c r="E1014" t="s">
        <v>1319</v>
      </c>
      <c r="F1014" t="s">
        <v>82</v>
      </c>
      <c r="G1014" t="s">
        <v>20</v>
      </c>
      <c r="H1014">
        <v>5</v>
      </c>
      <c r="I1014">
        <v>765</v>
      </c>
      <c r="J1014">
        <v>15</v>
      </c>
    </row>
    <row r="1015" spans="1:10">
      <c r="A1015" t="s">
        <v>1339</v>
      </c>
      <c r="B1015" t="s">
        <v>1330</v>
      </c>
      <c r="C1015">
        <v>40</v>
      </c>
      <c r="D1015">
        <v>10</v>
      </c>
      <c r="E1015" t="s">
        <v>1319</v>
      </c>
      <c r="F1015" t="s">
        <v>86</v>
      </c>
      <c r="G1015" t="s">
        <v>17</v>
      </c>
      <c r="H1015">
        <v>2</v>
      </c>
      <c r="I1015">
        <v>893</v>
      </c>
      <c r="J1015">
        <v>5</v>
      </c>
    </row>
    <row r="1016" spans="1:10">
      <c r="A1016" t="s">
        <v>1340</v>
      </c>
      <c r="B1016" t="s">
        <v>1341</v>
      </c>
      <c r="C1016">
        <v>40</v>
      </c>
      <c r="D1016">
        <v>10</v>
      </c>
      <c r="E1016" t="s">
        <v>1319</v>
      </c>
      <c r="F1016" t="s">
        <v>39</v>
      </c>
      <c r="G1016" t="s">
        <v>14</v>
      </c>
      <c r="H1016">
        <v>3</v>
      </c>
      <c r="I1016">
        <v>836</v>
      </c>
      <c r="J1016">
        <v>5</v>
      </c>
    </row>
    <row r="1017" spans="1:10">
      <c r="A1017" t="s">
        <v>1342</v>
      </c>
      <c r="B1017" t="s">
        <v>1341</v>
      </c>
      <c r="C1017">
        <v>40</v>
      </c>
      <c r="D1017">
        <v>10</v>
      </c>
      <c r="E1017" t="s">
        <v>1319</v>
      </c>
      <c r="F1017" t="s">
        <v>146</v>
      </c>
      <c r="G1017" t="s">
        <v>20</v>
      </c>
      <c r="H1017">
        <v>5</v>
      </c>
      <c r="I1017">
        <v>567</v>
      </c>
      <c r="J1017">
        <v>10</v>
      </c>
    </row>
    <row r="1018" spans="1:10">
      <c r="A1018" t="s">
        <v>1343</v>
      </c>
      <c r="B1018" t="s">
        <v>1344</v>
      </c>
      <c r="C1018">
        <v>40</v>
      </c>
      <c r="D1018">
        <v>10</v>
      </c>
      <c r="E1018" t="s">
        <v>1319</v>
      </c>
      <c r="F1018" t="s">
        <v>119</v>
      </c>
      <c r="G1018" t="s">
        <v>14</v>
      </c>
      <c r="H1018">
        <v>4</v>
      </c>
      <c r="I1018">
        <v>693</v>
      </c>
      <c r="J1018">
        <v>10</v>
      </c>
    </row>
    <row r="1019" spans="1:10">
      <c r="A1019" t="s">
        <v>1345</v>
      </c>
      <c r="B1019" t="s">
        <v>1344</v>
      </c>
      <c r="C1019">
        <v>40</v>
      </c>
      <c r="D1019">
        <v>10</v>
      </c>
      <c r="E1019" t="s">
        <v>1319</v>
      </c>
      <c r="F1019" t="s">
        <v>146</v>
      </c>
      <c r="G1019" t="s">
        <v>20</v>
      </c>
      <c r="H1019">
        <v>3</v>
      </c>
      <c r="I1019">
        <v>630</v>
      </c>
      <c r="J1019">
        <v>0</v>
      </c>
    </row>
    <row r="1020" spans="1:10">
      <c r="A1020" t="s">
        <v>1346</v>
      </c>
      <c r="B1020" t="s">
        <v>1344</v>
      </c>
      <c r="C1020">
        <v>40</v>
      </c>
      <c r="D1020">
        <v>10</v>
      </c>
      <c r="E1020" t="s">
        <v>1319</v>
      </c>
      <c r="F1020" t="s">
        <v>16</v>
      </c>
      <c r="G1020" t="s">
        <v>17</v>
      </c>
      <c r="H1020">
        <v>3</v>
      </c>
      <c r="I1020">
        <v>494</v>
      </c>
      <c r="J1020">
        <v>5</v>
      </c>
    </row>
    <row r="1021" spans="1:10">
      <c r="A1021" t="s">
        <v>1347</v>
      </c>
      <c r="B1021" t="s">
        <v>1344</v>
      </c>
      <c r="C1021">
        <v>40</v>
      </c>
      <c r="D1021">
        <v>10</v>
      </c>
      <c r="E1021" t="s">
        <v>1319</v>
      </c>
      <c r="F1021" t="s">
        <v>31</v>
      </c>
      <c r="G1021" t="s">
        <v>23</v>
      </c>
      <c r="H1021">
        <v>4</v>
      </c>
      <c r="I1021">
        <v>1400</v>
      </c>
      <c r="J1021">
        <v>0</v>
      </c>
    </row>
    <row r="1022" spans="1:10">
      <c r="A1022" t="s">
        <v>1348</v>
      </c>
      <c r="B1022" t="s">
        <v>1344</v>
      </c>
      <c r="C1022">
        <v>40</v>
      </c>
      <c r="D1022">
        <v>10</v>
      </c>
      <c r="E1022" t="s">
        <v>1319</v>
      </c>
      <c r="F1022" t="s">
        <v>28</v>
      </c>
      <c r="G1022" t="s">
        <v>26</v>
      </c>
      <c r="H1022">
        <v>2</v>
      </c>
      <c r="I1022">
        <v>1500</v>
      </c>
      <c r="J1022">
        <v>0</v>
      </c>
    </row>
    <row r="1023" spans="1:10">
      <c r="A1023" t="s">
        <v>1349</v>
      </c>
      <c r="B1023" t="s">
        <v>1344</v>
      </c>
      <c r="C1023">
        <v>40</v>
      </c>
      <c r="D1023">
        <v>10</v>
      </c>
      <c r="E1023" t="s">
        <v>1319</v>
      </c>
      <c r="F1023" t="s">
        <v>35</v>
      </c>
      <c r="G1023" t="s">
        <v>17</v>
      </c>
      <c r="H1023">
        <v>1</v>
      </c>
      <c r="I1023">
        <v>3150</v>
      </c>
      <c r="J1023">
        <v>0</v>
      </c>
    </row>
    <row r="1024" spans="1:10">
      <c r="A1024" t="s">
        <v>1350</v>
      </c>
      <c r="B1024" t="s">
        <v>1344</v>
      </c>
      <c r="C1024">
        <v>40</v>
      </c>
      <c r="D1024">
        <v>10</v>
      </c>
      <c r="E1024" t="s">
        <v>1319</v>
      </c>
      <c r="F1024" t="s">
        <v>369</v>
      </c>
      <c r="G1024" t="s">
        <v>221</v>
      </c>
      <c r="H1024">
        <v>4</v>
      </c>
      <c r="I1024">
        <v>700</v>
      </c>
      <c r="J1024">
        <v>0</v>
      </c>
    </row>
    <row r="1025" spans="1:10">
      <c r="A1025" t="s">
        <v>1351</v>
      </c>
      <c r="B1025" t="s">
        <v>1352</v>
      </c>
      <c r="C1025">
        <v>40</v>
      </c>
      <c r="D1025">
        <v>10</v>
      </c>
      <c r="E1025" t="s">
        <v>1319</v>
      </c>
      <c r="F1025" t="s">
        <v>64</v>
      </c>
      <c r="G1025" t="s">
        <v>14</v>
      </c>
      <c r="H1025">
        <v>4</v>
      </c>
      <c r="I1025">
        <v>2640</v>
      </c>
      <c r="J1025">
        <v>0</v>
      </c>
    </row>
    <row r="1026" spans="1:10">
      <c r="A1026" t="s">
        <v>1353</v>
      </c>
      <c r="B1026" t="s">
        <v>1352</v>
      </c>
      <c r="C1026">
        <v>40</v>
      </c>
      <c r="D1026">
        <v>10</v>
      </c>
      <c r="E1026" t="s">
        <v>1319</v>
      </c>
      <c r="F1026" t="s">
        <v>146</v>
      </c>
      <c r="G1026" t="s">
        <v>20</v>
      </c>
      <c r="H1026">
        <v>2</v>
      </c>
      <c r="I1026">
        <v>567</v>
      </c>
      <c r="J1026">
        <v>10</v>
      </c>
    </row>
    <row r="1027" spans="1:10">
      <c r="A1027" t="s">
        <v>1354</v>
      </c>
      <c r="B1027" t="s">
        <v>1352</v>
      </c>
      <c r="C1027">
        <v>40</v>
      </c>
      <c r="D1027">
        <v>10</v>
      </c>
      <c r="E1027" t="s">
        <v>1319</v>
      </c>
      <c r="F1027" t="s">
        <v>119</v>
      </c>
      <c r="G1027" t="s">
        <v>14</v>
      </c>
      <c r="H1027">
        <v>4</v>
      </c>
      <c r="I1027">
        <v>770</v>
      </c>
      <c r="J1027">
        <v>0</v>
      </c>
    </row>
    <row r="1028" spans="1:10">
      <c r="A1028" t="s">
        <v>1355</v>
      </c>
      <c r="B1028" t="s">
        <v>1356</v>
      </c>
      <c r="C1028">
        <v>41</v>
      </c>
      <c r="D1028">
        <v>10</v>
      </c>
      <c r="E1028" t="s">
        <v>1319</v>
      </c>
      <c r="F1028" t="s">
        <v>19</v>
      </c>
      <c r="G1028" t="s">
        <v>20</v>
      </c>
      <c r="H1028">
        <v>2</v>
      </c>
      <c r="I1028">
        <v>1620</v>
      </c>
      <c r="J1028">
        <v>0</v>
      </c>
    </row>
    <row r="1029" spans="1:10">
      <c r="A1029" t="s">
        <v>1357</v>
      </c>
      <c r="B1029" t="s">
        <v>1356</v>
      </c>
      <c r="C1029">
        <v>41</v>
      </c>
      <c r="D1029">
        <v>10</v>
      </c>
      <c r="E1029" t="s">
        <v>1319</v>
      </c>
      <c r="F1029" t="s">
        <v>64</v>
      </c>
      <c r="G1029" t="s">
        <v>14</v>
      </c>
      <c r="H1029">
        <v>1</v>
      </c>
      <c r="I1029">
        <v>2640</v>
      </c>
      <c r="J1029">
        <v>0</v>
      </c>
    </row>
    <row r="1030" spans="1:10">
      <c r="A1030" t="s">
        <v>1358</v>
      </c>
      <c r="B1030" t="s">
        <v>1356</v>
      </c>
      <c r="C1030">
        <v>41</v>
      </c>
      <c r="D1030">
        <v>10</v>
      </c>
      <c r="E1030" t="s">
        <v>1319</v>
      </c>
      <c r="F1030" t="s">
        <v>68</v>
      </c>
      <c r="G1030" t="s">
        <v>26</v>
      </c>
      <c r="H1030">
        <v>5</v>
      </c>
      <c r="I1030">
        <v>380</v>
      </c>
      <c r="J1030">
        <v>0</v>
      </c>
    </row>
    <row r="1031" spans="1:10">
      <c r="A1031" t="s">
        <v>1359</v>
      </c>
      <c r="B1031" t="s">
        <v>1360</v>
      </c>
      <c r="C1031">
        <v>41</v>
      </c>
      <c r="D1031">
        <v>10</v>
      </c>
      <c r="E1031" t="s">
        <v>1319</v>
      </c>
      <c r="F1031" t="s">
        <v>13</v>
      </c>
      <c r="G1031" t="s">
        <v>14</v>
      </c>
      <c r="H1031">
        <v>1</v>
      </c>
      <c r="I1031">
        <v>480</v>
      </c>
      <c r="J1031">
        <v>0</v>
      </c>
    </row>
    <row r="1032" spans="1:10">
      <c r="A1032" t="s">
        <v>1361</v>
      </c>
      <c r="B1032" t="s">
        <v>1360</v>
      </c>
      <c r="C1032">
        <v>41</v>
      </c>
      <c r="D1032">
        <v>10</v>
      </c>
      <c r="E1032" t="s">
        <v>1319</v>
      </c>
      <c r="F1032" t="s">
        <v>68</v>
      </c>
      <c r="G1032" t="s">
        <v>26</v>
      </c>
      <c r="H1032">
        <v>1</v>
      </c>
      <c r="I1032">
        <v>380</v>
      </c>
      <c r="J1032">
        <v>0</v>
      </c>
    </row>
    <row r="1033" spans="1:10">
      <c r="A1033" t="s">
        <v>1362</v>
      </c>
      <c r="B1033" t="s">
        <v>1360</v>
      </c>
      <c r="C1033">
        <v>41</v>
      </c>
      <c r="D1033">
        <v>10</v>
      </c>
      <c r="E1033" t="s">
        <v>1319</v>
      </c>
      <c r="F1033" t="s">
        <v>42</v>
      </c>
      <c r="G1033" t="s">
        <v>23</v>
      </c>
      <c r="H1033">
        <v>5</v>
      </c>
      <c r="I1033">
        <v>540</v>
      </c>
      <c r="J1033">
        <v>10</v>
      </c>
    </row>
    <row r="1034" spans="1:10">
      <c r="A1034" t="s">
        <v>1363</v>
      </c>
      <c r="B1034" t="s">
        <v>1360</v>
      </c>
      <c r="C1034">
        <v>41</v>
      </c>
      <c r="D1034">
        <v>10</v>
      </c>
      <c r="E1034" t="s">
        <v>1319</v>
      </c>
      <c r="F1034" t="s">
        <v>28</v>
      </c>
      <c r="G1034" t="s">
        <v>26</v>
      </c>
      <c r="H1034">
        <v>1</v>
      </c>
      <c r="I1034">
        <v>1350</v>
      </c>
      <c r="J1034">
        <v>10</v>
      </c>
    </row>
    <row r="1035" spans="1:10">
      <c r="A1035" t="s">
        <v>1364</v>
      </c>
      <c r="B1035" t="s">
        <v>1360</v>
      </c>
      <c r="C1035">
        <v>41</v>
      </c>
      <c r="D1035">
        <v>10</v>
      </c>
      <c r="E1035" t="s">
        <v>1319</v>
      </c>
      <c r="F1035" t="s">
        <v>68</v>
      </c>
      <c r="G1035" t="s">
        <v>26</v>
      </c>
      <c r="H1035">
        <v>1</v>
      </c>
      <c r="I1035">
        <v>380</v>
      </c>
      <c r="J1035">
        <v>0</v>
      </c>
    </row>
    <row r="1036" spans="1:10">
      <c r="A1036" t="s">
        <v>1365</v>
      </c>
      <c r="B1036" t="s">
        <v>1360</v>
      </c>
      <c r="C1036">
        <v>41</v>
      </c>
      <c r="D1036">
        <v>10</v>
      </c>
      <c r="E1036" t="s">
        <v>1319</v>
      </c>
      <c r="F1036" t="s">
        <v>187</v>
      </c>
      <c r="G1036" t="s">
        <v>14</v>
      </c>
      <c r="H1036">
        <v>5</v>
      </c>
      <c r="I1036">
        <v>3740</v>
      </c>
      <c r="J1036">
        <v>15</v>
      </c>
    </row>
    <row r="1037" spans="1:10">
      <c r="A1037" t="s">
        <v>1366</v>
      </c>
      <c r="B1037" t="s">
        <v>1360</v>
      </c>
      <c r="C1037">
        <v>41</v>
      </c>
      <c r="D1037">
        <v>10</v>
      </c>
      <c r="E1037" t="s">
        <v>1319</v>
      </c>
      <c r="F1037" t="s">
        <v>80</v>
      </c>
      <c r="G1037" t="s">
        <v>14</v>
      </c>
      <c r="H1037">
        <v>2</v>
      </c>
      <c r="I1037">
        <v>380</v>
      </c>
      <c r="J1037">
        <v>5</v>
      </c>
    </row>
    <row r="1038" spans="1:10">
      <c r="A1038" t="s">
        <v>1367</v>
      </c>
      <c r="B1038" t="s">
        <v>1368</v>
      </c>
      <c r="C1038">
        <v>41</v>
      </c>
      <c r="D1038">
        <v>10</v>
      </c>
      <c r="E1038" t="s">
        <v>1319</v>
      </c>
      <c r="F1038" t="s">
        <v>35</v>
      </c>
      <c r="G1038" t="s">
        <v>17</v>
      </c>
      <c r="H1038">
        <v>5</v>
      </c>
      <c r="I1038">
        <v>2992.5</v>
      </c>
      <c r="J1038">
        <v>5</v>
      </c>
    </row>
    <row r="1039" spans="1:10">
      <c r="A1039" t="s">
        <v>1369</v>
      </c>
      <c r="B1039" t="s">
        <v>1370</v>
      </c>
      <c r="C1039">
        <v>41</v>
      </c>
      <c r="D1039">
        <v>10</v>
      </c>
      <c r="E1039" t="s">
        <v>1319</v>
      </c>
      <c r="F1039" t="s">
        <v>119</v>
      </c>
      <c r="G1039" t="s">
        <v>14</v>
      </c>
      <c r="H1039">
        <v>1</v>
      </c>
      <c r="I1039">
        <v>693</v>
      </c>
      <c r="J1039">
        <v>10</v>
      </c>
    </row>
    <row r="1040" spans="1:10">
      <c r="A1040" t="s">
        <v>1371</v>
      </c>
      <c r="B1040" t="s">
        <v>1370</v>
      </c>
      <c r="C1040">
        <v>41</v>
      </c>
      <c r="D1040">
        <v>10</v>
      </c>
      <c r="E1040" t="s">
        <v>1319</v>
      </c>
      <c r="F1040" t="s">
        <v>25</v>
      </c>
      <c r="G1040" t="s">
        <v>26</v>
      </c>
      <c r="H1040">
        <v>4</v>
      </c>
      <c r="I1040">
        <v>850</v>
      </c>
      <c r="J1040">
        <v>15</v>
      </c>
    </row>
    <row r="1041" spans="1:10">
      <c r="A1041" t="s">
        <v>1372</v>
      </c>
      <c r="B1041" t="s">
        <v>1370</v>
      </c>
      <c r="C1041">
        <v>41</v>
      </c>
      <c r="D1041">
        <v>10</v>
      </c>
      <c r="E1041" t="s">
        <v>1319</v>
      </c>
      <c r="F1041" t="s">
        <v>97</v>
      </c>
      <c r="G1041" t="s">
        <v>20</v>
      </c>
      <c r="H1041">
        <v>2</v>
      </c>
      <c r="I1041">
        <v>1980</v>
      </c>
      <c r="J1041">
        <v>0</v>
      </c>
    </row>
    <row r="1042" spans="1:10">
      <c r="A1042" t="s">
        <v>1373</v>
      </c>
      <c r="B1042" t="s">
        <v>1370</v>
      </c>
      <c r="C1042">
        <v>41</v>
      </c>
      <c r="D1042">
        <v>10</v>
      </c>
      <c r="E1042" t="s">
        <v>1319</v>
      </c>
      <c r="F1042" t="s">
        <v>66</v>
      </c>
      <c r="G1042" t="s">
        <v>17</v>
      </c>
      <c r="H1042">
        <v>5</v>
      </c>
      <c r="I1042">
        <v>1249.5</v>
      </c>
      <c r="J1042">
        <v>15</v>
      </c>
    </row>
    <row r="1043" spans="1:10">
      <c r="A1043" t="s">
        <v>1374</v>
      </c>
      <c r="B1043" t="s">
        <v>1370</v>
      </c>
      <c r="C1043">
        <v>41</v>
      </c>
      <c r="D1043">
        <v>10</v>
      </c>
      <c r="E1043" t="s">
        <v>1319</v>
      </c>
      <c r="F1043" t="s">
        <v>364</v>
      </c>
      <c r="G1043" t="s">
        <v>221</v>
      </c>
      <c r="H1043">
        <v>1</v>
      </c>
      <c r="I1043">
        <v>960</v>
      </c>
      <c r="J1043">
        <v>0</v>
      </c>
    </row>
    <row r="1044" spans="1:10">
      <c r="A1044" t="s">
        <v>1375</v>
      </c>
      <c r="B1044" t="s">
        <v>1370</v>
      </c>
      <c r="C1044">
        <v>41</v>
      </c>
      <c r="D1044">
        <v>10</v>
      </c>
      <c r="E1044" t="s">
        <v>1319</v>
      </c>
      <c r="F1044" t="s">
        <v>13</v>
      </c>
      <c r="G1044" t="s">
        <v>14</v>
      </c>
      <c r="H1044">
        <v>5</v>
      </c>
      <c r="I1044">
        <v>480</v>
      </c>
      <c r="J1044">
        <v>0</v>
      </c>
    </row>
    <row r="1045" spans="1:10">
      <c r="A1045" t="s">
        <v>1376</v>
      </c>
      <c r="B1045" t="s">
        <v>1377</v>
      </c>
      <c r="C1045">
        <v>41</v>
      </c>
      <c r="D1045">
        <v>10</v>
      </c>
      <c r="E1045" t="s">
        <v>1319</v>
      </c>
      <c r="F1045" t="s">
        <v>187</v>
      </c>
      <c r="G1045" t="s">
        <v>14</v>
      </c>
      <c r="H1045">
        <v>4</v>
      </c>
      <c r="I1045">
        <v>4180</v>
      </c>
      <c r="J1045">
        <v>5</v>
      </c>
    </row>
    <row r="1046" spans="1:10">
      <c r="A1046" t="s">
        <v>1378</v>
      </c>
      <c r="B1046" t="s">
        <v>1377</v>
      </c>
      <c r="C1046">
        <v>41</v>
      </c>
      <c r="D1046">
        <v>10</v>
      </c>
      <c r="E1046" t="s">
        <v>1319</v>
      </c>
      <c r="F1046" t="s">
        <v>220</v>
      </c>
      <c r="G1046" t="s">
        <v>221</v>
      </c>
      <c r="H1046">
        <v>5</v>
      </c>
      <c r="I1046">
        <v>600</v>
      </c>
      <c r="J1046">
        <v>0</v>
      </c>
    </row>
    <row r="1047" spans="1:10">
      <c r="A1047" t="s">
        <v>1379</v>
      </c>
      <c r="B1047" t="s">
        <v>1377</v>
      </c>
      <c r="C1047">
        <v>41</v>
      </c>
      <c r="D1047">
        <v>10</v>
      </c>
      <c r="E1047" t="s">
        <v>1319</v>
      </c>
      <c r="F1047" t="s">
        <v>25</v>
      </c>
      <c r="G1047" t="s">
        <v>26</v>
      </c>
      <c r="H1047">
        <v>3</v>
      </c>
      <c r="I1047">
        <v>900</v>
      </c>
      <c r="J1047">
        <v>10</v>
      </c>
    </row>
    <row r="1048" spans="1:10">
      <c r="A1048" t="s">
        <v>1380</v>
      </c>
      <c r="B1048" t="s">
        <v>1377</v>
      </c>
      <c r="C1048">
        <v>41</v>
      </c>
      <c r="D1048">
        <v>10</v>
      </c>
      <c r="E1048" t="s">
        <v>1319</v>
      </c>
      <c r="F1048" t="s">
        <v>349</v>
      </c>
      <c r="G1048" t="s">
        <v>221</v>
      </c>
      <c r="H1048">
        <v>3</v>
      </c>
      <c r="I1048">
        <v>400</v>
      </c>
      <c r="J1048">
        <v>0</v>
      </c>
    </row>
    <row r="1049" spans="1:10">
      <c r="A1049" t="s">
        <v>1381</v>
      </c>
      <c r="B1049" t="s">
        <v>1377</v>
      </c>
      <c r="C1049">
        <v>41</v>
      </c>
      <c r="D1049">
        <v>10</v>
      </c>
      <c r="E1049" t="s">
        <v>1319</v>
      </c>
      <c r="F1049" t="s">
        <v>64</v>
      </c>
      <c r="G1049" t="s">
        <v>14</v>
      </c>
      <c r="H1049">
        <v>4</v>
      </c>
      <c r="I1049">
        <v>2376</v>
      </c>
      <c r="J1049">
        <v>10</v>
      </c>
    </row>
    <row r="1050" spans="1:10">
      <c r="A1050" t="s">
        <v>1382</v>
      </c>
      <c r="B1050" t="s">
        <v>1383</v>
      </c>
      <c r="C1050">
        <v>41</v>
      </c>
      <c r="D1050">
        <v>10</v>
      </c>
      <c r="E1050" t="s">
        <v>1319</v>
      </c>
      <c r="F1050" t="s">
        <v>97</v>
      </c>
      <c r="G1050" t="s">
        <v>20</v>
      </c>
      <c r="H1050">
        <v>1</v>
      </c>
      <c r="I1050">
        <v>1683</v>
      </c>
      <c r="J1050">
        <v>15</v>
      </c>
    </row>
    <row r="1051" spans="1:10">
      <c r="A1051" t="s">
        <v>1384</v>
      </c>
      <c r="B1051" t="s">
        <v>1383</v>
      </c>
      <c r="C1051">
        <v>41</v>
      </c>
      <c r="D1051">
        <v>10</v>
      </c>
      <c r="E1051" t="s">
        <v>1319</v>
      </c>
      <c r="F1051" t="s">
        <v>37</v>
      </c>
      <c r="G1051" t="s">
        <v>20</v>
      </c>
      <c r="H1051">
        <v>4</v>
      </c>
      <c r="I1051">
        <v>2340</v>
      </c>
      <c r="J1051">
        <v>0</v>
      </c>
    </row>
    <row r="1052" spans="1:10">
      <c r="A1052" t="s">
        <v>1385</v>
      </c>
      <c r="B1052" t="s">
        <v>1383</v>
      </c>
      <c r="C1052">
        <v>41</v>
      </c>
      <c r="D1052">
        <v>10</v>
      </c>
      <c r="E1052" t="s">
        <v>1319</v>
      </c>
      <c r="F1052" t="s">
        <v>220</v>
      </c>
      <c r="G1052" t="s">
        <v>221</v>
      </c>
      <c r="H1052">
        <v>4</v>
      </c>
      <c r="I1052">
        <v>510</v>
      </c>
      <c r="J1052">
        <v>15</v>
      </c>
    </row>
    <row r="1053" spans="1:10">
      <c r="A1053" t="s">
        <v>1386</v>
      </c>
      <c r="B1053" t="s">
        <v>1383</v>
      </c>
      <c r="C1053">
        <v>41</v>
      </c>
      <c r="D1053">
        <v>10</v>
      </c>
      <c r="E1053" t="s">
        <v>1319</v>
      </c>
      <c r="F1053" t="s">
        <v>369</v>
      </c>
      <c r="G1053" t="s">
        <v>221</v>
      </c>
      <c r="H1053">
        <v>3</v>
      </c>
      <c r="I1053">
        <v>700</v>
      </c>
      <c r="J1053">
        <v>0</v>
      </c>
    </row>
    <row r="1054" spans="1:10">
      <c r="A1054" t="s">
        <v>1387</v>
      </c>
      <c r="B1054" t="s">
        <v>1383</v>
      </c>
      <c r="C1054">
        <v>41</v>
      </c>
      <c r="D1054">
        <v>10</v>
      </c>
      <c r="E1054" t="s">
        <v>1319</v>
      </c>
      <c r="F1054" t="s">
        <v>94</v>
      </c>
      <c r="G1054" t="s">
        <v>17</v>
      </c>
      <c r="H1054">
        <v>1</v>
      </c>
      <c r="I1054">
        <v>1428</v>
      </c>
      <c r="J1054">
        <v>15</v>
      </c>
    </row>
    <row r="1055" spans="1:10">
      <c r="A1055" t="s">
        <v>1388</v>
      </c>
      <c r="B1055" t="s">
        <v>1383</v>
      </c>
      <c r="C1055">
        <v>41</v>
      </c>
      <c r="D1055">
        <v>10</v>
      </c>
      <c r="E1055" t="s">
        <v>1319</v>
      </c>
      <c r="F1055" t="s">
        <v>45</v>
      </c>
      <c r="G1055" t="s">
        <v>26</v>
      </c>
      <c r="H1055">
        <v>5</v>
      </c>
      <c r="I1055">
        <v>4050</v>
      </c>
      <c r="J1055">
        <v>10</v>
      </c>
    </row>
    <row r="1056" spans="1:10">
      <c r="A1056" t="s">
        <v>1389</v>
      </c>
      <c r="B1056" t="s">
        <v>1390</v>
      </c>
      <c r="C1056">
        <v>41</v>
      </c>
      <c r="D1056">
        <v>10</v>
      </c>
      <c r="E1056" t="s">
        <v>1319</v>
      </c>
      <c r="F1056" t="s">
        <v>349</v>
      </c>
      <c r="G1056" t="s">
        <v>221</v>
      </c>
      <c r="H1056">
        <v>5</v>
      </c>
      <c r="I1056">
        <v>400</v>
      </c>
      <c r="J1056">
        <v>0</v>
      </c>
    </row>
    <row r="1057" spans="1:10">
      <c r="A1057" t="s">
        <v>1391</v>
      </c>
      <c r="B1057" t="s">
        <v>1390</v>
      </c>
      <c r="C1057">
        <v>41</v>
      </c>
      <c r="D1057">
        <v>10</v>
      </c>
      <c r="E1057" t="s">
        <v>1319</v>
      </c>
      <c r="F1057" t="s">
        <v>369</v>
      </c>
      <c r="G1057" t="s">
        <v>221</v>
      </c>
      <c r="H1057">
        <v>2</v>
      </c>
      <c r="I1057">
        <v>700</v>
      </c>
      <c r="J1057">
        <v>0</v>
      </c>
    </row>
    <row r="1058" spans="1:10">
      <c r="A1058" t="s">
        <v>1392</v>
      </c>
      <c r="B1058" t="s">
        <v>1390</v>
      </c>
      <c r="C1058">
        <v>41</v>
      </c>
      <c r="D1058">
        <v>10</v>
      </c>
      <c r="E1058" t="s">
        <v>1319</v>
      </c>
      <c r="F1058" t="s">
        <v>45</v>
      </c>
      <c r="G1058" t="s">
        <v>26</v>
      </c>
      <c r="H1058">
        <v>3</v>
      </c>
      <c r="I1058">
        <v>4500</v>
      </c>
      <c r="J1058">
        <v>0</v>
      </c>
    </row>
    <row r="1059" spans="1:10">
      <c r="A1059" t="s">
        <v>1393</v>
      </c>
      <c r="B1059" t="s">
        <v>1390</v>
      </c>
      <c r="C1059">
        <v>41</v>
      </c>
      <c r="D1059">
        <v>10</v>
      </c>
      <c r="E1059" t="s">
        <v>1319</v>
      </c>
      <c r="F1059" t="s">
        <v>68</v>
      </c>
      <c r="G1059" t="s">
        <v>26</v>
      </c>
      <c r="H1059">
        <v>3</v>
      </c>
      <c r="I1059">
        <v>361</v>
      </c>
      <c r="J1059">
        <v>5</v>
      </c>
    </row>
    <row r="1060" spans="1:10">
      <c r="A1060" t="s">
        <v>1394</v>
      </c>
      <c r="B1060" t="s">
        <v>1390</v>
      </c>
      <c r="C1060">
        <v>41</v>
      </c>
      <c r="D1060">
        <v>10</v>
      </c>
      <c r="E1060" t="s">
        <v>1319</v>
      </c>
      <c r="F1060" t="s">
        <v>51</v>
      </c>
      <c r="G1060" t="s">
        <v>26</v>
      </c>
      <c r="H1060">
        <v>5</v>
      </c>
      <c r="I1060">
        <v>425</v>
      </c>
      <c r="J1060">
        <v>15</v>
      </c>
    </row>
    <row r="1061" spans="1:10">
      <c r="A1061" t="s">
        <v>1395</v>
      </c>
      <c r="B1061" t="s">
        <v>1396</v>
      </c>
      <c r="C1061">
        <v>42</v>
      </c>
      <c r="D1061">
        <v>10</v>
      </c>
      <c r="E1061" t="s">
        <v>1319</v>
      </c>
      <c r="F1061" t="s">
        <v>35</v>
      </c>
      <c r="G1061" t="s">
        <v>17</v>
      </c>
      <c r="H1061">
        <v>1</v>
      </c>
      <c r="I1061">
        <v>3150</v>
      </c>
      <c r="J1061">
        <v>0</v>
      </c>
    </row>
    <row r="1062" spans="1:10">
      <c r="A1062" t="s">
        <v>1397</v>
      </c>
      <c r="B1062" t="s">
        <v>1396</v>
      </c>
      <c r="C1062">
        <v>42</v>
      </c>
      <c r="D1062">
        <v>10</v>
      </c>
      <c r="E1062" t="s">
        <v>1319</v>
      </c>
      <c r="F1062" t="s">
        <v>37</v>
      </c>
      <c r="G1062" t="s">
        <v>20</v>
      </c>
      <c r="H1062">
        <v>2</v>
      </c>
      <c r="I1062">
        <v>2340</v>
      </c>
      <c r="J1062">
        <v>0</v>
      </c>
    </row>
    <row r="1063" spans="1:10">
      <c r="A1063" t="s">
        <v>1398</v>
      </c>
      <c r="B1063" t="s">
        <v>1399</v>
      </c>
      <c r="C1063">
        <v>42</v>
      </c>
      <c r="D1063">
        <v>10</v>
      </c>
      <c r="E1063" t="s">
        <v>1319</v>
      </c>
      <c r="F1063" t="s">
        <v>37</v>
      </c>
      <c r="G1063" t="s">
        <v>20</v>
      </c>
      <c r="H1063">
        <v>1</v>
      </c>
      <c r="I1063">
        <v>2223</v>
      </c>
      <c r="J1063">
        <v>5</v>
      </c>
    </row>
    <row r="1064" spans="1:10">
      <c r="A1064" t="s">
        <v>1400</v>
      </c>
      <c r="B1064" t="s">
        <v>1399</v>
      </c>
      <c r="C1064">
        <v>42</v>
      </c>
      <c r="D1064">
        <v>10</v>
      </c>
      <c r="E1064" t="s">
        <v>1319</v>
      </c>
      <c r="F1064" t="s">
        <v>35</v>
      </c>
      <c r="G1064" t="s">
        <v>17</v>
      </c>
      <c r="H1064">
        <v>1</v>
      </c>
      <c r="I1064">
        <v>2835</v>
      </c>
      <c r="J1064">
        <v>10</v>
      </c>
    </row>
    <row r="1065" spans="1:10">
      <c r="A1065" t="s">
        <v>1401</v>
      </c>
      <c r="B1065" t="s">
        <v>1399</v>
      </c>
      <c r="C1065">
        <v>42</v>
      </c>
      <c r="D1065">
        <v>10</v>
      </c>
      <c r="E1065" t="s">
        <v>1319</v>
      </c>
      <c r="F1065" t="s">
        <v>82</v>
      </c>
      <c r="G1065" t="s">
        <v>20</v>
      </c>
      <c r="H1065">
        <v>4</v>
      </c>
      <c r="I1065">
        <v>765</v>
      </c>
      <c r="J1065">
        <v>15</v>
      </c>
    </row>
    <row r="1066" spans="1:10">
      <c r="A1066" t="s">
        <v>1402</v>
      </c>
      <c r="B1066" t="s">
        <v>1399</v>
      </c>
      <c r="C1066">
        <v>42</v>
      </c>
      <c r="D1066">
        <v>10</v>
      </c>
      <c r="E1066" t="s">
        <v>1319</v>
      </c>
      <c r="F1066" t="s">
        <v>31</v>
      </c>
      <c r="G1066" t="s">
        <v>23</v>
      </c>
      <c r="H1066">
        <v>1</v>
      </c>
      <c r="I1066">
        <v>1260</v>
      </c>
      <c r="J1066">
        <v>10</v>
      </c>
    </row>
    <row r="1067" spans="1:10">
      <c r="A1067" t="s">
        <v>1403</v>
      </c>
      <c r="B1067" t="s">
        <v>1399</v>
      </c>
      <c r="C1067">
        <v>42</v>
      </c>
      <c r="D1067">
        <v>10</v>
      </c>
      <c r="E1067" t="s">
        <v>1319</v>
      </c>
      <c r="F1067" t="s">
        <v>115</v>
      </c>
      <c r="G1067" t="s">
        <v>23</v>
      </c>
      <c r="H1067">
        <v>3</v>
      </c>
      <c r="I1067">
        <v>1080</v>
      </c>
      <c r="J1067">
        <v>10</v>
      </c>
    </row>
    <row r="1068" spans="1:10">
      <c r="A1068" t="s">
        <v>1404</v>
      </c>
      <c r="B1068" t="s">
        <v>1399</v>
      </c>
      <c r="C1068">
        <v>42</v>
      </c>
      <c r="D1068">
        <v>10</v>
      </c>
      <c r="E1068" t="s">
        <v>1319</v>
      </c>
      <c r="F1068" t="s">
        <v>19</v>
      </c>
      <c r="G1068" t="s">
        <v>20</v>
      </c>
      <c r="H1068">
        <v>4</v>
      </c>
      <c r="I1068">
        <v>1620</v>
      </c>
      <c r="J1068">
        <v>0</v>
      </c>
    </row>
    <row r="1069" spans="1:10">
      <c r="A1069" t="s">
        <v>1405</v>
      </c>
      <c r="B1069" t="s">
        <v>1399</v>
      </c>
      <c r="C1069">
        <v>42</v>
      </c>
      <c r="D1069">
        <v>10</v>
      </c>
      <c r="E1069" t="s">
        <v>1319</v>
      </c>
      <c r="F1069" t="s">
        <v>64</v>
      </c>
      <c r="G1069" t="s">
        <v>14</v>
      </c>
      <c r="H1069">
        <v>4</v>
      </c>
      <c r="I1069">
        <v>2640</v>
      </c>
      <c r="J1069">
        <v>0</v>
      </c>
    </row>
    <row r="1070" spans="1:10">
      <c r="A1070" t="s">
        <v>1406</v>
      </c>
      <c r="B1070" t="s">
        <v>1399</v>
      </c>
      <c r="C1070">
        <v>42</v>
      </c>
      <c r="D1070">
        <v>10</v>
      </c>
      <c r="E1070" t="s">
        <v>1319</v>
      </c>
      <c r="F1070" t="s">
        <v>146</v>
      </c>
      <c r="G1070" t="s">
        <v>20</v>
      </c>
      <c r="H1070">
        <v>5</v>
      </c>
      <c r="I1070">
        <v>598.5</v>
      </c>
      <c r="J1070">
        <v>5</v>
      </c>
    </row>
    <row r="1071" spans="1:10">
      <c r="A1071" t="s">
        <v>1407</v>
      </c>
      <c r="B1071" t="s">
        <v>1399</v>
      </c>
      <c r="C1071">
        <v>42</v>
      </c>
      <c r="D1071">
        <v>10</v>
      </c>
      <c r="E1071" t="s">
        <v>1319</v>
      </c>
      <c r="F1071" t="s">
        <v>80</v>
      </c>
      <c r="G1071" t="s">
        <v>14</v>
      </c>
      <c r="H1071">
        <v>4</v>
      </c>
      <c r="I1071">
        <v>380</v>
      </c>
      <c r="J1071">
        <v>5</v>
      </c>
    </row>
    <row r="1072" spans="1:10">
      <c r="A1072" t="s">
        <v>1408</v>
      </c>
      <c r="B1072" t="s">
        <v>1399</v>
      </c>
      <c r="C1072">
        <v>42</v>
      </c>
      <c r="D1072">
        <v>10</v>
      </c>
      <c r="E1072" t="s">
        <v>1319</v>
      </c>
      <c r="F1072" t="s">
        <v>39</v>
      </c>
      <c r="G1072" t="s">
        <v>14</v>
      </c>
      <c r="H1072">
        <v>3</v>
      </c>
      <c r="I1072">
        <v>748</v>
      </c>
      <c r="J1072">
        <v>15</v>
      </c>
    </row>
    <row r="1073" spans="1:10">
      <c r="A1073" t="s">
        <v>1409</v>
      </c>
      <c r="B1073" t="s">
        <v>1410</v>
      </c>
      <c r="C1073">
        <v>42</v>
      </c>
      <c r="D1073">
        <v>10</v>
      </c>
      <c r="E1073" t="s">
        <v>1319</v>
      </c>
      <c r="F1073" t="s">
        <v>86</v>
      </c>
      <c r="G1073" t="s">
        <v>17</v>
      </c>
      <c r="H1073">
        <v>3</v>
      </c>
      <c r="I1073">
        <v>846</v>
      </c>
      <c r="J1073">
        <v>10</v>
      </c>
    </row>
    <row r="1074" spans="1:10">
      <c r="A1074" t="s">
        <v>1411</v>
      </c>
      <c r="B1074" t="s">
        <v>1410</v>
      </c>
      <c r="C1074">
        <v>42</v>
      </c>
      <c r="D1074">
        <v>10</v>
      </c>
      <c r="E1074" t="s">
        <v>1319</v>
      </c>
      <c r="F1074" t="s">
        <v>28</v>
      </c>
      <c r="G1074" t="s">
        <v>26</v>
      </c>
      <c r="H1074">
        <v>4</v>
      </c>
      <c r="I1074">
        <v>1500</v>
      </c>
      <c r="J1074">
        <v>0</v>
      </c>
    </row>
    <row r="1075" spans="1:10">
      <c r="A1075" t="s">
        <v>1412</v>
      </c>
      <c r="B1075" t="s">
        <v>1410</v>
      </c>
      <c r="C1075">
        <v>42</v>
      </c>
      <c r="D1075">
        <v>10</v>
      </c>
      <c r="E1075" t="s">
        <v>1319</v>
      </c>
      <c r="F1075" t="s">
        <v>66</v>
      </c>
      <c r="G1075" t="s">
        <v>17</v>
      </c>
      <c r="H1075">
        <v>3</v>
      </c>
      <c r="I1075">
        <v>1396.5</v>
      </c>
      <c r="J1075">
        <v>5</v>
      </c>
    </row>
    <row r="1076" spans="1:10">
      <c r="A1076" t="s">
        <v>1413</v>
      </c>
      <c r="B1076" t="s">
        <v>1410</v>
      </c>
      <c r="C1076">
        <v>42</v>
      </c>
      <c r="D1076">
        <v>10</v>
      </c>
      <c r="E1076" t="s">
        <v>1319</v>
      </c>
      <c r="F1076" t="s">
        <v>115</v>
      </c>
      <c r="G1076" t="s">
        <v>23</v>
      </c>
      <c r="H1076">
        <v>2</v>
      </c>
      <c r="I1076">
        <v>1140</v>
      </c>
      <c r="J1076">
        <v>5</v>
      </c>
    </row>
    <row r="1077" spans="1:10">
      <c r="A1077" t="s">
        <v>1414</v>
      </c>
      <c r="B1077" t="s">
        <v>1415</v>
      </c>
      <c r="C1077">
        <v>42</v>
      </c>
      <c r="D1077">
        <v>10</v>
      </c>
      <c r="E1077" t="s">
        <v>1319</v>
      </c>
      <c r="F1077" t="s">
        <v>364</v>
      </c>
      <c r="G1077" t="s">
        <v>221</v>
      </c>
      <c r="H1077">
        <v>1</v>
      </c>
      <c r="I1077">
        <v>960</v>
      </c>
      <c r="J1077">
        <v>0</v>
      </c>
    </row>
    <row r="1078" spans="1:10">
      <c r="A1078" t="s">
        <v>1416</v>
      </c>
      <c r="B1078" t="s">
        <v>1415</v>
      </c>
      <c r="C1078">
        <v>42</v>
      </c>
      <c r="D1078">
        <v>10</v>
      </c>
      <c r="E1078" t="s">
        <v>1319</v>
      </c>
      <c r="F1078" t="s">
        <v>66</v>
      </c>
      <c r="G1078" t="s">
        <v>17</v>
      </c>
      <c r="H1078">
        <v>2</v>
      </c>
      <c r="I1078">
        <v>1470</v>
      </c>
      <c r="J1078">
        <v>0</v>
      </c>
    </row>
    <row r="1079" spans="1:10">
      <c r="A1079" t="s">
        <v>1417</v>
      </c>
      <c r="B1079" t="s">
        <v>1415</v>
      </c>
      <c r="C1079">
        <v>42</v>
      </c>
      <c r="D1079">
        <v>10</v>
      </c>
      <c r="E1079" t="s">
        <v>1319</v>
      </c>
      <c r="F1079" t="s">
        <v>94</v>
      </c>
      <c r="G1079" t="s">
        <v>17</v>
      </c>
      <c r="H1079">
        <v>1</v>
      </c>
      <c r="I1079">
        <v>1512</v>
      </c>
      <c r="J1079">
        <v>10</v>
      </c>
    </row>
    <row r="1080" spans="1:10">
      <c r="A1080" t="s">
        <v>1418</v>
      </c>
      <c r="B1080" t="s">
        <v>1415</v>
      </c>
      <c r="C1080">
        <v>42</v>
      </c>
      <c r="D1080">
        <v>10</v>
      </c>
      <c r="E1080" t="s">
        <v>1319</v>
      </c>
      <c r="F1080" t="s">
        <v>146</v>
      </c>
      <c r="G1080" t="s">
        <v>20</v>
      </c>
      <c r="H1080">
        <v>3</v>
      </c>
      <c r="I1080">
        <v>567</v>
      </c>
      <c r="J1080">
        <v>10</v>
      </c>
    </row>
    <row r="1081" spans="1:10">
      <c r="A1081" t="s">
        <v>1419</v>
      </c>
      <c r="B1081" t="s">
        <v>1415</v>
      </c>
      <c r="C1081">
        <v>42</v>
      </c>
      <c r="D1081">
        <v>10</v>
      </c>
      <c r="E1081" t="s">
        <v>1319</v>
      </c>
      <c r="F1081" t="s">
        <v>58</v>
      </c>
      <c r="G1081" t="s">
        <v>23</v>
      </c>
      <c r="H1081">
        <v>2</v>
      </c>
      <c r="I1081">
        <v>900</v>
      </c>
      <c r="J1081">
        <v>10</v>
      </c>
    </row>
    <row r="1082" spans="1:10">
      <c r="A1082" t="s">
        <v>1420</v>
      </c>
      <c r="B1082" t="s">
        <v>1415</v>
      </c>
      <c r="C1082">
        <v>42</v>
      </c>
      <c r="D1082">
        <v>10</v>
      </c>
      <c r="E1082" t="s">
        <v>1319</v>
      </c>
      <c r="F1082" t="s">
        <v>119</v>
      </c>
      <c r="G1082" t="s">
        <v>14</v>
      </c>
      <c r="H1082">
        <v>5</v>
      </c>
      <c r="I1082">
        <v>654.5</v>
      </c>
      <c r="J1082">
        <v>15</v>
      </c>
    </row>
    <row r="1083" spans="1:10">
      <c r="A1083" t="s">
        <v>1421</v>
      </c>
      <c r="B1083" t="s">
        <v>1415</v>
      </c>
      <c r="C1083">
        <v>42</v>
      </c>
      <c r="D1083">
        <v>10</v>
      </c>
      <c r="E1083" t="s">
        <v>1319</v>
      </c>
      <c r="F1083" t="s">
        <v>187</v>
      </c>
      <c r="G1083" t="s">
        <v>14</v>
      </c>
      <c r="H1083">
        <v>1</v>
      </c>
      <c r="I1083">
        <v>4180</v>
      </c>
      <c r="J1083">
        <v>5</v>
      </c>
    </row>
    <row r="1084" spans="1:10">
      <c r="A1084" t="s">
        <v>1422</v>
      </c>
      <c r="B1084" t="s">
        <v>1415</v>
      </c>
      <c r="C1084">
        <v>42</v>
      </c>
      <c r="D1084">
        <v>10</v>
      </c>
      <c r="E1084" t="s">
        <v>1319</v>
      </c>
      <c r="F1084" t="s">
        <v>58</v>
      </c>
      <c r="G1084" t="s">
        <v>23</v>
      </c>
      <c r="H1084">
        <v>4</v>
      </c>
      <c r="I1084">
        <v>900</v>
      </c>
      <c r="J1084">
        <v>10</v>
      </c>
    </row>
    <row r="1085" spans="1:10">
      <c r="A1085" t="s">
        <v>1423</v>
      </c>
      <c r="B1085" t="s">
        <v>1424</v>
      </c>
      <c r="C1085">
        <v>42</v>
      </c>
      <c r="D1085">
        <v>10</v>
      </c>
      <c r="E1085" t="s">
        <v>1319</v>
      </c>
      <c r="F1085" t="s">
        <v>37</v>
      </c>
      <c r="G1085" t="s">
        <v>20</v>
      </c>
      <c r="H1085">
        <v>2</v>
      </c>
      <c r="I1085">
        <v>1989</v>
      </c>
      <c r="J1085">
        <v>15</v>
      </c>
    </row>
    <row r="1086" spans="1:10">
      <c r="A1086" t="s">
        <v>1425</v>
      </c>
      <c r="B1086" t="s">
        <v>1424</v>
      </c>
      <c r="C1086">
        <v>42</v>
      </c>
      <c r="D1086">
        <v>10</v>
      </c>
      <c r="E1086" t="s">
        <v>1319</v>
      </c>
      <c r="F1086" t="s">
        <v>25</v>
      </c>
      <c r="G1086" t="s">
        <v>26</v>
      </c>
      <c r="H1086">
        <v>4</v>
      </c>
      <c r="I1086">
        <v>850</v>
      </c>
      <c r="J1086">
        <v>15</v>
      </c>
    </row>
    <row r="1087" spans="1:10">
      <c r="A1087" t="s">
        <v>1426</v>
      </c>
      <c r="B1087" t="s">
        <v>1424</v>
      </c>
      <c r="C1087">
        <v>42</v>
      </c>
      <c r="D1087">
        <v>10</v>
      </c>
      <c r="E1087" t="s">
        <v>1319</v>
      </c>
      <c r="F1087" t="s">
        <v>39</v>
      </c>
      <c r="G1087" t="s">
        <v>14</v>
      </c>
      <c r="H1087">
        <v>4</v>
      </c>
      <c r="I1087">
        <v>880</v>
      </c>
      <c r="J1087">
        <v>0</v>
      </c>
    </row>
    <row r="1088" spans="1:10">
      <c r="A1088" t="s">
        <v>1427</v>
      </c>
      <c r="B1088" t="s">
        <v>1428</v>
      </c>
      <c r="C1088">
        <v>42</v>
      </c>
      <c r="D1088">
        <v>10</v>
      </c>
      <c r="E1088" t="s">
        <v>1319</v>
      </c>
      <c r="F1088" t="s">
        <v>64</v>
      </c>
      <c r="G1088" t="s">
        <v>14</v>
      </c>
      <c r="H1088">
        <v>4</v>
      </c>
      <c r="I1088">
        <v>2640</v>
      </c>
      <c r="J1088">
        <v>0</v>
      </c>
    </row>
    <row r="1089" spans="1:10">
      <c r="A1089" t="s">
        <v>1429</v>
      </c>
      <c r="B1089" t="s">
        <v>1428</v>
      </c>
      <c r="C1089">
        <v>42</v>
      </c>
      <c r="D1089">
        <v>10</v>
      </c>
      <c r="E1089" t="s">
        <v>1319</v>
      </c>
      <c r="F1089" t="s">
        <v>119</v>
      </c>
      <c r="G1089" t="s">
        <v>14</v>
      </c>
      <c r="H1089">
        <v>4</v>
      </c>
      <c r="I1089">
        <v>731.5</v>
      </c>
      <c r="J1089">
        <v>5</v>
      </c>
    </row>
    <row r="1090" spans="1:10">
      <c r="A1090" t="s">
        <v>1430</v>
      </c>
      <c r="B1090" t="s">
        <v>1428</v>
      </c>
      <c r="C1090">
        <v>42</v>
      </c>
      <c r="D1090">
        <v>10</v>
      </c>
      <c r="E1090" t="s">
        <v>1319</v>
      </c>
      <c r="F1090" t="s">
        <v>146</v>
      </c>
      <c r="G1090" t="s">
        <v>20</v>
      </c>
      <c r="H1090">
        <v>5</v>
      </c>
      <c r="I1090">
        <v>598.5</v>
      </c>
      <c r="J1090">
        <v>5</v>
      </c>
    </row>
    <row r="1091" spans="1:10">
      <c r="A1091" t="s">
        <v>1431</v>
      </c>
      <c r="B1091" t="s">
        <v>1428</v>
      </c>
      <c r="C1091">
        <v>42</v>
      </c>
      <c r="D1091">
        <v>10</v>
      </c>
      <c r="E1091" t="s">
        <v>1319</v>
      </c>
      <c r="F1091" t="s">
        <v>64</v>
      </c>
      <c r="G1091" t="s">
        <v>14</v>
      </c>
      <c r="H1091">
        <v>4</v>
      </c>
      <c r="I1091">
        <v>2508</v>
      </c>
      <c r="J1091">
        <v>5</v>
      </c>
    </row>
    <row r="1092" spans="1:10">
      <c r="A1092" t="s">
        <v>1432</v>
      </c>
      <c r="B1092" t="s">
        <v>1428</v>
      </c>
      <c r="C1092">
        <v>42</v>
      </c>
      <c r="D1092">
        <v>10</v>
      </c>
      <c r="E1092" t="s">
        <v>1319</v>
      </c>
      <c r="F1092" t="s">
        <v>187</v>
      </c>
      <c r="G1092" t="s">
        <v>14</v>
      </c>
      <c r="H1092">
        <v>4</v>
      </c>
      <c r="I1092">
        <v>3740</v>
      </c>
      <c r="J1092">
        <v>15</v>
      </c>
    </row>
    <row r="1093" spans="1:10">
      <c r="A1093" t="s">
        <v>1433</v>
      </c>
      <c r="B1093" t="s">
        <v>1434</v>
      </c>
      <c r="C1093">
        <v>42</v>
      </c>
      <c r="D1093">
        <v>10</v>
      </c>
      <c r="E1093" t="s">
        <v>1319</v>
      </c>
      <c r="F1093" t="s">
        <v>187</v>
      </c>
      <c r="G1093" t="s">
        <v>14</v>
      </c>
      <c r="H1093">
        <v>5</v>
      </c>
      <c r="I1093">
        <v>3740</v>
      </c>
      <c r="J1093">
        <v>15</v>
      </c>
    </row>
    <row r="1094" spans="1:10">
      <c r="A1094" t="s">
        <v>1435</v>
      </c>
      <c r="B1094" t="s">
        <v>1434</v>
      </c>
      <c r="C1094">
        <v>42</v>
      </c>
      <c r="D1094">
        <v>10</v>
      </c>
      <c r="E1094" t="s">
        <v>1319</v>
      </c>
      <c r="F1094" t="s">
        <v>39</v>
      </c>
      <c r="G1094" t="s">
        <v>14</v>
      </c>
      <c r="H1094">
        <v>2</v>
      </c>
      <c r="I1094">
        <v>880</v>
      </c>
      <c r="J1094">
        <v>0</v>
      </c>
    </row>
    <row r="1095" spans="1:10">
      <c r="A1095" t="s">
        <v>1436</v>
      </c>
      <c r="B1095" t="s">
        <v>1434</v>
      </c>
      <c r="C1095">
        <v>42</v>
      </c>
      <c r="D1095">
        <v>10</v>
      </c>
      <c r="E1095" t="s">
        <v>1319</v>
      </c>
      <c r="F1095" t="s">
        <v>80</v>
      </c>
      <c r="G1095" t="s">
        <v>14</v>
      </c>
      <c r="H1095">
        <v>5</v>
      </c>
      <c r="I1095">
        <v>400</v>
      </c>
      <c r="J1095">
        <v>0</v>
      </c>
    </row>
    <row r="1096" spans="1:10">
      <c r="A1096" t="s">
        <v>1437</v>
      </c>
      <c r="B1096" t="s">
        <v>1434</v>
      </c>
      <c r="C1096">
        <v>42</v>
      </c>
      <c r="D1096">
        <v>10</v>
      </c>
      <c r="E1096" t="s">
        <v>1319</v>
      </c>
      <c r="F1096" t="s">
        <v>37</v>
      </c>
      <c r="G1096" t="s">
        <v>20</v>
      </c>
      <c r="H1096">
        <v>3</v>
      </c>
      <c r="I1096">
        <v>2106</v>
      </c>
      <c r="J1096">
        <v>10</v>
      </c>
    </row>
    <row r="1097" spans="1:10">
      <c r="A1097" t="s">
        <v>1438</v>
      </c>
      <c r="B1097" t="s">
        <v>1434</v>
      </c>
      <c r="C1097">
        <v>42</v>
      </c>
      <c r="D1097">
        <v>10</v>
      </c>
      <c r="E1097" t="s">
        <v>1319</v>
      </c>
      <c r="F1097" t="s">
        <v>220</v>
      </c>
      <c r="G1097" t="s">
        <v>221</v>
      </c>
      <c r="H1097">
        <v>4</v>
      </c>
      <c r="I1097">
        <v>600</v>
      </c>
      <c r="J1097">
        <v>0</v>
      </c>
    </row>
    <row r="1098" spans="1:10">
      <c r="A1098" t="s">
        <v>1439</v>
      </c>
      <c r="B1098" t="s">
        <v>1440</v>
      </c>
      <c r="C1098">
        <v>43</v>
      </c>
      <c r="D1098">
        <v>10</v>
      </c>
      <c r="E1098" t="s">
        <v>1319</v>
      </c>
      <c r="F1098" t="s">
        <v>39</v>
      </c>
      <c r="G1098" t="s">
        <v>14</v>
      </c>
      <c r="H1098">
        <v>2</v>
      </c>
      <c r="I1098">
        <v>748</v>
      </c>
      <c r="J1098">
        <v>15</v>
      </c>
    </row>
    <row r="1099" spans="1:10">
      <c r="A1099" t="s">
        <v>1441</v>
      </c>
      <c r="B1099" t="s">
        <v>1440</v>
      </c>
      <c r="C1099">
        <v>43</v>
      </c>
      <c r="D1099">
        <v>10</v>
      </c>
      <c r="E1099" t="s">
        <v>1319</v>
      </c>
      <c r="F1099" t="s">
        <v>35</v>
      </c>
      <c r="G1099" t="s">
        <v>17</v>
      </c>
      <c r="H1099">
        <v>2</v>
      </c>
      <c r="I1099">
        <v>3150</v>
      </c>
      <c r="J1099">
        <v>0</v>
      </c>
    </row>
    <row r="1100" spans="1:10">
      <c r="A1100" t="s">
        <v>1442</v>
      </c>
      <c r="B1100" t="s">
        <v>1440</v>
      </c>
      <c r="C1100">
        <v>43</v>
      </c>
      <c r="D1100">
        <v>10</v>
      </c>
      <c r="E1100" t="s">
        <v>1319</v>
      </c>
      <c r="F1100" t="s">
        <v>22</v>
      </c>
      <c r="G1100" t="s">
        <v>23</v>
      </c>
      <c r="H1100">
        <v>4</v>
      </c>
      <c r="I1100">
        <v>500</v>
      </c>
      <c r="J1100">
        <v>0</v>
      </c>
    </row>
    <row r="1101" spans="1:10">
      <c r="A1101" t="s">
        <v>1443</v>
      </c>
      <c r="B1101" t="s">
        <v>1440</v>
      </c>
      <c r="C1101">
        <v>43</v>
      </c>
      <c r="D1101">
        <v>10</v>
      </c>
      <c r="E1101" t="s">
        <v>1319</v>
      </c>
      <c r="F1101" t="s">
        <v>35</v>
      </c>
      <c r="G1101" t="s">
        <v>17</v>
      </c>
      <c r="H1101">
        <v>1</v>
      </c>
      <c r="I1101">
        <v>3150</v>
      </c>
      <c r="J1101">
        <v>0</v>
      </c>
    </row>
    <row r="1102" spans="1:10">
      <c r="A1102" t="s">
        <v>1444</v>
      </c>
      <c r="B1102" t="s">
        <v>1440</v>
      </c>
      <c r="C1102">
        <v>43</v>
      </c>
      <c r="D1102">
        <v>10</v>
      </c>
      <c r="E1102" t="s">
        <v>1319</v>
      </c>
      <c r="F1102" t="s">
        <v>349</v>
      </c>
      <c r="G1102" t="s">
        <v>221</v>
      </c>
      <c r="H1102">
        <v>1</v>
      </c>
      <c r="I1102">
        <v>400</v>
      </c>
      <c r="J1102">
        <v>0</v>
      </c>
    </row>
    <row r="1103" spans="1:10">
      <c r="A1103" t="s">
        <v>1445</v>
      </c>
      <c r="B1103" t="s">
        <v>1446</v>
      </c>
      <c r="C1103">
        <v>43</v>
      </c>
      <c r="D1103">
        <v>10</v>
      </c>
      <c r="E1103" t="s">
        <v>1319</v>
      </c>
      <c r="F1103" t="s">
        <v>22</v>
      </c>
      <c r="G1103" t="s">
        <v>23</v>
      </c>
      <c r="H1103">
        <v>3</v>
      </c>
      <c r="I1103">
        <v>450</v>
      </c>
      <c r="J1103">
        <v>10</v>
      </c>
    </row>
    <row r="1104" spans="1:10">
      <c r="A1104" t="s">
        <v>1447</v>
      </c>
      <c r="B1104" t="s">
        <v>1446</v>
      </c>
      <c r="C1104">
        <v>43</v>
      </c>
      <c r="D1104">
        <v>10</v>
      </c>
      <c r="E1104" t="s">
        <v>1319</v>
      </c>
      <c r="F1104" t="s">
        <v>82</v>
      </c>
      <c r="G1104" t="s">
        <v>20</v>
      </c>
      <c r="H1104">
        <v>5</v>
      </c>
      <c r="I1104">
        <v>855</v>
      </c>
      <c r="J1104">
        <v>5</v>
      </c>
    </row>
    <row r="1105" spans="1:10">
      <c r="A1105" t="s">
        <v>1448</v>
      </c>
      <c r="B1105" t="s">
        <v>1446</v>
      </c>
      <c r="C1105">
        <v>43</v>
      </c>
      <c r="D1105">
        <v>10</v>
      </c>
      <c r="E1105" t="s">
        <v>1319</v>
      </c>
      <c r="F1105" t="s">
        <v>64</v>
      </c>
      <c r="G1105" t="s">
        <v>14</v>
      </c>
      <c r="H1105">
        <v>1</v>
      </c>
      <c r="I1105">
        <v>2508</v>
      </c>
      <c r="J1105">
        <v>5</v>
      </c>
    </row>
    <row r="1106" spans="1:10">
      <c r="A1106" t="s">
        <v>1449</v>
      </c>
      <c r="B1106" t="s">
        <v>1446</v>
      </c>
      <c r="C1106">
        <v>43</v>
      </c>
      <c r="D1106">
        <v>10</v>
      </c>
      <c r="E1106" t="s">
        <v>1319</v>
      </c>
      <c r="F1106" t="s">
        <v>39</v>
      </c>
      <c r="G1106" t="s">
        <v>14</v>
      </c>
      <c r="H1106">
        <v>3</v>
      </c>
      <c r="I1106">
        <v>748</v>
      </c>
      <c r="J1106">
        <v>15</v>
      </c>
    </row>
    <row r="1107" spans="1:10">
      <c r="A1107" t="s">
        <v>1450</v>
      </c>
      <c r="B1107" t="s">
        <v>1446</v>
      </c>
      <c r="C1107">
        <v>43</v>
      </c>
      <c r="D1107">
        <v>10</v>
      </c>
      <c r="E1107" t="s">
        <v>1319</v>
      </c>
      <c r="F1107" t="s">
        <v>31</v>
      </c>
      <c r="G1107" t="s">
        <v>23</v>
      </c>
      <c r="H1107">
        <v>5</v>
      </c>
      <c r="I1107">
        <v>1260</v>
      </c>
      <c r="J1107">
        <v>10</v>
      </c>
    </row>
    <row r="1108" spans="1:10">
      <c r="A1108" t="s">
        <v>1451</v>
      </c>
      <c r="B1108" t="s">
        <v>1452</v>
      </c>
      <c r="C1108">
        <v>43</v>
      </c>
      <c r="D1108">
        <v>10</v>
      </c>
      <c r="E1108" t="s">
        <v>1319</v>
      </c>
      <c r="F1108" t="s">
        <v>39</v>
      </c>
      <c r="G1108" t="s">
        <v>14</v>
      </c>
      <c r="H1108">
        <v>1</v>
      </c>
      <c r="I1108">
        <v>748</v>
      </c>
      <c r="J1108">
        <v>15</v>
      </c>
    </row>
    <row r="1109" spans="1:10">
      <c r="A1109" t="s">
        <v>1453</v>
      </c>
      <c r="B1109" t="s">
        <v>1452</v>
      </c>
      <c r="C1109">
        <v>43</v>
      </c>
      <c r="D1109">
        <v>10</v>
      </c>
      <c r="E1109" t="s">
        <v>1319</v>
      </c>
      <c r="F1109" t="s">
        <v>64</v>
      </c>
      <c r="G1109" t="s">
        <v>14</v>
      </c>
      <c r="H1109">
        <v>5</v>
      </c>
      <c r="I1109">
        <v>2640</v>
      </c>
      <c r="J1109">
        <v>0</v>
      </c>
    </row>
    <row r="1110" spans="1:10">
      <c r="A1110" t="s">
        <v>1454</v>
      </c>
      <c r="B1110" t="s">
        <v>1452</v>
      </c>
      <c r="C1110">
        <v>43</v>
      </c>
      <c r="D1110">
        <v>10</v>
      </c>
      <c r="E1110" t="s">
        <v>1319</v>
      </c>
      <c r="F1110" t="s">
        <v>19</v>
      </c>
      <c r="G1110" t="s">
        <v>20</v>
      </c>
      <c r="H1110">
        <v>1</v>
      </c>
      <c r="I1110">
        <v>1377</v>
      </c>
      <c r="J1110">
        <v>15</v>
      </c>
    </row>
    <row r="1111" spans="1:10">
      <c r="A1111" t="s">
        <v>1455</v>
      </c>
      <c r="B1111" t="s">
        <v>1452</v>
      </c>
      <c r="C1111">
        <v>43</v>
      </c>
      <c r="D1111">
        <v>10</v>
      </c>
      <c r="E1111" t="s">
        <v>1319</v>
      </c>
      <c r="F1111" t="s">
        <v>31</v>
      </c>
      <c r="G1111" t="s">
        <v>23</v>
      </c>
      <c r="H1111">
        <v>3</v>
      </c>
      <c r="I1111">
        <v>1260</v>
      </c>
      <c r="J1111">
        <v>10</v>
      </c>
    </row>
    <row r="1112" spans="1:10">
      <c r="A1112" t="s">
        <v>1456</v>
      </c>
      <c r="B1112" t="s">
        <v>1457</v>
      </c>
      <c r="C1112">
        <v>43</v>
      </c>
      <c r="D1112">
        <v>10</v>
      </c>
      <c r="E1112" t="s">
        <v>1319</v>
      </c>
      <c r="F1112" t="s">
        <v>349</v>
      </c>
      <c r="G1112" t="s">
        <v>221</v>
      </c>
      <c r="H1112">
        <v>5</v>
      </c>
      <c r="I1112">
        <v>380</v>
      </c>
      <c r="J1112">
        <v>5</v>
      </c>
    </row>
    <row r="1113" spans="1:10">
      <c r="A1113" t="s">
        <v>1458</v>
      </c>
      <c r="B1113" t="s">
        <v>1457</v>
      </c>
      <c r="C1113">
        <v>43</v>
      </c>
      <c r="D1113">
        <v>10</v>
      </c>
      <c r="E1113" t="s">
        <v>1319</v>
      </c>
      <c r="F1113" t="s">
        <v>146</v>
      </c>
      <c r="G1113" t="s">
        <v>20</v>
      </c>
      <c r="H1113">
        <v>5</v>
      </c>
      <c r="I1113">
        <v>630</v>
      </c>
      <c r="J1113">
        <v>0</v>
      </c>
    </row>
    <row r="1114" spans="1:10">
      <c r="A1114" t="s">
        <v>1459</v>
      </c>
      <c r="B1114" t="s">
        <v>1457</v>
      </c>
      <c r="C1114">
        <v>43</v>
      </c>
      <c r="D1114">
        <v>10</v>
      </c>
      <c r="E1114" t="s">
        <v>1319</v>
      </c>
      <c r="F1114" t="s">
        <v>119</v>
      </c>
      <c r="G1114" t="s">
        <v>14</v>
      </c>
      <c r="H1114">
        <v>4</v>
      </c>
      <c r="I1114">
        <v>770</v>
      </c>
      <c r="J1114">
        <v>0</v>
      </c>
    </row>
    <row r="1115" spans="1:10">
      <c r="A1115" t="s">
        <v>1460</v>
      </c>
      <c r="B1115" t="s">
        <v>1457</v>
      </c>
      <c r="C1115">
        <v>43</v>
      </c>
      <c r="D1115">
        <v>10</v>
      </c>
      <c r="E1115" t="s">
        <v>1319</v>
      </c>
      <c r="F1115" t="s">
        <v>31</v>
      </c>
      <c r="G1115" t="s">
        <v>23</v>
      </c>
      <c r="H1115">
        <v>1</v>
      </c>
      <c r="I1115">
        <v>1190</v>
      </c>
      <c r="J1115">
        <v>15</v>
      </c>
    </row>
    <row r="1116" spans="1:10">
      <c r="A1116" t="s">
        <v>1461</v>
      </c>
      <c r="B1116" t="s">
        <v>1462</v>
      </c>
      <c r="C1116">
        <v>43</v>
      </c>
      <c r="D1116">
        <v>10</v>
      </c>
      <c r="E1116" t="s">
        <v>1319</v>
      </c>
      <c r="F1116" t="s">
        <v>58</v>
      </c>
      <c r="G1116" t="s">
        <v>23</v>
      </c>
      <c r="H1116">
        <v>4</v>
      </c>
      <c r="I1116">
        <v>1000</v>
      </c>
      <c r="J1116">
        <v>0</v>
      </c>
    </row>
    <row r="1117" spans="1:10">
      <c r="A1117" t="s">
        <v>1463</v>
      </c>
      <c r="B1117" t="s">
        <v>1462</v>
      </c>
      <c r="C1117">
        <v>43</v>
      </c>
      <c r="D1117">
        <v>10</v>
      </c>
      <c r="E1117" t="s">
        <v>1319</v>
      </c>
      <c r="F1117" t="s">
        <v>45</v>
      </c>
      <c r="G1117" t="s">
        <v>26</v>
      </c>
      <c r="H1117">
        <v>5</v>
      </c>
      <c r="I1117">
        <v>4050</v>
      </c>
      <c r="J1117">
        <v>10</v>
      </c>
    </row>
    <row r="1118" spans="1:10">
      <c r="A1118" t="s">
        <v>1464</v>
      </c>
      <c r="B1118" t="s">
        <v>1462</v>
      </c>
      <c r="C1118">
        <v>43</v>
      </c>
      <c r="D1118">
        <v>10</v>
      </c>
      <c r="E1118" t="s">
        <v>1319</v>
      </c>
      <c r="F1118" t="s">
        <v>64</v>
      </c>
      <c r="G1118" t="s">
        <v>14</v>
      </c>
      <c r="H1118">
        <v>3</v>
      </c>
      <c r="I1118">
        <v>2244</v>
      </c>
      <c r="J1118">
        <v>15</v>
      </c>
    </row>
    <row r="1119" spans="1:10">
      <c r="A1119" t="s">
        <v>1465</v>
      </c>
      <c r="B1119" t="s">
        <v>1462</v>
      </c>
      <c r="C1119">
        <v>43</v>
      </c>
      <c r="D1119">
        <v>10</v>
      </c>
      <c r="E1119" t="s">
        <v>1319</v>
      </c>
      <c r="F1119" t="s">
        <v>187</v>
      </c>
      <c r="G1119" t="s">
        <v>14</v>
      </c>
      <c r="H1119">
        <v>4</v>
      </c>
      <c r="I1119">
        <v>4400</v>
      </c>
      <c r="J1119">
        <v>0</v>
      </c>
    </row>
    <row r="1120" spans="1:10">
      <c r="A1120" t="s">
        <v>1466</v>
      </c>
      <c r="B1120" t="s">
        <v>1462</v>
      </c>
      <c r="C1120">
        <v>43</v>
      </c>
      <c r="D1120">
        <v>10</v>
      </c>
      <c r="E1120" t="s">
        <v>1319</v>
      </c>
      <c r="F1120" t="s">
        <v>45</v>
      </c>
      <c r="G1120" t="s">
        <v>26</v>
      </c>
      <c r="H1120">
        <v>2</v>
      </c>
      <c r="I1120">
        <v>4500</v>
      </c>
      <c r="J1120">
        <v>0</v>
      </c>
    </row>
    <row r="1121" spans="1:10">
      <c r="A1121" t="s">
        <v>1467</v>
      </c>
      <c r="B1121" t="s">
        <v>1462</v>
      </c>
      <c r="C1121">
        <v>43</v>
      </c>
      <c r="D1121">
        <v>10</v>
      </c>
      <c r="E1121" t="s">
        <v>1319</v>
      </c>
      <c r="F1121" t="s">
        <v>369</v>
      </c>
      <c r="G1121" t="s">
        <v>221</v>
      </c>
      <c r="H1121">
        <v>4</v>
      </c>
      <c r="I1121">
        <v>630</v>
      </c>
      <c r="J1121">
        <v>10</v>
      </c>
    </row>
    <row r="1122" spans="1:10">
      <c r="A1122" t="s">
        <v>1468</v>
      </c>
      <c r="B1122" t="s">
        <v>1462</v>
      </c>
      <c r="C1122">
        <v>43</v>
      </c>
      <c r="D1122">
        <v>10</v>
      </c>
      <c r="E1122" t="s">
        <v>1319</v>
      </c>
      <c r="F1122" t="s">
        <v>66</v>
      </c>
      <c r="G1122" t="s">
        <v>17</v>
      </c>
      <c r="H1122">
        <v>1</v>
      </c>
      <c r="I1122">
        <v>1396.5</v>
      </c>
      <c r="J1122">
        <v>5</v>
      </c>
    </row>
    <row r="1123" spans="1:10">
      <c r="A1123" t="s">
        <v>1469</v>
      </c>
      <c r="B1123" t="s">
        <v>1462</v>
      </c>
      <c r="C1123">
        <v>43</v>
      </c>
      <c r="D1123">
        <v>10</v>
      </c>
      <c r="E1123" t="s">
        <v>1319</v>
      </c>
      <c r="F1123" t="s">
        <v>13</v>
      </c>
      <c r="G1123" t="s">
        <v>14</v>
      </c>
      <c r="H1123">
        <v>4</v>
      </c>
      <c r="I1123">
        <v>480</v>
      </c>
      <c r="J1123">
        <v>0</v>
      </c>
    </row>
    <row r="1124" spans="1:10">
      <c r="A1124" t="s">
        <v>1470</v>
      </c>
      <c r="B1124" t="s">
        <v>1462</v>
      </c>
      <c r="C1124">
        <v>43</v>
      </c>
      <c r="D1124">
        <v>10</v>
      </c>
      <c r="E1124" t="s">
        <v>1319</v>
      </c>
      <c r="F1124" t="s">
        <v>22</v>
      </c>
      <c r="G1124" t="s">
        <v>23</v>
      </c>
      <c r="H1124">
        <v>2</v>
      </c>
      <c r="I1124">
        <v>450</v>
      </c>
      <c r="J1124">
        <v>10</v>
      </c>
    </row>
    <row r="1125" spans="1:10">
      <c r="A1125" t="s">
        <v>1471</v>
      </c>
      <c r="B1125" t="s">
        <v>1472</v>
      </c>
      <c r="C1125">
        <v>43</v>
      </c>
      <c r="D1125">
        <v>10</v>
      </c>
      <c r="E1125" t="s">
        <v>1319</v>
      </c>
      <c r="F1125" t="s">
        <v>146</v>
      </c>
      <c r="G1125" t="s">
        <v>20</v>
      </c>
      <c r="H1125">
        <v>3</v>
      </c>
      <c r="I1125">
        <v>630</v>
      </c>
      <c r="J1125">
        <v>0</v>
      </c>
    </row>
    <row r="1126" spans="1:10">
      <c r="A1126" t="s">
        <v>1473</v>
      </c>
      <c r="B1126" t="s">
        <v>1472</v>
      </c>
      <c r="C1126">
        <v>43</v>
      </c>
      <c r="D1126">
        <v>10</v>
      </c>
      <c r="E1126" t="s">
        <v>1319</v>
      </c>
      <c r="F1126" t="s">
        <v>66</v>
      </c>
      <c r="G1126" t="s">
        <v>17</v>
      </c>
      <c r="H1126">
        <v>3</v>
      </c>
      <c r="I1126">
        <v>1470</v>
      </c>
      <c r="J1126">
        <v>0</v>
      </c>
    </row>
    <row r="1127" spans="1:10">
      <c r="A1127" t="s">
        <v>1474</v>
      </c>
      <c r="B1127" t="s">
        <v>1472</v>
      </c>
      <c r="C1127">
        <v>43</v>
      </c>
      <c r="D1127">
        <v>10</v>
      </c>
      <c r="E1127" t="s">
        <v>1319</v>
      </c>
      <c r="F1127" t="s">
        <v>66</v>
      </c>
      <c r="G1127" t="s">
        <v>17</v>
      </c>
      <c r="H1127">
        <v>3</v>
      </c>
      <c r="I1127">
        <v>1470</v>
      </c>
      <c r="J1127">
        <v>0</v>
      </c>
    </row>
    <row r="1128" spans="1:10">
      <c r="A1128" t="s">
        <v>1475</v>
      </c>
      <c r="B1128" t="s">
        <v>1472</v>
      </c>
      <c r="C1128">
        <v>43</v>
      </c>
      <c r="D1128">
        <v>10</v>
      </c>
      <c r="E1128" t="s">
        <v>1319</v>
      </c>
      <c r="F1128" t="s">
        <v>64</v>
      </c>
      <c r="G1128" t="s">
        <v>14</v>
      </c>
      <c r="H1128">
        <v>1</v>
      </c>
      <c r="I1128">
        <v>2376</v>
      </c>
      <c r="J1128">
        <v>10</v>
      </c>
    </row>
    <row r="1129" spans="1:10">
      <c r="A1129" t="s">
        <v>1476</v>
      </c>
      <c r="B1129" t="s">
        <v>1472</v>
      </c>
      <c r="C1129">
        <v>43</v>
      </c>
      <c r="D1129">
        <v>10</v>
      </c>
      <c r="E1129" t="s">
        <v>1319</v>
      </c>
      <c r="F1129" t="s">
        <v>39</v>
      </c>
      <c r="G1129" t="s">
        <v>14</v>
      </c>
      <c r="H1129">
        <v>1</v>
      </c>
      <c r="I1129">
        <v>880</v>
      </c>
      <c r="J1129">
        <v>0</v>
      </c>
    </row>
    <row r="1130" spans="1:10">
      <c r="A1130" t="s">
        <v>1477</v>
      </c>
      <c r="B1130" t="s">
        <v>1472</v>
      </c>
      <c r="C1130">
        <v>43</v>
      </c>
      <c r="D1130">
        <v>10</v>
      </c>
      <c r="E1130" t="s">
        <v>1319</v>
      </c>
      <c r="F1130" t="s">
        <v>25</v>
      </c>
      <c r="G1130" t="s">
        <v>26</v>
      </c>
      <c r="H1130">
        <v>3</v>
      </c>
      <c r="I1130">
        <v>1000</v>
      </c>
      <c r="J1130">
        <v>0</v>
      </c>
    </row>
    <row r="1131" spans="1:10">
      <c r="A1131" t="s">
        <v>1478</v>
      </c>
      <c r="B1131" t="s">
        <v>1472</v>
      </c>
      <c r="C1131">
        <v>43</v>
      </c>
      <c r="D1131">
        <v>10</v>
      </c>
      <c r="E1131" t="s">
        <v>1319</v>
      </c>
      <c r="F1131" t="s">
        <v>51</v>
      </c>
      <c r="G1131" t="s">
        <v>26</v>
      </c>
      <c r="H1131">
        <v>3</v>
      </c>
      <c r="I1131">
        <v>475</v>
      </c>
      <c r="J1131">
        <v>5</v>
      </c>
    </row>
    <row r="1132" spans="1:10">
      <c r="A1132" t="s">
        <v>1479</v>
      </c>
      <c r="B1132" t="s">
        <v>1480</v>
      </c>
      <c r="C1132">
        <v>43</v>
      </c>
      <c r="D1132">
        <v>10</v>
      </c>
      <c r="E1132" t="s">
        <v>1319</v>
      </c>
      <c r="F1132" t="s">
        <v>82</v>
      </c>
      <c r="G1132" t="s">
        <v>20</v>
      </c>
      <c r="H1132">
        <v>5</v>
      </c>
      <c r="I1132">
        <v>900</v>
      </c>
      <c r="J1132">
        <v>0</v>
      </c>
    </row>
    <row r="1133" spans="1:10">
      <c r="A1133" t="s">
        <v>1481</v>
      </c>
      <c r="B1133" t="s">
        <v>1480</v>
      </c>
      <c r="C1133">
        <v>43</v>
      </c>
      <c r="D1133">
        <v>10</v>
      </c>
      <c r="E1133" t="s">
        <v>1319</v>
      </c>
      <c r="F1133" t="s">
        <v>35</v>
      </c>
      <c r="G1133" t="s">
        <v>17</v>
      </c>
      <c r="H1133">
        <v>1</v>
      </c>
      <c r="I1133">
        <v>2992.5</v>
      </c>
      <c r="J1133">
        <v>5</v>
      </c>
    </row>
    <row r="1134" spans="1:10">
      <c r="A1134" t="s">
        <v>1482</v>
      </c>
      <c r="B1134" t="s">
        <v>1480</v>
      </c>
      <c r="C1134">
        <v>43</v>
      </c>
      <c r="D1134">
        <v>10</v>
      </c>
      <c r="E1134" t="s">
        <v>1319</v>
      </c>
      <c r="F1134" t="s">
        <v>22</v>
      </c>
      <c r="G1134" t="s">
        <v>23</v>
      </c>
      <c r="H1134">
        <v>2</v>
      </c>
      <c r="I1134">
        <v>500</v>
      </c>
      <c r="J1134">
        <v>0</v>
      </c>
    </row>
    <row r="1135" spans="1:10">
      <c r="A1135" t="s">
        <v>1483</v>
      </c>
      <c r="B1135" t="s">
        <v>1480</v>
      </c>
      <c r="C1135">
        <v>43</v>
      </c>
      <c r="D1135">
        <v>10</v>
      </c>
      <c r="E1135" t="s">
        <v>1319</v>
      </c>
      <c r="F1135" t="s">
        <v>97</v>
      </c>
      <c r="G1135" t="s">
        <v>20</v>
      </c>
      <c r="H1135">
        <v>3</v>
      </c>
      <c r="I1135">
        <v>1683</v>
      </c>
      <c r="J1135">
        <v>15</v>
      </c>
    </row>
    <row r="1136" spans="1:10">
      <c r="A1136" t="s">
        <v>1484</v>
      </c>
      <c r="B1136" t="s">
        <v>1480</v>
      </c>
      <c r="C1136">
        <v>43</v>
      </c>
      <c r="D1136">
        <v>10</v>
      </c>
      <c r="E1136" t="s">
        <v>1319</v>
      </c>
      <c r="F1136" t="s">
        <v>42</v>
      </c>
      <c r="G1136" t="s">
        <v>23</v>
      </c>
      <c r="H1136">
        <v>5</v>
      </c>
      <c r="I1136">
        <v>600</v>
      </c>
      <c r="J1136">
        <v>0</v>
      </c>
    </row>
    <row r="1137" spans="1:10">
      <c r="A1137" t="s">
        <v>1485</v>
      </c>
      <c r="B1137" t="s">
        <v>1480</v>
      </c>
      <c r="C1137">
        <v>43</v>
      </c>
      <c r="D1137">
        <v>10</v>
      </c>
      <c r="E1137" t="s">
        <v>1319</v>
      </c>
      <c r="F1137" t="s">
        <v>94</v>
      </c>
      <c r="G1137" t="s">
        <v>17</v>
      </c>
      <c r="H1137">
        <v>2</v>
      </c>
      <c r="I1137">
        <v>1428</v>
      </c>
      <c r="J1137">
        <v>15</v>
      </c>
    </row>
    <row r="1138" spans="1:10">
      <c r="A1138" t="s">
        <v>1486</v>
      </c>
      <c r="B1138" t="s">
        <v>1480</v>
      </c>
      <c r="C1138">
        <v>43</v>
      </c>
      <c r="D1138">
        <v>10</v>
      </c>
      <c r="E1138" t="s">
        <v>1319</v>
      </c>
      <c r="F1138" t="s">
        <v>42</v>
      </c>
      <c r="G1138" t="s">
        <v>23</v>
      </c>
      <c r="H1138">
        <v>3</v>
      </c>
      <c r="I1138">
        <v>510</v>
      </c>
      <c r="J1138">
        <v>15</v>
      </c>
    </row>
    <row r="1139" spans="1:10">
      <c r="A1139" t="s">
        <v>1487</v>
      </c>
      <c r="B1139" t="s">
        <v>1488</v>
      </c>
      <c r="C1139">
        <v>44</v>
      </c>
      <c r="D1139">
        <v>10</v>
      </c>
      <c r="E1139" t="s">
        <v>1319</v>
      </c>
      <c r="F1139" t="s">
        <v>66</v>
      </c>
      <c r="G1139" t="s">
        <v>17</v>
      </c>
      <c r="H1139">
        <v>3</v>
      </c>
      <c r="I1139">
        <v>1249.5</v>
      </c>
      <c r="J1139">
        <v>15</v>
      </c>
    </row>
    <row r="1140" spans="1:10">
      <c r="A1140" t="s">
        <v>1489</v>
      </c>
      <c r="B1140" t="s">
        <v>1488</v>
      </c>
      <c r="C1140">
        <v>44</v>
      </c>
      <c r="D1140">
        <v>10</v>
      </c>
      <c r="E1140" t="s">
        <v>1319</v>
      </c>
      <c r="F1140" t="s">
        <v>115</v>
      </c>
      <c r="G1140" t="s">
        <v>23</v>
      </c>
      <c r="H1140">
        <v>5</v>
      </c>
      <c r="I1140">
        <v>1020</v>
      </c>
      <c r="J1140">
        <v>15</v>
      </c>
    </row>
    <row r="1141" spans="1:10">
      <c r="A1141" t="s">
        <v>1490</v>
      </c>
      <c r="B1141" t="s">
        <v>1488</v>
      </c>
      <c r="C1141">
        <v>44</v>
      </c>
      <c r="D1141">
        <v>10</v>
      </c>
      <c r="E1141" t="s">
        <v>1319</v>
      </c>
      <c r="F1141" t="s">
        <v>39</v>
      </c>
      <c r="G1141" t="s">
        <v>14</v>
      </c>
      <c r="H1141">
        <v>1</v>
      </c>
      <c r="I1141">
        <v>880</v>
      </c>
      <c r="J1141">
        <v>0</v>
      </c>
    </row>
    <row r="1142" spans="1:10">
      <c r="A1142" t="s">
        <v>1491</v>
      </c>
      <c r="B1142" t="s">
        <v>1488</v>
      </c>
      <c r="C1142">
        <v>44</v>
      </c>
      <c r="D1142">
        <v>10</v>
      </c>
      <c r="E1142" t="s">
        <v>1319</v>
      </c>
      <c r="F1142" t="s">
        <v>97</v>
      </c>
      <c r="G1142" t="s">
        <v>20</v>
      </c>
      <c r="H1142">
        <v>5</v>
      </c>
      <c r="I1142">
        <v>1980</v>
      </c>
      <c r="J1142">
        <v>0</v>
      </c>
    </row>
    <row r="1143" spans="1:10">
      <c r="A1143" t="s">
        <v>1492</v>
      </c>
      <c r="B1143" t="s">
        <v>1488</v>
      </c>
      <c r="C1143">
        <v>44</v>
      </c>
      <c r="D1143">
        <v>10</v>
      </c>
      <c r="E1143" t="s">
        <v>1319</v>
      </c>
      <c r="F1143" t="s">
        <v>31</v>
      </c>
      <c r="G1143" t="s">
        <v>23</v>
      </c>
      <c r="H1143">
        <v>2</v>
      </c>
      <c r="I1143">
        <v>1400</v>
      </c>
      <c r="J1143">
        <v>0</v>
      </c>
    </row>
    <row r="1144" spans="1:10">
      <c r="A1144" t="s">
        <v>1493</v>
      </c>
      <c r="B1144" t="s">
        <v>1488</v>
      </c>
      <c r="C1144">
        <v>44</v>
      </c>
      <c r="D1144">
        <v>10</v>
      </c>
      <c r="E1144" t="s">
        <v>1319</v>
      </c>
      <c r="F1144" t="s">
        <v>35</v>
      </c>
      <c r="G1144" t="s">
        <v>17</v>
      </c>
      <c r="H1144">
        <v>1</v>
      </c>
      <c r="I1144">
        <v>3150</v>
      </c>
      <c r="J1144">
        <v>0</v>
      </c>
    </row>
    <row r="1145" spans="1:10">
      <c r="A1145" t="s">
        <v>1494</v>
      </c>
      <c r="B1145" t="s">
        <v>1488</v>
      </c>
      <c r="C1145">
        <v>44</v>
      </c>
      <c r="D1145">
        <v>10</v>
      </c>
      <c r="E1145" t="s">
        <v>1319</v>
      </c>
      <c r="F1145" t="s">
        <v>39</v>
      </c>
      <c r="G1145" t="s">
        <v>14</v>
      </c>
      <c r="H1145">
        <v>4</v>
      </c>
      <c r="I1145">
        <v>880</v>
      </c>
      <c r="J1145">
        <v>0</v>
      </c>
    </row>
    <row r="1146" spans="1:10">
      <c r="A1146" t="s">
        <v>1495</v>
      </c>
      <c r="B1146" t="s">
        <v>1488</v>
      </c>
      <c r="C1146">
        <v>44</v>
      </c>
      <c r="D1146">
        <v>10</v>
      </c>
      <c r="E1146" t="s">
        <v>1319</v>
      </c>
      <c r="F1146" t="s">
        <v>28</v>
      </c>
      <c r="G1146" t="s">
        <v>26</v>
      </c>
      <c r="H1146">
        <v>1</v>
      </c>
      <c r="I1146">
        <v>1500</v>
      </c>
      <c r="J1146">
        <v>0</v>
      </c>
    </row>
    <row r="1147" spans="1:10">
      <c r="A1147" t="s">
        <v>1496</v>
      </c>
      <c r="B1147" t="s">
        <v>1497</v>
      </c>
      <c r="C1147">
        <v>44</v>
      </c>
      <c r="D1147">
        <v>10</v>
      </c>
      <c r="E1147" t="s">
        <v>1319</v>
      </c>
      <c r="F1147" t="s">
        <v>58</v>
      </c>
      <c r="G1147" t="s">
        <v>23</v>
      </c>
      <c r="H1147">
        <v>2</v>
      </c>
      <c r="I1147">
        <v>900</v>
      </c>
      <c r="J1147">
        <v>10</v>
      </c>
    </row>
    <row r="1148" spans="1:10">
      <c r="A1148" t="s">
        <v>1498</v>
      </c>
      <c r="B1148" t="s">
        <v>1497</v>
      </c>
      <c r="C1148">
        <v>44</v>
      </c>
      <c r="D1148">
        <v>10</v>
      </c>
      <c r="E1148" t="s">
        <v>1319</v>
      </c>
      <c r="F1148" t="s">
        <v>35</v>
      </c>
      <c r="G1148" t="s">
        <v>17</v>
      </c>
      <c r="H1148">
        <v>4</v>
      </c>
      <c r="I1148">
        <v>3150</v>
      </c>
      <c r="J1148">
        <v>0</v>
      </c>
    </row>
    <row r="1149" spans="1:10">
      <c r="A1149" t="s">
        <v>1499</v>
      </c>
      <c r="B1149" t="s">
        <v>1497</v>
      </c>
      <c r="C1149">
        <v>44</v>
      </c>
      <c r="D1149">
        <v>10</v>
      </c>
      <c r="E1149" t="s">
        <v>1319</v>
      </c>
      <c r="F1149" t="s">
        <v>28</v>
      </c>
      <c r="G1149" t="s">
        <v>26</v>
      </c>
      <c r="H1149">
        <v>4</v>
      </c>
      <c r="I1149">
        <v>1350</v>
      </c>
      <c r="J1149">
        <v>10</v>
      </c>
    </row>
    <row r="1150" spans="1:10">
      <c r="A1150" t="s">
        <v>1500</v>
      </c>
      <c r="B1150" t="s">
        <v>1497</v>
      </c>
      <c r="C1150">
        <v>44</v>
      </c>
      <c r="D1150">
        <v>10</v>
      </c>
      <c r="E1150" t="s">
        <v>1319</v>
      </c>
      <c r="F1150" t="s">
        <v>64</v>
      </c>
      <c r="G1150" t="s">
        <v>14</v>
      </c>
      <c r="H1150">
        <v>4</v>
      </c>
      <c r="I1150">
        <v>2640</v>
      </c>
      <c r="J1150">
        <v>0</v>
      </c>
    </row>
    <row r="1151" spans="1:10">
      <c r="A1151" t="s">
        <v>1501</v>
      </c>
      <c r="B1151" t="s">
        <v>1502</v>
      </c>
      <c r="C1151">
        <v>44</v>
      </c>
      <c r="D1151">
        <v>10</v>
      </c>
      <c r="E1151" t="s">
        <v>1319</v>
      </c>
      <c r="F1151" t="s">
        <v>68</v>
      </c>
      <c r="G1151" t="s">
        <v>26</v>
      </c>
      <c r="H1151">
        <v>4</v>
      </c>
      <c r="I1151">
        <v>380</v>
      </c>
      <c r="J1151">
        <v>0</v>
      </c>
    </row>
    <row r="1152" spans="1:10">
      <c r="A1152" t="s">
        <v>1503</v>
      </c>
      <c r="B1152" t="s">
        <v>1502</v>
      </c>
      <c r="C1152">
        <v>44</v>
      </c>
      <c r="D1152">
        <v>10</v>
      </c>
      <c r="E1152" t="s">
        <v>1319</v>
      </c>
      <c r="F1152" t="s">
        <v>39</v>
      </c>
      <c r="G1152" t="s">
        <v>14</v>
      </c>
      <c r="H1152">
        <v>2</v>
      </c>
      <c r="I1152">
        <v>880</v>
      </c>
      <c r="J1152">
        <v>0</v>
      </c>
    </row>
    <row r="1153" spans="1:10">
      <c r="A1153" t="s">
        <v>1504</v>
      </c>
      <c r="B1153" t="s">
        <v>1502</v>
      </c>
      <c r="C1153">
        <v>44</v>
      </c>
      <c r="D1153">
        <v>10</v>
      </c>
      <c r="E1153" t="s">
        <v>1319</v>
      </c>
      <c r="F1153" t="s">
        <v>58</v>
      </c>
      <c r="G1153" t="s">
        <v>23</v>
      </c>
      <c r="H1153">
        <v>4</v>
      </c>
      <c r="I1153">
        <v>900</v>
      </c>
      <c r="J1153">
        <v>10</v>
      </c>
    </row>
    <row r="1154" spans="1:10">
      <c r="A1154" t="s">
        <v>1505</v>
      </c>
      <c r="B1154" t="s">
        <v>1502</v>
      </c>
      <c r="C1154">
        <v>44</v>
      </c>
      <c r="D1154">
        <v>10</v>
      </c>
      <c r="E1154" t="s">
        <v>1319</v>
      </c>
      <c r="F1154" t="s">
        <v>22</v>
      </c>
      <c r="G1154" t="s">
        <v>23</v>
      </c>
      <c r="H1154">
        <v>3</v>
      </c>
      <c r="I1154">
        <v>500</v>
      </c>
      <c r="J1154">
        <v>0</v>
      </c>
    </row>
    <row r="1155" spans="1:10">
      <c r="A1155" t="s">
        <v>1506</v>
      </c>
      <c r="B1155" t="s">
        <v>1507</v>
      </c>
      <c r="C1155">
        <v>44</v>
      </c>
      <c r="D1155">
        <v>10</v>
      </c>
      <c r="E1155" t="s">
        <v>1319</v>
      </c>
      <c r="F1155" t="s">
        <v>187</v>
      </c>
      <c r="G1155" t="s">
        <v>14</v>
      </c>
      <c r="H1155">
        <v>1</v>
      </c>
      <c r="I1155">
        <v>4180</v>
      </c>
      <c r="J1155">
        <v>5</v>
      </c>
    </row>
    <row r="1156" spans="1:10">
      <c r="A1156" t="s">
        <v>1508</v>
      </c>
      <c r="B1156" t="s">
        <v>1507</v>
      </c>
      <c r="C1156">
        <v>44</v>
      </c>
      <c r="D1156">
        <v>10</v>
      </c>
      <c r="E1156" t="s">
        <v>1319</v>
      </c>
      <c r="F1156" t="s">
        <v>64</v>
      </c>
      <c r="G1156" t="s">
        <v>14</v>
      </c>
      <c r="H1156">
        <v>2</v>
      </c>
      <c r="I1156">
        <v>2244</v>
      </c>
      <c r="J1156">
        <v>15</v>
      </c>
    </row>
    <row r="1157" spans="1:10">
      <c r="A1157" t="s">
        <v>1509</v>
      </c>
      <c r="B1157" t="s">
        <v>1507</v>
      </c>
      <c r="C1157">
        <v>44</v>
      </c>
      <c r="D1157">
        <v>10</v>
      </c>
      <c r="E1157" t="s">
        <v>1319</v>
      </c>
      <c r="F1157" t="s">
        <v>119</v>
      </c>
      <c r="G1157" t="s">
        <v>14</v>
      </c>
      <c r="H1157">
        <v>1</v>
      </c>
      <c r="I1157">
        <v>770</v>
      </c>
      <c r="J1157">
        <v>0</v>
      </c>
    </row>
    <row r="1158" spans="1:10">
      <c r="A1158" t="s">
        <v>1510</v>
      </c>
      <c r="B1158" t="s">
        <v>1507</v>
      </c>
      <c r="C1158">
        <v>44</v>
      </c>
      <c r="D1158">
        <v>10</v>
      </c>
      <c r="E1158" t="s">
        <v>1319</v>
      </c>
      <c r="F1158" t="s">
        <v>58</v>
      </c>
      <c r="G1158" t="s">
        <v>23</v>
      </c>
      <c r="H1158">
        <v>1</v>
      </c>
      <c r="I1158">
        <v>850</v>
      </c>
      <c r="J1158">
        <v>15</v>
      </c>
    </row>
    <row r="1159" spans="1:10">
      <c r="A1159" t="s">
        <v>1511</v>
      </c>
      <c r="B1159" t="s">
        <v>1507</v>
      </c>
      <c r="C1159">
        <v>44</v>
      </c>
      <c r="D1159">
        <v>10</v>
      </c>
      <c r="E1159" t="s">
        <v>1319</v>
      </c>
      <c r="F1159" t="s">
        <v>16</v>
      </c>
      <c r="G1159" t="s">
        <v>17</v>
      </c>
      <c r="H1159">
        <v>1</v>
      </c>
      <c r="I1159">
        <v>468</v>
      </c>
      <c r="J1159">
        <v>10</v>
      </c>
    </row>
    <row r="1160" spans="1:10">
      <c r="A1160" t="s">
        <v>1512</v>
      </c>
      <c r="B1160" t="s">
        <v>1507</v>
      </c>
      <c r="C1160">
        <v>44</v>
      </c>
      <c r="D1160">
        <v>10</v>
      </c>
      <c r="E1160" t="s">
        <v>1319</v>
      </c>
      <c r="F1160" t="s">
        <v>369</v>
      </c>
      <c r="G1160" t="s">
        <v>221</v>
      </c>
      <c r="H1160">
        <v>3</v>
      </c>
      <c r="I1160">
        <v>700</v>
      </c>
      <c r="J1160">
        <v>0</v>
      </c>
    </row>
    <row r="1161" spans="1:10">
      <c r="A1161" t="s">
        <v>1513</v>
      </c>
      <c r="B1161" t="s">
        <v>1507</v>
      </c>
      <c r="C1161">
        <v>44</v>
      </c>
      <c r="D1161">
        <v>10</v>
      </c>
      <c r="E1161" t="s">
        <v>1319</v>
      </c>
      <c r="F1161" t="s">
        <v>68</v>
      </c>
      <c r="G1161" t="s">
        <v>26</v>
      </c>
      <c r="H1161">
        <v>3</v>
      </c>
      <c r="I1161">
        <v>342</v>
      </c>
      <c r="J1161">
        <v>10</v>
      </c>
    </row>
    <row r="1162" spans="1:10">
      <c r="A1162" t="s">
        <v>1514</v>
      </c>
      <c r="B1162" t="s">
        <v>1515</v>
      </c>
      <c r="C1162">
        <v>44</v>
      </c>
      <c r="D1162">
        <v>11</v>
      </c>
      <c r="E1162" t="s">
        <v>1516</v>
      </c>
      <c r="F1162" t="s">
        <v>25</v>
      </c>
      <c r="G1162" t="s">
        <v>26</v>
      </c>
      <c r="H1162">
        <v>1</v>
      </c>
      <c r="I1162">
        <v>1000</v>
      </c>
      <c r="J1162">
        <v>0</v>
      </c>
    </row>
    <row r="1163" spans="1:10">
      <c r="A1163" t="s">
        <v>1517</v>
      </c>
      <c r="B1163" t="s">
        <v>1515</v>
      </c>
      <c r="C1163">
        <v>44</v>
      </c>
      <c r="D1163">
        <v>11</v>
      </c>
      <c r="E1163" t="s">
        <v>1516</v>
      </c>
      <c r="F1163" t="s">
        <v>22</v>
      </c>
      <c r="G1163" t="s">
        <v>23</v>
      </c>
      <c r="H1163">
        <v>4</v>
      </c>
      <c r="I1163">
        <v>500</v>
      </c>
      <c r="J1163">
        <v>0</v>
      </c>
    </row>
    <row r="1164" spans="1:10">
      <c r="A1164" t="s">
        <v>1518</v>
      </c>
      <c r="B1164" t="s">
        <v>1515</v>
      </c>
      <c r="C1164">
        <v>44</v>
      </c>
      <c r="D1164">
        <v>11</v>
      </c>
      <c r="E1164" t="s">
        <v>1516</v>
      </c>
      <c r="F1164" t="s">
        <v>82</v>
      </c>
      <c r="G1164" t="s">
        <v>20</v>
      </c>
      <c r="H1164">
        <v>3</v>
      </c>
      <c r="I1164">
        <v>900</v>
      </c>
      <c r="J1164">
        <v>0</v>
      </c>
    </row>
    <row r="1165" spans="1:10">
      <c r="A1165" t="s">
        <v>1519</v>
      </c>
      <c r="B1165" t="s">
        <v>1515</v>
      </c>
      <c r="C1165">
        <v>44</v>
      </c>
      <c r="D1165">
        <v>11</v>
      </c>
      <c r="E1165" t="s">
        <v>1516</v>
      </c>
      <c r="F1165" t="s">
        <v>16</v>
      </c>
      <c r="G1165" t="s">
        <v>17</v>
      </c>
      <c r="H1165">
        <v>4</v>
      </c>
      <c r="I1165">
        <v>442</v>
      </c>
      <c r="J1165">
        <v>15</v>
      </c>
    </row>
    <row r="1166" spans="1:10">
      <c r="A1166" t="s">
        <v>1520</v>
      </c>
      <c r="B1166" t="s">
        <v>1515</v>
      </c>
      <c r="C1166">
        <v>44</v>
      </c>
      <c r="D1166">
        <v>11</v>
      </c>
      <c r="E1166" t="s">
        <v>1516</v>
      </c>
      <c r="F1166" t="s">
        <v>25</v>
      </c>
      <c r="G1166" t="s">
        <v>26</v>
      </c>
      <c r="H1166">
        <v>3</v>
      </c>
      <c r="I1166">
        <v>1000</v>
      </c>
      <c r="J1166">
        <v>0</v>
      </c>
    </row>
    <row r="1167" spans="1:10">
      <c r="A1167" t="s">
        <v>1521</v>
      </c>
      <c r="B1167" t="s">
        <v>1515</v>
      </c>
      <c r="C1167">
        <v>44</v>
      </c>
      <c r="D1167">
        <v>11</v>
      </c>
      <c r="E1167" t="s">
        <v>1516</v>
      </c>
      <c r="F1167" t="s">
        <v>64</v>
      </c>
      <c r="G1167" t="s">
        <v>14</v>
      </c>
      <c r="H1167">
        <v>5</v>
      </c>
      <c r="I1167">
        <v>2244</v>
      </c>
      <c r="J1167">
        <v>15</v>
      </c>
    </row>
    <row r="1168" spans="1:10">
      <c r="A1168" t="s">
        <v>1522</v>
      </c>
      <c r="B1168" t="s">
        <v>1515</v>
      </c>
      <c r="C1168">
        <v>44</v>
      </c>
      <c r="D1168">
        <v>11</v>
      </c>
      <c r="E1168" t="s">
        <v>1516</v>
      </c>
      <c r="F1168" t="s">
        <v>86</v>
      </c>
      <c r="G1168" t="s">
        <v>17</v>
      </c>
      <c r="H1168">
        <v>3</v>
      </c>
      <c r="I1168">
        <v>940</v>
      </c>
      <c r="J1168">
        <v>0</v>
      </c>
    </row>
    <row r="1169" spans="1:10">
      <c r="A1169" t="s">
        <v>1523</v>
      </c>
      <c r="B1169" t="s">
        <v>1524</v>
      </c>
      <c r="C1169">
        <v>44</v>
      </c>
      <c r="D1169">
        <v>11</v>
      </c>
      <c r="E1169" t="s">
        <v>1516</v>
      </c>
      <c r="F1169" t="s">
        <v>146</v>
      </c>
      <c r="G1169" t="s">
        <v>20</v>
      </c>
      <c r="H1169">
        <v>3</v>
      </c>
      <c r="I1169">
        <v>630</v>
      </c>
      <c r="J1169">
        <v>0</v>
      </c>
    </row>
    <row r="1170" spans="1:10">
      <c r="A1170" t="s">
        <v>1525</v>
      </c>
      <c r="B1170" t="s">
        <v>1524</v>
      </c>
      <c r="C1170">
        <v>44</v>
      </c>
      <c r="D1170">
        <v>11</v>
      </c>
      <c r="E1170" t="s">
        <v>1516</v>
      </c>
      <c r="F1170" t="s">
        <v>94</v>
      </c>
      <c r="G1170" t="s">
        <v>17</v>
      </c>
      <c r="H1170">
        <v>3</v>
      </c>
      <c r="I1170">
        <v>1428</v>
      </c>
      <c r="J1170">
        <v>15</v>
      </c>
    </row>
    <row r="1171" spans="1:10">
      <c r="A1171" t="s">
        <v>1526</v>
      </c>
      <c r="B1171" t="s">
        <v>1524</v>
      </c>
      <c r="C1171">
        <v>44</v>
      </c>
      <c r="D1171">
        <v>11</v>
      </c>
      <c r="E1171" t="s">
        <v>1516</v>
      </c>
      <c r="F1171" t="s">
        <v>45</v>
      </c>
      <c r="G1171" t="s">
        <v>26</v>
      </c>
      <c r="H1171">
        <v>4</v>
      </c>
      <c r="I1171">
        <v>3825</v>
      </c>
      <c r="J1171">
        <v>15</v>
      </c>
    </row>
    <row r="1172" spans="1:10">
      <c r="A1172" t="s">
        <v>1527</v>
      </c>
      <c r="B1172" t="s">
        <v>1524</v>
      </c>
      <c r="C1172">
        <v>44</v>
      </c>
      <c r="D1172">
        <v>11</v>
      </c>
      <c r="E1172" t="s">
        <v>1516</v>
      </c>
      <c r="F1172" t="s">
        <v>94</v>
      </c>
      <c r="G1172" t="s">
        <v>17</v>
      </c>
      <c r="H1172">
        <v>1</v>
      </c>
      <c r="I1172">
        <v>1512</v>
      </c>
      <c r="J1172">
        <v>10</v>
      </c>
    </row>
    <row r="1173" spans="1:10">
      <c r="A1173" t="s">
        <v>1528</v>
      </c>
      <c r="B1173" t="s">
        <v>1524</v>
      </c>
      <c r="C1173">
        <v>44</v>
      </c>
      <c r="D1173">
        <v>11</v>
      </c>
      <c r="E1173" t="s">
        <v>1516</v>
      </c>
      <c r="F1173" t="s">
        <v>22</v>
      </c>
      <c r="G1173" t="s">
        <v>23</v>
      </c>
      <c r="H1173">
        <v>1</v>
      </c>
      <c r="I1173">
        <v>425</v>
      </c>
      <c r="J1173">
        <v>15</v>
      </c>
    </row>
    <row r="1174" spans="1:10">
      <c r="A1174" t="s">
        <v>1529</v>
      </c>
      <c r="B1174" t="s">
        <v>1524</v>
      </c>
      <c r="C1174">
        <v>44</v>
      </c>
      <c r="D1174">
        <v>11</v>
      </c>
      <c r="E1174" t="s">
        <v>1516</v>
      </c>
      <c r="F1174" t="s">
        <v>97</v>
      </c>
      <c r="G1174" t="s">
        <v>20</v>
      </c>
      <c r="H1174">
        <v>3</v>
      </c>
      <c r="I1174">
        <v>1980</v>
      </c>
      <c r="J1174">
        <v>0</v>
      </c>
    </row>
    <row r="1175" spans="1:10">
      <c r="A1175" t="s">
        <v>1530</v>
      </c>
      <c r="B1175" t="s">
        <v>1531</v>
      </c>
      <c r="C1175">
        <v>44</v>
      </c>
      <c r="D1175">
        <v>11</v>
      </c>
      <c r="E1175" t="s">
        <v>1516</v>
      </c>
      <c r="F1175" t="s">
        <v>86</v>
      </c>
      <c r="G1175" t="s">
        <v>17</v>
      </c>
      <c r="H1175">
        <v>1</v>
      </c>
      <c r="I1175">
        <v>893</v>
      </c>
      <c r="J1175">
        <v>5</v>
      </c>
    </row>
    <row r="1176" spans="1:10">
      <c r="A1176" t="s">
        <v>1532</v>
      </c>
      <c r="B1176" t="s">
        <v>1531</v>
      </c>
      <c r="C1176">
        <v>44</v>
      </c>
      <c r="D1176">
        <v>11</v>
      </c>
      <c r="E1176" t="s">
        <v>1516</v>
      </c>
      <c r="F1176" t="s">
        <v>187</v>
      </c>
      <c r="G1176" t="s">
        <v>14</v>
      </c>
      <c r="H1176">
        <v>5</v>
      </c>
      <c r="I1176">
        <v>4400</v>
      </c>
      <c r="J1176">
        <v>0</v>
      </c>
    </row>
    <row r="1177" spans="1:10">
      <c r="A1177" t="s">
        <v>1533</v>
      </c>
      <c r="B1177" t="s">
        <v>1531</v>
      </c>
      <c r="C1177">
        <v>44</v>
      </c>
      <c r="D1177">
        <v>11</v>
      </c>
      <c r="E1177" t="s">
        <v>1516</v>
      </c>
      <c r="F1177" t="s">
        <v>16</v>
      </c>
      <c r="G1177" t="s">
        <v>17</v>
      </c>
      <c r="H1177">
        <v>2</v>
      </c>
      <c r="I1177">
        <v>442</v>
      </c>
      <c r="J1177">
        <v>15</v>
      </c>
    </row>
    <row r="1178" spans="1:10">
      <c r="A1178" t="s">
        <v>1534</v>
      </c>
      <c r="B1178" t="s">
        <v>1531</v>
      </c>
      <c r="C1178">
        <v>44</v>
      </c>
      <c r="D1178">
        <v>11</v>
      </c>
      <c r="E1178" t="s">
        <v>1516</v>
      </c>
      <c r="F1178" t="s">
        <v>51</v>
      </c>
      <c r="G1178" t="s">
        <v>26</v>
      </c>
      <c r="H1178">
        <v>5</v>
      </c>
      <c r="I1178">
        <v>475</v>
      </c>
      <c r="J1178">
        <v>5</v>
      </c>
    </row>
    <row r="1179" spans="1:10">
      <c r="A1179" t="s">
        <v>1535</v>
      </c>
      <c r="B1179" t="s">
        <v>1531</v>
      </c>
      <c r="C1179">
        <v>44</v>
      </c>
      <c r="D1179">
        <v>11</v>
      </c>
      <c r="E1179" t="s">
        <v>1516</v>
      </c>
      <c r="F1179" t="s">
        <v>37</v>
      </c>
      <c r="G1179" t="s">
        <v>20</v>
      </c>
      <c r="H1179">
        <v>1</v>
      </c>
      <c r="I1179">
        <v>2340</v>
      </c>
      <c r="J1179">
        <v>0</v>
      </c>
    </row>
    <row r="1180" spans="1:10">
      <c r="A1180" t="s">
        <v>1536</v>
      </c>
      <c r="B1180" t="s">
        <v>1531</v>
      </c>
      <c r="C1180">
        <v>44</v>
      </c>
      <c r="D1180">
        <v>11</v>
      </c>
      <c r="E1180" t="s">
        <v>1516</v>
      </c>
      <c r="F1180" t="s">
        <v>82</v>
      </c>
      <c r="G1180" t="s">
        <v>20</v>
      </c>
      <c r="H1180">
        <v>4</v>
      </c>
      <c r="I1180">
        <v>900</v>
      </c>
      <c r="J1180">
        <v>0</v>
      </c>
    </row>
    <row r="1181" spans="1:10">
      <c r="A1181" t="s">
        <v>1537</v>
      </c>
      <c r="B1181" t="s">
        <v>1531</v>
      </c>
      <c r="C1181">
        <v>44</v>
      </c>
      <c r="D1181">
        <v>11</v>
      </c>
      <c r="E1181" t="s">
        <v>1516</v>
      </c>
      <c r="F1181" t="s">
        <v>80</v>
      </c>
      <c r="G1181" t="s">
        <v>14</v>
      </c>
      <c r="H1181">
        <v>4</v>
      </c>
      <c r="I1181">
        <v>340</v>
      </c>
      <c r="J1181">
        <v>15</v>
      </c>
    </row>
    <row r="1182" spans="1:10">
      <c r="A1182" t="s">
        <v>1538</v>
      </c>
      <c r="B1182" t="s">
        <v>1531</v>
      </c>
      <c r="C1182">
        <v>44</v>
      </c>
      <c r="D1182">
        <v>11</v>
      </c>
      <c r="E1182" t="s">
        <v>1516</v>
      </c>
      <c r="F1182" t="s">
        <v>13</v>
      </c>
      <c r="G1182" t="s">
        <v>14</v>
      </c>
      <c r="H1182">
        <v>3</v>
      </c>
      <c r="I1182">
        <v>480</v>
      </c>
      <c r="J1182">
        <v>0</v>
      </c>
    </row>
    <row r="1183" spans="1:10">
      <c r="A1183" t="s">
        <v>1539</v>
      </c>
      <c r="B1183" t="s">
        <v>1531</v>
      </c>
      <c r="C1183">
        <v>44</v>
      </c>
      <c r="D1183">
        <v>11</v>
      </c>
      <c r="E1183" t="s">
        <v>1516</v>
      </c>
      <c r="F1183" t="s">
        <v>35</v>
      </c>
      <c r="G1183" t="s">
        <v>17</v>
      </c>
      <c r="H1183">
        <v>1</v>
      </c>
      <c r="I1183">
        <v>2835</v>
      </c>
      <c r="J1183">
        <v>10</v>
      </c>
    </row>
    <row r="1184" spans="1:10">
      <c r="A1184" t="s">
        <v>1540</v>
      </c>
      <c r="B1184" t="s">
        <v>1541</v>
      </c>
      <c r="C1184">
        <v>45</v>
      </c>
      <c r="D1184">
        <v>11</v>
      </c>
      <c r="E1184" t="s">
        <v>1516</v>
      </c>
      <c r="F1184" t="s">
        <v>28</v>
      </c>
      <c r="G1184" t="s">
        <v>26</v>
      </c>
      <c r="H1184">
        <v>1</v>
      </c>
      <c r="I1184">
        <v>1500</v>
      </c>
      <c r="J1184">
        <v>0</v>
      </c>
    </row>
    <row r="1185" spans="1:10">
      <c r="A1185" t="s">
        <v>1542</v>
      </c>
      <c r="B1185" t="s">
        <v>1541</v>
      </c>
      <c r="C1185">
        <v>45</v>
      </c>
      <c r="D1185">
        <v>11</v>
      </c>
      <c r="E1185" t="s">
        <v>1516</v>
      </c>
      <c r="F1185" t="s">
        <v>146</v>
      </c>
      <c r="G1185" t="s">
        <v>20</v>
      </c>
      <c r="H1185">
        <v>1</v>
      </c>
      <c r="I1185">
        <v>630</v>
      </c>
      <c r="J1185">
        <v>0</v>
      </c>
    </row>
    <row r="1186" spans="1:10">
      <c r="A1186" t="s">
        <v>1543</v>
      </c>
      <c r="B1186" t="s">
        <v>1541</v>
      </c>
      <c r="C1186">
        <v>45</v>
      </c>
      <c r="D1186">
        <v>11</v>
      </c>
      <c r="E1186" t="s">
        <v>1516</v>
      </c>
      <c r="F1186" t="s">
        <v>94</v>
      </c>
      <c r="G1186" t="s">
        <v>17</v>
      </c>
      <c r="H1186">
        <v>3</v>
      </c>
      <c r="I1186">
        <v>1680</v>
      </c>
      <c r="J1186">
        <v>0</v>
      </c>
    </row>
    <row r="1187" spans="1:10">
      <c r="A1187" t="s">
        <v>1544</v>
      </c>
      <c r="B1187" t="s">
        <v>1541</v>
      </c>
      <c r="C1187">
        <v>45</v>
      </c>
      <c r="D1187">
        <v>11</v>
      </c>
      <c r="E1187" t="s">
        <v>1516</v>
      </c>
      <c r="F1187" t="s">
        <v>80</v>
      </c>
      <c r="G1187" t="s">
        <v>14</v>
      </c>
      <c r="H1187">
        <v>2</v>
      </c>
      <c r="I1187">
        <v>400</v>
      </c>
      <c r="J1187">
        <v>0</v>
      </c>
    </row>
    <row r="1188" spans="1:10">
      <c r="A1188" t="s">
        <v>1545</v>
      </c>
      <c r="B1188" t="s">
        <v>1541</v>
      </c>
      <c r="C1188">
        <v>45</v>
      </c>
      <c r="D1188">
        <v>11</v>
      </c>
      <c r="E1188" t="s">
        <v>1516</v>
      </c>
      <c r="F1188" t="s">
        <v>35</v>
      </c>
      <c r="G1188" t="s">
        <v>17</v>
      </c>
      <c r="H1188">
        <v>2</v>
      </c>
      <c r="I1188">
        <v>2992.5</v>
      </c>
      <c r="J1188">
        <v>5</v>
      </c>
    </row>
    <row r="1189" spans="1:10">
      <c r="A1189" t="s">
        <v>1546</v>
      </c>
      <c r="B1189" t="s">
        <v>1547</v>
      </c>
      <c r="C1189">
        <v>45</v>
      </c>
      <c r="D1189">
        <v>11</v>
      </c>
      <c r="E1189" t="s">
        <v>1516</v>
      </c>
      <c r="F1189" t="s">
        <v>97</v>
      </c>
      <c r="G1189" t="s">
        <v>20</v>
      </c>
      <c r="H1189">
        <v>4</v>
      </c>
      <c r="I1189">
        <v>1980</v>
      </c>
      <c r="J1189">
        <v>0</v>
      </c>
    </row>
    <row r="1190" spans="1:10">
      <c r="A1190" t="s">
        <v>1548</v>
      </c>
      <c r="B1190" t="s">
        <v>1547</v>
      </c>
      <c r="C1190">
        <v>45</v>
      </c>
      <c r="D1190">
        <v>11</v>
      </c>
      <c r="E1190" t="s">
        <v>1516</v>
      </c>
      <c r="F1190" t="s">
        <v>19</v>
      </c>
      <c r="G1190" t="s">
        <v>20</v>
      </c>
      <c r="H1190">
        <v>3</v>
      </c>
      <c r="I1190">
        <v>1458</v>
      </c>
      <c r="J1190">
        <v>10</v>
      </c>
    </row>
    <row r="1191" spans="1:10">
      <c r="A1191" t="s">
        <v>1549</v>
      </c>
      <c r="B1191" t="s">
        <v>1547</v>
      </c>
      <c r="C1191">
        <v>45</v>
      </c>
      <c r="D1191">
        <v>11</v>
      </c>
      <c r="E1191" t="s">
        <v>1516</v>
      </c>
      <c r="F1191" t="s">
        <v>58</v>
      </c>
      <c r="G1191" t="s">
        <v>23</v>
      </c>
      <c r="H1191">
        <v>5</v>
      </c>
      <c r="I1191">
        <v>900</v>
      </c>
      <c r="J1191">
        <v>10</v>
      </c>
    </row>
    <row r="1192" spans="1:10">
      <c r="A1192" t="s">
        <v>1550</v>
      </c>
      <c r="B1192" t="s">
        <v>1547</v>
      </c>
      <c r="C1192">
        <v>45</v>
      </c>
      <c r="D1192">
        <v>11</v>
      </c>
      <c r="E1192" t="s">
        <v>1516</v>
      </c>
      <c r="F1192" t="s">
        <v>31</v>
      </c>
      <c r="G1192" t="s">
        <v>23</v>
      </c>
      <c r="H1192">
        <v>5</v>
      </c>
      <c r="I1192">
        <v>1190</v>
      </c>
      <c r="J1192">
        <v>15</v>
      </c>
    </row>
    <row r="1193" spans="1:10">
      <c r="A1193" t="s">
        <v>1551</v>
      </c>
      <c r="B1193" t="s">
        <v>1547</v>
      </c>
      <c r="C1193">
        <v>45</v>
      </c>
      <c r="D1193">
        <v>11</v>
      </c>
      <c r="E1193" t="s">
        <v>1516</v>
      </c>
      <c r="F1193" t="s">
        <v>19</v>
      </c>
      <c r="G1193" t="s">
        <v>20</v>
      </c>
      <c r="H1193">
        <v>4</v>
      </c>
      <c r="I1193">
        <v>1620</v>
      </c>
      <c r="J1193">
        <v>0</v>
      </c>
    </row>
    <row r="1194" spans="1:10">
      <c r="A1194" t="s">
        <v>1552</v>
      </c>
      <c r="B1194" t="s">
        <v>1547</v>
      </c>
      <c r="C1194">
        <v>45</v>
      </c>
      <c r="D1194">
        <v>11</v>
      </c>
      <c r="E1194" t="s">
        <v>1516</v>
      </c>
      <c r="F1194" t="s">
        <v>66</v>
      </c>
      <c r="G1194" t="s">
        <v>17</v>
      </c>
      <c r="H1194">
        <v>1</v>
      </c>
      <c r="I1194">
        <v>1470</v>
      </c>
      <c r="J1194">
        <v>0</v>
      </c>
    </row>
    <row r="1195" spans="1:10">
      <c r="A1195" t="s">
        <v>1553</v>
      </c>
      <c r="B1195" t="s">
        <v>1547</v>
      </c>
      <c r="C1195">
        <v>45</v>
      </c>
      <c r="D1195">
        <v>11</v>
      </c>
      <c r="E1195" t="s">
        <v>1516</v>
      </c>
      <c r="F1195" t="s">
        <v>97</v>
      </c>
      <c r="G1195" t="s">
        <v>20</v>
      </c>
      <c r="H1195">
        <v>2</v>
      </c>
      <c r="I1195">
        <v>1980</v>
      </c>
      <c r="J1195">
        <v>0</v>
      </c>
    </row>
    <row r="1196" spans="1:10">
      <c r="A1196" t="s">
        <v>1554</v>
      </c>
      <c r="B1196" t="s">
        <v>1555</v>
      </c>
      <c r="C1196">
        <v>45</v>
      </c>
      <c r="D1196">
        <v>11</v>
      </c>
      <c r="E1196" t="s">
        <v>1516</v>
      </c>
      <c r="F1196" t="s">
        <v>35</v>
      </c>
      <c r="G1196" t="s">
        <v>17</v>
      </c>
      <c r="H1196">
        <v>5</v>
      </c>
      <c r="I1196">
        <v>2677.5</v>
      </c>
      <c r="J1196">
        <v>15</v>
      </c>
    </row>
    <row r="1197" spans="1:10">
      <c r="A1197" t="s">
        <v>1556</v>
      </c>
      <c r="B1197" t="s">
        <v>1555</v>
      </c>
      <c r="C1197">
        <v>45</v>
      </c>
      <c r="D1197">
        <v>11</v>
      </c>
      <c r="E1197" t="s">
        <v>1516</v>
      </c>
      <c r="F1197" t="s">
        <v>119</v>
      </c>
      <c r="G1197" t="s">
        <v>14</v>
      </c>
      <c r="H1197">
        <v>3</v>
      </c>
      <c r="I1197">
        <v>770</v>
      </c>
      <c r="J1197">
        <v>0</v>
      </c>
    </row>
    <row r="1198" spans="1:10">
      <c r="A1198" t="s">
        <v>1557</v>
      </c>
      <c r="B1198" t="s">
        <v>1555</v>
      </c>
      <c r="C1198">
        <v>45</v>
      </c>
      <c r="D1198">
        <v>11</v>
      </c>
      <c r="E1198" t="s">
        <v>1516</v>
      </c>
      <c r="F1198" t="s">
        <v>115</v>
      </c>
      <c r="G1198" t="s">
        <v>23</v>
      </c>
      <c r="H1198">
        <v>3</v>
      </c>
      <c r="I1198">
        <v>1200</v>
      </c>
      <c r="J1198">
        <v>0</v>
      </c>
    </row>
    <row r="1199" spans="1:10">
      <c r="A1199" t="s">
        <v>1558</v>
      </c>
      <c r="B1199" t="s">
        <v>1555</v>
      </c>
      <c r="C1199">
        <v>45</v>
      </c>
      <c r="D1199">
        <v>11</v>
      </c>
      <c r="E1199" t="s">
        <v>1516</v>
      </c>
      <c r="F1199" t="s">
        <v>97</v>
      </c>
      <c r="G1199" t="s">
        <v>20</v>
      </c>
      <c r="H1199">
        <v>1</v>
      </c>
      <c r="I1199">
        <v>1980</v>
      </c>
      <c r="J1199">
        <v>0</v>
      </c>
    </row>
    <row r="1200" spans="1:10">
      <c r="A1200" t="s">
        <v>1559</v>
      </c>
      <c r="B1200" t="s">
        <v>1555</v>
      </c>
      <c r="C1200">
        <v>45</v>
      </c>
      <c r="D1200">
        <v>11</v>
      </c>
      <c r="E1200" t="s">
        <v>1516</v>
      </c>
      <c r="F1200" t="s">
        <v>97</v>
      </c>
      <c r="G1200" t="s">
        <v>20</v>
      </c>
      <c r="H1200">
        <v>4</v>
      </c>
      <c r="I1200">
        <v>1881</v>
      </c>
      <c r="J1200">
        <v>5</v>
      </c>
    </row>
    <row r="1201" spans="1:10">
      <c r="A1201" t="s">
        <v>1560</v>
      </c>
      <c r="B1201" t="s">
        <v>1561</v>
      </c>
      <c r="C1201">
        <v>45</v>
      </c>
      <c r="D1201">
        <v>11</v>
      </c>
      <c r="E1201" t="s">
        <v>1516</v>
      </c>
      <c r="F1201" t="s">
        <v>58</v>
      </c>
      <c r="G1201" t="s">
        <v>23</v>
      </c>
      <c r="H1201">
        <v>4</v>
      </c>
      <c r="I1201">
        <v>1000</v>
      </c>
      <c r="J1201">
        <v>0</v>
      </c>
    </row>
    <row r="1202" spans="1:10">
      <c r="A1202" t="s">
        <v>1562</v>
      </c>
      <c r="B1202" t="s">
        <v>1561</v>
      </c>
      <c r="C1202">
        <v>45</v>
      </c>
      <c r="D1202">
        <v>11</v>
      </c>
      <c r="E1202" t="s">
        <v>1516</v>
      </c>
      <c r="F1202" t="s">
        <v>97</v>
      </c>
      <c r="G1202" t="s">
        <v>20</v>
      </c>
      <c r="H1202">
        <v>1</v>
      </c>
      <c r="I1202">
        <v>1980</v>
      </c>
      <c r="J1202">
        <v>0</v>
      </c>
    </row>
    <row r="1203" spans="1:10">
      <c r="A1203" t="s">
        <v>1563</v>
      </c>
      <c r="B1203" t="s">
        <v>1561</v>
      </c>
      <c r="C1203">
        <v>45</v>
      </c>
      <c r="D1203">
        <v>11</v>
      </c>
      <c r="E1203" t="s">
        <v>1516</v>
      </c>
      <c r="F1203" t="s">
        <v>22</v>
      </c>
      <c r="G1203" t="s">
        <v>23</v>
      </c>
      <c r="H1203">
        <v>3</v>
      </c>
      <c r="I1203">
        <v>500</v>
      </c>
      <c r="J1203">
        <v>0</v>
      </c>
    </row>
    <row r="1204" spans="1:10">
      <c r="A1204" t="s">
        <v>1564</v>
      </c>
      <c r="B1204" t="s">
        <v>1561</v>
      </c>
      <c r="C1204">
        <v>45</v>
      </c>
      <c r="D1204">
        <v>11</v>
      </c>
      <c r="E1204" t="s">
        <v>1516</v>
      </c>
      <c r="F1204" t="s">
        <v>42</v>
      </c>
      <c r="G1204" t="s">
        <v>23</v>
      </c>
      <c r="H1204">
        <v>4</v>
      </c>
      <c r="I1204">
        <v>600</v>
      </c>
      <c r="J1204">
        <v>0</v>
      </c>
    </row>
    <row r="1205" spans="1:10">
      <c r="A1205" t="s">
        <v>1565</v>
      </c>
      <c r="B1205" t="s">
        <v>1561</v>
      </c>
      <c r="C1205">
        <v>45</v>
      </c>
      <c r="D1205">
        <v>11</v>
      </c>
      <c r="E1205" t="s">
        <v>1516</v>
      </c>
      <c r="F1205" t="s">
        <v>45</v>
      </c>
      <c r="G1205" t="s">
        <v>26</v>
      </c>
      <c r="H1205">
        <v>5</v>
      </c>
      <c r="I1205">
        <v>4050</v>
      </c>
      <c r="J1205">
        <v>10</v>
      </c>
    </row>
    <row r="1206" spans="1:10">
      <c r="A1206" t="s">
        <v>1566</v>
      </c>
      <c r="B1206" t="s">
        <v>1567</v>
      </c>
      <c r="C1206">
        <v>45</v>
      </c>
      <c r="D1206">
        <v>11</v>
      </c>
      <c r="E1206" t="s">
        <v>1516</v>
      </c>
      <c r="F1206" t="s">
        <v>58</v>
      </c>
      <c r="G1206" t="s">
        <v>23</v>
      </c>
      <c r="H1206">
        <v>3</v>
      </c>
      <c r="I1206">
        <v>900</v>
      </c>
      <c r="J1206">
        <v>10</v>
      </c>
    </row>
    <row r="1207" spans="1:10">
      <c r="A1207" t="s">
        <v>1568</v>
      </c>
      <c r="B1207" t="s">
        <v>1567</v>
      </c>
      <c r="C1207">
        <v>45</v>
      </c>
      <c r="D1207">
        <v>11</v>
      </c>
      <c r="E1207" t="s">
        <v>1516</v>
      </c>
      <c r="F1207" t="s">
        <v>86</v>
      </c>
      <c r="G1207" t="s">
        <v>17</v>
      </c>
      <c r="H1207">
        <v>3</v>
      </c>
      <c r="I1207">
        <v>799</v>
      </c>
      <c r="J1207">
        <v>15</v>
      </c>
    </row>
    <row r="1208" spans="1:10">
      <c r="A1208" t="s">
        <v>1569</v>
      </c>
      <c r="B1208" t="s">
        <v>1567</v>
      </c>
      <c r="C1208">
        <v>45</v>
      </c>
      <c r="D1208">
        <v>11</v>
      </c>
      <c r="E1208" t="s">
        <v>1516</v>
      </c>
      <c r="F1208" t="s">
        <v>19</v>
      </c>
      <c r="G1208" t="s">
        <v>20</v>
      </c>
      <c r="H1208">
        <v>3</v>
      </c>
      <c r="I1208">
        <v>1620</v>
      </c>
      <c r="J1208">
        <v>0</v>
      </c>
    </row>
    <row r="1209" spans="1:10">
      <c r="A1209" t="s">
        <v>1570</v>
      </c>
      <c r="B1209" t="s">
        <v>1567</v>
      </c>
      <c r="C1209">
        <v>45</v>
      </c>
      <c r="D1209">
        <v>11</v>
      </c>
      <c r="E1209" t="s">
        <v>1516</v>
      </c>
      <c r="F1209" t="s">
        <v>39</v>
      </c>
      <c r="G1209" t="s">
        <v>14</v>
      </c>
      <c r="H1209">
        <v>3</v>
      </c>
      <c r="I1209">
        <v>880</v>
      </c>
      <c r="J1209">
        <v>0</v>
      </c>
    </row>
    <row r="1210" spans="1:10">
      <c r="A1210" t="s">
        <v>1571</v>
      </c>
      <c r="B1210" t="s">
        <v>1567</v>
      </c>
      <c r="C1210">
        <v>45</v>
      </c>
      <c r="D1210">
        <v>11</v>
      </c>
      <c r="E1210" t="s">
        <v>1516</v>
      </c>
      <c r="F1210" t="s">
        <v>13</v>
      </c>
      <c r="G1210" t="s">
        <v>14</v>
      </c>
      <c r="H1210">
        <v>1</v>
      </c>
      <c r="I1210">
        <v>456</v>
      </c>
      <c r="J1210">
        <v>5</v>
      </c>
    </row>
    <row r="1211" spans="1:10">
      <c r="A1211" t="s">
        <v>1572</v>
      </c>
      <c r="B1211" t="s">
        <v>1567</v>
      </c>
      <c r="C1211">
        <v>45</v>
      </c>
      <c r="D1211">
        <v>11</v>
      </c>
      <c r="E1211" t="s">
        <v>1516</v>
      </c>
      <c r="F1211" t="s">
        <v>22</v>
      </c>
      <c r="G1211" t="s">
        <v>23</v>
      </c>
      <c r="H1211">
        <v>4</v>
      </c>
      <c r="I1211">
        <v>500</v>
      </c>
      <c r="J1211">
        <v>0</v>
      </c>
    </row>
    <row r="1212" spans="1:10">
      <c r="A1212" t="s">
        <v>1573</v>
      </c>
      <c r="B1212" t="s">
        <v>1567</v>
      </c>
      <c r="C1212">
        <v>45</v>
      </c>
      <c r="D1212">
        <v>11</v>
      </c>
      <c r="E1212" t="s">
        <v>1516</v>
      </c>
      <c r="F1212" t="s">
        <v>187</v>
      </c>
      <c r="G1212" t="s">
        <v>14</v>
      </c>
      <c r="H1212">
        <v>3</v>
      </c>
      <c r="I1212">
        <v>4180</v>
      </c>
      <c r="J1212">
        <v>5</v>
      </c>
    </row>
    <row r="1213" spans="1:10">
      <c r="A1213" t="s">
        <v>1574</v>
      </c>
      <c r="B1213" t="s">
        <v>1575</v>
      </c>
      <c r="C1213">
        <v>45</v>
      </c>
      <c r="D1213">
        <v>11</v>
      </c>
      <c r="E1213" t="s">
        <v>1516</v>
      </c>
      <c r="F1213" t="s">
        <v>80</v>
      </c>
      <c r="G1213" t="s">
        <v>14</v>
      </c>
      <c r="H1213">
        <v>4</v>
      </c>
      <c r="I1213">
        <v>340</v>
      </c>
      <c r="J1213">
        <v>15</v>
      </c>
    </row>
    <row r="1214" spans="1:10">
      <c r="A1214" t="s">
        <v>1576</v>
      </c>
      <c r="B1214" t="s">
        <v>1575</v>
      </c>
      <c r="C1214">
        <v>45</v>
      </c>
      <c r="D1214">
        <v>11</v>
      </c>
      <c r="E1214" t="s">
        <v>1516</v>
      </c>
      <c r="F1214" t="s">
        <v>66</v>
      </c>
      <c r="G1214" t="s">
        <v>17</v>
      </c>
      <c r="H1214">
        <v>2</v>
      </c>
      <c r="I1214">
        <v>1249.5</v>
      </c>
      <c r="J1214">
        <v>15</v>
      </c>
    </row>
    <row r="1215" spans="1:10">
      <c r="A1215" t="s">
        <v>1577</v>
      </c>
      <c r="B1215" t="s">
        <v>1575</v>
      </c>
      <c r="C1215">
        <v>45</v>
      </c>
      <c r="D1215">
        <v>11</v>
      </c>
      <c r="E1215" t="s">
        <v>1516</v>
      </c>
      <c r="F1215" t="s">
        <v>94</v>
      </c>
      <c r="G1215" t="s">
        <v>17</v>
      </c>
      <c r="H1215">
        <v>4</v>
      </c>
      <c r="I1215">
        <v>1680</v>
      </c>
      <c r="J1215">
        <v>0</v>
      </c>
    </row>
    <row r="1216" spans="1:10">
      <c r="A1216" t="s">
        <v>1578</v>
      </c>
      <c r="B1216" t="s">
        <v>1579</v>
      </c>
      <c r="C1216">
        <v>45</v>
      </c>
      <c r="D1216">
        <v>11</v>
      </c>
      <c r="E1216" t="s">
        <v>1516</v>
      </c>
      <c r="F1216" t="s">
        <v>64</v>
      </c>
      <c r="G1216" t="s">
        <v>14</v>
      </c>
      <c r="H1216">
        <v>5</v>
      </c>
      <c r="I1216">
        <v>2640</v>
      </c>
      <c r="J1216">
        <v>0</v>
      </c>
    </row>
    <row r="1217" spans="1:10">
      <c r="A1217" t="s">
        <v>1580</v>
      </c>
      <c r="B1217" t="s">
        <v>1579</v>
      </c>
      <c r="C1217">
        <v>45</v>
      </c>
      <c r="D1217">
        <v>11</v>
      </c>
      <c r="E1217" t="s">
        <v>1516</v>
      </c>
      <c r="F1217" t="s">
        <v>35</v>
      </c>
      <c r="G1217" t="s">
        <v>17</v>
      </c>
      <c r="H1217">
        <v>1</v>
      </c>
      <c r="I1217">
        <v>2677.5</v>
      </c>
      <c r="J1217">
        <v>15</v>
      </c>
    </row>
    <row r="1218" spans="1:10">
      <c r="A1218" t="s">
        <v>1581</v>
      </c>
      <c r="B1218" t="s">
        <v>1579</v>
      </c>
      <c r="C1218">
        <v>45</v>
      </c>
      <c r="D1218">
        <v>11</v>
      </c>
      <c r="E1218" t="s">
        <v>1516</v>
      </c>
      <c r="F1218" t="s">
        <v>39</v>
      </c>
      <c r="G1218" t="s">
        <v>14</v>
      </c>
      <c r="H1218">
        <v>1</v>
      </c>
      <c r="I1218">
        <v>836</v>
      </c>
      <c r="J1218">
        <v>5</v>
      </c>
    </row>
    <row r="1219" spans="1:10">
      <c r="A1219" t="s">
        <v>1582</v>
      </c>
      <c r="B1219" t="s">
        <v>1579</v>
      </c>
      <c r="C1219">
        <v>45</v>
      </c>
      <c r="D1219">
        <v>11</v>
      </c>
      <c r="E1219" t="s">
        <v>1516</v>
      </c>
      <c r="F1219" t="s">
        <v>64</v>
      </c>
      <c r="G1219" t="s">
        <v>14</v>
      </c>
      <c r="H1219">
        <v>1</v>
      </c>
      <c r="I1219">
        <v>2640</v>
      </c>
      <c r="J1219">
        <v>0</v>
      </c>
    </row>
    <row r="1220" spans="1:10">
      <c r="A1220" t="s">
        <v>1583</v>
      </c>
      <c r="B1220" t="s">
        <v>1579</v>
      </c>
      <c r="C1220">
        <v>45</v>
      </c>
      <c r="D1220">
        <v>11</v>
      </c>
      <c r="E1220" t="s">
        <v>1516</v>
      </c>
      <c r="F1220" t="s">
        <v>187</v>
      </c>
      <c r="G1220" t="s">
        <v>14</v>
      </c>
      <c r="H1220">
        <v>4</v>
      </c>
      <c r="I1220">
        <v>4180</v>
      </c>
      <c r="J1220">
        <v>5</v>
      </c>
    </row>
    <row r="1221" spans="1:10">
      <c r="A1221" t="s">
        <v>1584</v>
      </c>
      <c r="B1221" t="s">
        <v>1585</v>
      </c>
      <c r="C1221">
        <v>46</v>
      </c>
      <c r="D1221">
        <v>11</v>
      </c>
      <c r="E1221" t="s">
        <v>1516</v>
      </c>
      <c r="F1221" t="s">
        <v>64</v>
      </c>
      <c r="G1221" t="s">
        <v>14</v>
      </c>
      <c r="H1221">
        <v>5</v>
      </c>
      <c r="I1221">
        <v>2640</v>
      </c>
      <c r="J1221">
        <v>0</v>
      </c>
    </row>
    <row r="1222" spans="1:10">
      <c r="A1222" t="s">
        <v>1586</v>
      </c>
      <c r="B1222" t="s">
        <v>1585</v>
      </c>
      <c r="C1222">
        <v>46</v>
      </c>
      <c r="D1222">
        <v>11</v>
      </c>
      <c r="E1222" t="s">
        <v>1516</v>
      </c>
      <c r="F1222" t="s">
        <v>39</v>
      </c>
      <c r="G1222" t="s">
        <v>14</v>
      </c>
      <c r="H1222">
        <v>4</v>
      </c>
      <c r="I1222">
        <v>880</v>
      </c>
      <c r="J1222">
        <v>0</v>
      </c>
    </row>
    <row r="1223" spans="1:10">
      <c r="A1223" t="s">
        <v>1587</v>
      </c>
      <c r="B1223" t="s">
        <v>1585</v>
      </c>
      <c r="C1223">
        <v>46</v>
      </c>
      <c r="D1223">
        <v>11</v>
      </c>
      <c r="E1223" t="s">
        <v>1516</v>
      </c>
      <c r="F1223" t="s">
        <v>115</v>
      </c>
      <c r="G1223" t="s">
        <v>23</v>
      </c>
      <c r="H1223">
        <v>1</v>
      </c>
      <c r="I1223">
        <v>1020</v>
      </c>
      <c r="J1223">
        <v>15</v>
      </c>
    </row>
    <row r="1224" spans="1:10">
      <c r="A1224" t="s">
        <v>1588</v>
      </c>
      <c r="B1224" t="s">
        <v>1585</v>
      </c>
      <c r="C1224">
        <v>46</v>
      </c>
      <c r="D1224">
        <v>11</v>
      </c>
      <c r="E1224" t="s">
        <v>1516</v>
      </c>
      <c r="F1224" t="s">
        <v>42</v>
      </c>
      <c r="G1224" t="s">
        <v>23</v>
      </c>
      <c r="H1224">
        <v>3</v>
      </c>
      <c r="I1224">
        <v>600</v>
      </c>
      <c r="J1224">
        <v>0</v>
      </c>
    </row>
    <row r="1225" spans="1:10">
      <c r="A1225" t="s">
        <v>1589</v>
      </c>
      <c r="B1225" t="s">
        <v>1585</v>
      </c>
      <c r="C1225">
        <v>46</v>
      </c>
      <c r="D1225">
        <v>11</v>
      </c>
      <c r="E1225" t="s">
        <v>1516</v>
      </c>
      <c r="F1225" t="s">
        <v>115</v>
      </c>
      <c r="G1225" t="s">
        <v>23</v>
      </c>
      <c r="H1225">
        <v>1</v>
      </c>
      <c r="I1225">
        <v>1200</v>
      </c>
      <c r="J1225">
        <v>0</v>
      </c>
    </row>
    <row r="1226" spans="1:10">
      <c r="A1226" t="s">
        <v>1590</v>
      </c>
      <c r="B1226" t="s">
        <v>1585</v>
      </c>
      <c r="C1226">
        <v>46</v>
      </c>
      <c r="D1226">
        <v>11</v>
      </c>
      <c r="E1226" t="s">
        <v>1516</v>
      </c>
      <c r="F1226" t="s">
        <v>45</v>
      </c>
      <c r="G1226" t="s">
        <v>26</v>
      </c>
      <c r="H1226">
        <v>5</v>
      </c>
      <c r="I1226">
        <v>3825</v>
      </c>
      <c r="J1226">
        <v>15</v>
      </c>
    </row>
    <row r="1227" spans="1:10">
      <c r="A1227" t="s">
        <v>1591</v>
      </c>
      <c r="B1227" t="s">
        <v>1592</v>
      </c>
      <c r="C1227">
        <v>46</v>
      </c>
      <c r="D1227">
        <v>11</v>
      </c>
      <c r="E1227" t="s">
        <v>1516</v>
      </c>
      <c r="F1227" t="s">
        <v>82</v>
      </c>
      <c r="G1227" t="s">
        <v>20</v>
      </c>
      <c r="H1227">
        <v>5</v>
      </c>
      <c r="I1227">
        <v>855</v>
      </c>
      <c r="J1227">
        <v>5</v>
      </c>
    </row>
    <row r="1228" spans="1:10">
      <c r="A1228" t="s">
        <v>1593</v>
      </c>
      <c r="B1228" t="s">
        <v>1592</v>
      </c>
      <c r="C1228">
        <v>46</v>
      </c>
      <c r="D1228">
        <v>11</v>
      </c>
      <c r="E1228" t="s">
        <v>1516</v>
      </c>
      <c r="F1228" t="s">
        <v>80</v>
      </c>
      <c r="G1228" t="s">
        <v>14</v>
      </c>
      <c r="H1228">
        <v>4</v>
      </c>
      <c r="I1228">
        <v>400</v>
      </c>
      <c r="J1228">
        <v>0</v>
      </c>
    </row>
    <row r="1229" spans="1:10">
      <c r="A1229" t="s">
        <v>1594</v>
      </c>
      <c r="B1229" t="s">
        <v>1592</v>
      </c>
      <c r="C1229">
        <v>46</v>
      </c>
      <c r="D1229">
        <v>11</v>
      </c>
      <c r="E1229" t="s">
        <v>1516</v>
      </c>
      <c r="F1229" t="s">
        <v>37</v>
      </c>
      <c r="G1229" t="s">
        <v>20</v>
      </c>
      <c r="H1229">
        <v>1</v>
      </c>
      <c r="I1229">
        <v>2106</v>
      </c>
      <c r="J1229">
        <v>10</v>
      </c>
    </row>
    <row r="1230" spans="1:10">
      <c r="A1230" t="s">
        <v>1595</v>
      </c>
      <c r="B1230" t="s">
        <v>1592</v>
      </c>
      <c r="C1230">
        <v>46</v>
      </c>
      <c r="D1230">
        <v>11</v>
      </c>
      <c r="E1230" t="s">
        <v>1516</v>
      </c>
      <c r="F1230" t="s">
        <v>51</v>
      </c>
      <c r="G1230" t="s">
        <v>26</v>
      </c>
      <c r="H1230">
        <v>1</v>
      </c>
      <c r="I1230">
        <v>500</v>
      </c>
      <c r="J1230">
        <v>0</v>
      </c>
    </row>
    <row r="1231" spans="1:10">
      <c r="A1231" t="s">
        <v>1596</v>
      </c>
      <c r="B1231" t="s">
        <v>1592</v>
      </c>
      <c r="C1231">
        <v>46</v>
      </c>
      <c r="D1231">
        <v>11</v>
      </c>
      <c r="E1231" t="s">
        <v>1516</v>
      </c>
      <c r="F1231" t="s">
        <v>42</v>
      </c>
      <c r="G1231" t="s">
        <v>23</v>
      </c>
      <c r="H1231">
        <v>1</v>
      </c>
      <c r="I1231">
        <v>570</v>
      </c>
      <c r="J1231">
        <v>5</v>
      </c>
    </row>
    <row r="1232" spans="1:10">
      <c r="A1232" t="s">
        <v>1597</v>
      </c>
      <c r="B1232" t="s">
        <v>1592</v>
      </c>
      <c r="C1232">
        <v>46</v>
      </c>
      <c r="D1232">
        <v>11</v>
      </c>
      <c r="E1232" t="s">
        <v>1516</v>
      </c>
      <c r="F1232" t="s">
        <v>19</v>
      </c>
      <c r="G1232" t="s">
        <v>20</v>
      </c>
      <c r="H1232">
        <v>3</v>
      </c>
      <c r="I1232">
        <v>1620</v>
      </c>
      <c r="J1232">
        <v>0</v>
      </c>
    </row>
    <row r="1233" spans="1:10">
      <c r="A1233" t="s">
        <v>1598</v>
      </c>
      <c r="B1233" t="s">
        <v>1592</v>
      </c>
      <c r="C1233">
        <v>46</v>
      </c>
      <c r="D1233">
        <v>11</v>
      </c>
      <c r="E1233" t="s">
        <v>1516</v>
      </c>
      <c r="F1233" t="s">
        <v>28</v>
      </c>
      <c r="G1233" t="s">
        <v>26</v>
      </c>
      <c r="H1233">
        <v>2</v>
      </c>
      <c r="I1233">
        <v>1425</v>
      </c>
      <c r="J1233">
        <v>5</v>
      </c>
    </row>
    <row r="1234" spans="1:10">
      <c r="A1234" t="s">
        <v>1599</v>
      </c>
      <c r="B1234" t="s">
        <v>1592</v>
      </c>
      <c r="C1234">
        <v>46</v>
      </c>
      <c r="D1234">
        <v>11</v>
      </c>
      <c r="E1234" t="s">
        <v>1516</v>
      </c>
      <c r="F1234" t="s">
        <v>80</v>
      </c>
      <c r="G1234" t="s">
        <v>14</v>
      </c>
      <c r="H1234">
        <v>5</v>
      </c>
      <c r="I1234">
        <v>400</v>
      </c>
      <c r="J1234">
        <v>0</v>
      </c>
    </row>
    <row r="1235" spans="1:10">
      <c r="A1235" t="s">
        <v>1600</v>
      </c>
      <c r="B1235" t="s">
        <v>1592</v>
      </c>
      <c r="C1235">
        <v>46</v>
      </c>
      <c r="D1235">
        <v>11</v>
      </c>
      <c r="E1235" t="s">
        <v>1516</v>
      </c>
      <c r="F1235" t="s">
        <v>28</v>
      </c>
      <c r="G1235" t="s">
        <v>26</v>
      </c>
      <c r="H1235">
        <v>1</v>
      </c>
      <c r="I1235">
        <v>1500</v>
      </c>
      <c r="J1235">
        <v>0</v>
      </c>
    </row>
    <row r="1236" spans="1:10">
      <c r="A1236" t="s">
        <v>1601</v>
      </c>
      <c r="B1236" t="s">
        <v>1592</v>
      </c>
      <c r="C1236">
        <v>46</v>
      </c>
      <c r="D1236">
        <v>11</v>
      </c>
      <c r="E1236" t="s">
        <v>1516</v>
      </c>
      <c r="F1236" t="s">
        <v>115</v>
      </c>
      <c r="G1236" t="s">
        <v>23</v>
      </c>
      <c r="H1236">
        <v>4</v>
      </c>
      <c r="I1236">
        <v>1200</v>
      </c>
      <c r="J1236">
        <v>0</v>
      </c>
    </row>
    <row r="1237" spans="1:10">
      <c r="A1237" t="s">
        <v>1602</v>
      </c>
      <c r="B1237" t="s">
        <v>1592</v>
      </c>
      <c r="C1237">
        <v>46</v>
      </c>
      <c r="D1237">
        <v>11</v>
      </c>
      <c r="E1237" t="s">
        <v>1516</v>
      </c>
      <c r="F1237" t="s">
        <v>86</v>
      </c>
      <c r="G1237" t="s">
        <v>17</v>
      </c>
      <c r="H1237">
        <v>4</v>
      </c>
      <c r="I1237">
        <v>846</v>
      </c>
      <c r="J1237">
        <v>10</v>
      </c>
    </row>
    <row r="1238" spans="1:10">
      <c r="A1238" t="s">
        <v>1603</v>
      </c>
      <c r="B1238" t="s">
        <v>1604</v>
      </c>
      <c r="C1238">
        <v>46</v>
      </c>
      <c r="D1238">
        <v>11</v>
      </c>
      <c r="E1238" t="s">
        <v>1516</v>
      </c>
      <c r="F1238" t="s">
        <v>82</v>
      </c>
      <c r="G1238" t="s">
        <v>20</v>
      </c>
      <c r="H1238">
        <v>3</v>
      </c>
      <c r="I1238">
        <v>900</v>
      </c>
      <c r="J1238">
        <v>0</v>
      </c>
    </row>
    <row r="1239" spans="1:10">
      <c r="A1239" t="s">
        <v>1605</v>
      </c>
      <c r="B1239" t="s">
        <v>1604</v>
      </c>
      <c r="C1239">
        <v>46</v>
      </c>
      <c r="D1239">
        <v>11</v>
      </c>
      <c r="E1239" t="s">
        <v>1516</v>
      </c>
      <c r="F1239" t="s">
        <v>94</v>
      </c>
      <c r="G1239" t="s">
        <v>17</v>
      </c>
      <c r="H1239">
        <v>1</v>
      </c>
      <c r="I1239">
        <v>1680</v>
      </c>
      <c r="J1239">
        <v>0</v>
      </c>
    </row>
    <row r="1240" spans="1:10">
      <c r="A1240" t="s">
        <v>1606</v>
      </c>
      <c r="B1240" t="s">
        <v>1604</v>
      </c>
      <c r="C1240">
        <v>46</v>
      </c>
      <c r="D1240">
        <v>11</v>
      </c>
      <c r="E1240" t="s">
        <v>1516</v>
      </c>
      <c r="F1240" t="s">
        <v>19</v>
      </c>
      <c r="G1240" t="s">
        <v>20</v>
      </c>
      <c r="H1240">
        <v>3</v>
      </c>
      <c r="I1240">
        <v>1458</v>
      </c>
      <c r="J1240">
        <v>10</v>
      </c>
    </row>
    <row r="1241" spans="1:10">
      <c r="A1241" t="s">
        <v>1607</v>
      </c>
      <c r="B1241" t="s">
        <v>1604</v>
      </c>
      <c r="C1241">
        <v>46</v>
      </c>
      <c r="D1241">
        <v>11</v>
      </c>
      <c r="E1241" t="s">
        <v>1516</v>
      </c>
      <c r="F1241" t="s">
        <v>45</v>
      </c>
      <c r="G1241" t="s">
        <v>26</v>
      </c>
      <c r="H1241">
        <v>4</v>
      </c>
      <c r="I1241">
        <v>4500</v>
      </c>
      <c r="J1241">
        <v>0</v>
      </c>
    </row>
    <row r="1242" spans="1:10">
      <c r="A1242" t="s">
        <v>1608</v>
      </c>
      <c r="B1242" t="s">
        <v>1604</v>
      </c>
      <c r="C1242">
        <v>46</v>
      </c>
      <c r="D1242">
        <v>11</v>
      </c>
      <c r="E1242" t="s">
        <v>1516</v>
      </c>
      <c r="F1242" t="s">
        <v>94</v>
      </c>
      <c r="G1242" t="s">
        <v>17</v>
      </c>
      <c r="H1242">
        <v>3</v>
      </c>
      <c r="I1242">
        <v>1596</v>
      </c>
      <c r="J1242">
        <v>5</v>
      </c>
    </row>
    <row r="1243" spans="1:10">
      <c r="A1243" t="s">
        <v>1609</v>
      </c>
      <c r="B1243" t="s">
        <v>1604</v>
      </c>
      <c r="C1243">
        <v>46</v>
      </c>
      <c r="D1243">
        <v>11</v>
      </c>
      <c r="E1243" t="s">
        <v>1516</v>
      </c>
      <c r="F1243" t="s">
        <v>82</v>
      </c>
      <c r="G1243" t="s">
        <v>20</v>
      </c>
      <c r="H1243">
        <v>4</v>
      </c>
      <c r="I1243">
        <v>765</v>
      </c>
      <c r="J1243">
        <v>15</v>
      </c>
    </row>
    <row r="1244" spans="1:10">
      <c r="A1244" t="s">
        <v>1610</v>
      </c>
      <c r="B1244" t="s">
        <v>1604</v>
      </c>
      <c r="C1244">
        <v>46</v>
      </c>
      <c r="D1244">
        <v>11</v>
      </c>
      <c r="E1244" t="s">
        <v>1516</v>
      </c>
      <c r="F1244" t="s">
        <v>119</v>
      </c>
      <c r="G1244" t="s">
        <v>14</v>
      </c>
      <c r="H1244">
        <v>3</v>
      </c>
      <c r="I1244">
        <v>693</v>
      </c>
      <c r="J1244">
        <v>10</v>
      </c>
    </row>
    <row r="1245" spans="1:10">
      <c r="A1245" t="s">
        <v>1611</v>
      </c>
      <c r="B1245" t="s">
        <v>1612</v>
      </c>
      <c r="C1245">
        <v>46</v>
      </c>
      <c r="D1245">
        <v>11</v>
      </c>
      <c r="E1245" t="s">
        <v>1516</v>
      </c>
      <c r="F1245" t="s">
        <v>97</v>
      </c>
      <c r="G1245" t="s">
        <v>20</v>
      </c>
      <c r="H1245">
        <v>5</v>
      </c>
      <c r="I1245">
        <v>1980</v>
      </c>
      <c r="J1245">
        <v>0</v>
      </c>
    </row>
    <row r="1246" spans="1:10">
      <c r="A1246" t="s">
        <v>1613</v>
      </c>
      <c r="B1246" t="s">
        <v>1612</v>
      </c>
      <c r="C1246">
        <v>46</v>
      </c>
      <c r="D1246">
        <v>11</v>
      </c>
      <c r="E1246" t="s">
        <v>1516</v>
      </c>
      <c r="F1246" t="s">
        <v>86</v>
      </c>
      <c r="G1246" t="s">
        <v>17</v>
      </c>
      <c r="H1246">
        <v>1</v>
      </c>
      <c r="I1246">
        <v>940</v>
      </c>
      <c r="J1246">
        <v>0</v>
      </c>
    </row>
    <row r="1247" spans="1:10">
      <c r="A1247" t="s">
        <v>1614</v>
      </c>
      <c r="B1247" t="s">
        <v>1612</v>
      </c>
      <c r="C1247">
        <v>46</v>
      </c>
      <c r="D1247">
        <v>11</v>
      </c>
      <c r="E1247" t="s">
        <v>1516</v>
      </c>
      <c r="F1247" t="s">
        <v>94</v>
      </c>
      <c r="G1247" t="s">
        <v>17</v>
      </c>
      <c r="H1247">
        <v>2</v>
      </c>
      <c r="I1247">
        <v>1680</v>
      </c>
      <c r="J1247">
        <v>0</v>
      </c>
    </row>
    <row r="1248" spans="1:10">
      <c r="A1248" t="s">
        <v>1615</v>
      </c>
      <c r="B1248" t="s">
        <v>1612</v>
      </c>
      <c r="C1248">
        <v>46</v>
      </c>
      <c r="D1248">
        <v>11</v>
      </c>
      <c r="E1248" t="s">
        <v>1516</v>
      </c>
      <c r="F1248" t="s">
        <v>86</v>
      </c>
      <c r="G1248" t="s">
        <v>17</v>
      </c>
      <c r="H1248">
        <v>1</v>
      </c>
      <c r="I1248">
        <v>940</v>
      </c>
      <c r="J1248">
        <v>0</v>
      </c>
    </row>
    <row r="1249" spans="1:10">
      <c r="A1249" t="s">
        <v>1616</v>
      </c>
      <c r="B1249" t="s">
        <v>1612</v>
      </c>
      <c r="C1249">
        <v>46</v>
      </c>
      <c r="D1249">
        <v>11</v>
      </c>
      <c r="E1249" t="s">
        <v>1516</v>
      </c>
      <c r="F1249" t="s">
        <v>146</v>
      </c>
      <c r="G1249" t="s">
        <v>20</v>
      </c>
      <c r="H1249">
        <v>4</v>
      </c>
      <c r="I1249">
        <v>630</v>
      </c>
      <c r="J1249">
        <v>0</v>
      </c>
    </row>
    <row r="1250" spans="1:10">
      <c r="A1250" t="s">
        <v>1617</v>
      </c>
      <c r="B1250" t="s">
        <v>1612</v>
      </c>
      <c r="C1250">
        <v>46</v>
      </c>
      <c r="D1250">
        <v>11</v>
      </c>
      <c r="E1250" t="s">
        <v>1516</v>
      </c>
      <c r="F1250" t="s">
        <v>80</v>
      </c>
      <c r="G1250" t="s">
        <v>14</v>
      </c>
      <c r="H1250">
        <v>5</v>
      </c>
      <c r="I1250">
        <v>360</v>
      </c>
      <c r="J1250">
        <v>10</v>
      </c>
    </row>
    <row r="1251" spans="1:10">
      <c r="A1251" t="s">
        <v>1618</v>
      </c>
      <c r="B1251" t="s">
        <v>1612</v>
      </c>
      <c r="C1251">
        <v>46</v>
      </c>
      <c r="D1251">
        <v>11</v>
      </c>
      <c r="E1251" t="s">
        <v>1516</v>
      </c>
      <c r="F1251" t="s">
        <v>35</v>
      </c>
      <c r="G1251" t="s">
        <v>17</v>
      </c>
      <c r="H1251">
        <v>5</v>
      </c>
      <c r="I1251">
        <v>2992.5</v>
      </c>
      <c r="J1251">
        <v>5</v>
      </c>
    </row>
    <row r="1252" spans="1:10">
      <c r="A1252" t="s">
        <v>1619</v>
      </c>
      <c r="B1252" t="s">
        <v>1620</v>
      </c>
      <c r="C1252">
        <v>46</v>
      </c>
      <c r="D1252">
        <v>11</v>
      </c>
      <c r="E1252" t="s">
        <v>1516</v>
      </c>
      <c r="F1252" t="s">
        <v>86</v>
      </c>
      <c r="G1252" t="s">
        <v>17</v>
      </c>
      <c r="H1252">
        <v>3</v>
      </c>
      <c r="I1252">
        <v>799</v>
      </c>
      <c r="J1252">
        <v>15</v>
      </c>
    </row>
    <row r="1253" spans="1:10">
      <c r="A1253" t="s">
        <v>1621</v>
      </c>
      <c r="B1253" t="s">
        <v>1620</v>
      </c>
      <c r="C1253">
        <v>46</v>
      </c>
      <c r="D1253">
        <v>11</v>
      </c>
      <c r="E1253" t="s">
        <v>1516</v>
      </c>
      <c r="F1253" t="s">
        <v>82</v>
      </c>
      <c r="G1253" t="s">
        <v>20</v>
      </c>
      <c r="H1253">
        <v>2</v>
      </c>
      <c r="I1253">
        <v>900</v>
      </c>
      <c r="J1253">
        <v>0</v>
      </c>
    </row>
    <row r="1254" spans="1:10">
      <c r="A1254" t="s">
        <v>1622</v>
      </c>
      <c r="B1254" t="s">
        <v>1620</v>
      </c>
      <c r="C1254">
        <v>46</v>
      </c>
      <c r="D1254">
        <v>11</v>
      </c>
      <c r="E1254" t="s">
        <v>1516</v>
      </c>
      <c r="F1254" t="s">
        <v>16</v>
      </c>
      <c r="G1254" t="s">
        <v>17</v>
      </c>
      <c r="H1254">
        <v>3</v>
      </c>
      <c r="I1254">
        <v>442</v>
      </c>
      <c r="J1254">
        <v>15</v>
      </c>
    </row>
    <row r="1255" spans="1:10">
      <c r="A1255" t="s">
        <v>1623</v>
      </c>
      <c r="B1255" t="s">
        <v>1620</v>
      </c>
      <c r="C1255">
        <v>46</v>
      </c>
      <c r="D1255">
        <v>11</v>
      </c>
      <c r="E1255" t="s">
        <v>1516</v>
      </c>
      <c r="F1255" t="s">
        <v>19</v>
      </c>
      <c r="G1255" t="s">
        <v>20</v>
      </c>
      <c r="H1255">
        <v>3</v>
      </c>
      <c r="I1255">
        <v>1620</v>
      </c>
      <c r="J1255">
        <v>0</v>
      </c>
    </row>
    <row r="1256" spans="1:10">
      <c r="A1256" t="s">
        <v>1624</v>
      </c>
      <c r="B1256" t="s">
        <v>1620</v>
      </c>
      <c r="C1256">
        <v>46</v>
      </c>
      <c r="D1256">
        <v>11</v>
      </c>
      <c r="E1256" t="s">
        <v>1516</v>
      </c>
      <c r="F1256" t="s">
        <v>86</v>
      </c>
      <c r="G1256" t="s">
        <v>17</v>
      </c>
      <c r="H1256">
        <v>4</v>
      </c>
      <c r="I1256">
        <v>940</v>
      </c>
      <c r="J1256">
        <v>0</v>
      </c>
    </row>
    <row r="1257" spans="1:10">
      <c r="A1257" t="s">
        <v>1625</v>
      </c>
      <c r="B1257" t="s">
        <v>1620</v>
      </c>
      <c r="C1257">
        <v>46</v>
      </c>
      <c r="D1257">
        <v>11</v>
      </c>
      <c r="E1257" t="s">
        <v>1516</v>
      </c>
      <c r="F1257" t="s">
        <v>37</v>
      </c>
      <c r="G1257" t="s">
        <v>20</v>
      </c>
      <c r="H1257">
        <v>1</v>
      </c>
      <c r="I1257">
        <v>2340</v>
      </c>
      <c r="J1257">
        <v>0</v>
      </c>
    </row>
    <row r="1258" spans="1:10">
      <c r="A1258" t="s">
        <v>1626</v>
      </c>
      <c r="B1258" t="s">
        <v>1627</v>
      </c>
      <c r="C1258">
        <v>46</v>
      </c>
      <c r="D1258">
        <v>11</v>
      </c>
      <c r="E1258" t="s">
        <v>1516</v>
      </c>
      <c r="F1258" t="s">
        <v>16</v>
      </c>
      <c r="G1258" t="s">
        <v>17</v>
      </c>
      <c r="H1258">
        <v>1</v>
      </c>
      <c r="I1258">
        <v>520</v>
      </c>
      <c r="J1258">
        <v>0</v>
      </c>
    </row>
    <row r="1259" spans="1:10">
      <c r="A1259" t="s">
        <v>1628</v>
      </c>
      <c r="B1259" t="s">
        <v>1627</v>
      </c>
      <c r="C1259">
        <v>46</v>
      </c>
      <c r="D1259">
        <v>11</v>
      </c>
      <c r="E1259" t="s">
        <v>1516</v>
      </c>
      <c r="F1259" t="s">
        <v>28</v>
      </c>
      <c r="G1259" t="s">
        <v>26</v>
      </c>
      <c r="H1259">
        <v>1</v>
      </c>
      <c r="I1259">
        <v>1500</v>
      </c>
      <c r="J1259">
        <v>0</v>
      </c>
    </row>
    <row r="1260" spans="1:10">
      <c r="A1260" t="s">
        <v>1629</v>
      </c>
      <c r="B1260" t="s">
        <v>1627</v>
      </c>
      <c r="C1260">
        <v>46</v>
      </c>
      <c r="D1260">
        <v>11</v>
      </c>
      <c r="E1260" t="s">
        <v>1516</v>
      </c>
      <c r="F1260" t="s">
        <v>94</v>
      </c>
      <c r="G1260" t="s">
        <v>17</v>
      </c>
      <c r="H1260">
        <v>2</v>
      </c>
      <c r="I1260">
        <v>1428</v>
      </c>
      <c r="J1260">
        <v>15</v>
      </c>
    </row>
    <row r="1261" spans="1:10">
      <c r="A1261" t="s">
        <v>1630</v>
      </c>
      <c r="B1261" t="s">
        <v>1627</v>
      </c>
      <c r="C1261">
        <v>46</v>
      </c>
      <c r="D1261">
        <v>11</v>
      </c>
      <c r="E1261" t="s">
        <v>1516</v>
      </c>
      <c r="F1261" t="s">
        <v>86</v>
      </c>
      <c r="G1261" t="s">
        <v>17</v>
      </c>
      <c r="H1261">
        <v>3</v>
      </c>
      <c r="I1261">
        <v>799</v>
      </c>
      <c r="J1261">
        <v>15</v>
      </c>
    </row>
    <row r="1262" spans="1:10">
      <c r="A1262" t="s">
        <v>1631</v>
      </c>
      <c r="B1262" t="s">
        <v>1627</v>
      </c>
      <c r="C1262">
        <v>46</v>
      </c>
      <c r="D1262">
        <v>11</v>
      </c>
      <c r="E1262" t="s">
        <v>1516</v>
      </c>
      <c r="F1262" t="s">
        <v>19</v>
      </c>
      <c r="G1262" t="s">
        <v>20</v>
      </c>
      <c r="H1262">
        <v>3</v>
      </c>
      <c r="I1262">
        <v>1539</v>
      </c>
      <c r="J1262">
        <v>5</v>
      </c>
    </row>
    <row r="1263" spans="1:10">
      <c r="A1263" t="s">
        <v>1632</v>
      </c>
      <c r="B1263" t="s">
        <v>1633</v>
      </c>
      <c r="C1263">
        <v>46</v>
      </c>
      <c r="D1263">
        <v>11</v>
      </c>
      <c r="E1263" t="s">
        <v>1516</v>
      </c>
      <c r="F1263" t="s">
        <v>86</v>
      </c>
      <c r="G1263" t="s">
        <v>17</v>
      </c>
      <c r="H1263">
        <v>3</v>
      </c>
      <c r="I1263">
        <v>846</v>
      </c>
      <c r="J1263">
        <v>10</v>
      </c>
    </row>
    <row r="1264" spans="1:10">
      <c r="A1264" t="s">
        <v>1634</v>
      </c>
      <c r="B1264" t="s">
        <v>1633</v>
      </c>
      <c r="C1264">
        <v>46</v>
      </c>
      <c r="D1264">
        <v>11</v>
      </c>
      <c r="E1264" t="s">
        <v>1516</v>
      </c>
      <c r="F1264" t="s">
        <v>25</v>
      </c>
      <c r="G1264" t="s">
        <v>26</v>
      </c>
      <c r="H1264">
        <v>5</v>
      </c>
      <c r="I1264">
        <v>950</v>
      </c>
      <c r="J1264">
        <v>5</v>
      </c>
    </row>
    <row r="1265" spans="1:10">
      <c r="A1265" t="s">
        <v>1635</v>
      </c>
      <c r="B1265" t="s">
        <v>1633</v>
      </c>
      <c r="C1265">
        <v>46</v>
      </c>
      <c r="D1265">
        <v>11</v>
      </c>
      <c r="E1265" t="s">
        <v>1516</v>
      </c>
      <c r="F1265" t="s">
        <v>94</v>
      </c>
      <c r="G1265" t="s">
        <v>17</v>
      </c>
      <c r="H1265">
        <v>4</v>
      </c>
      <c r="I1265">
        <v>1512</v>
      </c>
      <c r="J1265">
        <v>10</v>
      </c>
    </row>
    <row r="1266" spans="1:10">
      <c r="A1266" t="s">
        <v>1636</v>
      </c>
      <c r="B1266" t="s">
        <v>1633</v>
      </c>
      <c r="C1266">
        <v>46</v>
      </c>
      <c r="D1266">
        <v>11</v>
      </c>
      <c r="E1266" t="s">
        <v>1516</v>
      </c>
      <c r="F1266" t="s">
        <v>35</v>
      </c>
      <c r="G1266" t="s">
        <v>17</v>
      </c>
      <c r="H1266">
        <v>3</v>
      </c>
      <c r="I1266">
        <v>2992.5</v>
      </c>
      <c r="J1266">
        <v>5</v>
      </c>
    </row>
    <row r="1267" spans="1:10">
      <c r="A1267" t="s">
        <v>1637</v>
      </c>
      <c r="B1267" t="s">
        <v>1633</v>
      </c>
      <c r="C1267">
        <v>46</v>
      </c>
      <c r="D1267">
        <v>11</v>
      </c>
      <c r="E1267" t="s">
        <v>1516</v>
      </c>
      <c r="F1267" t="s">
        <v>80</v>
      </c>
      <c r="G1267" t="s">
        <v>14</v>
      </c>
      <c r="H1267">
        <v>3</v>
      </c>
      <c r="I1267">
        <v>400</v>
      </c>
      <c r="J1267">
        <v>0</v>
      </c>
    </row>
    <row r="1268" spans="1:10">
      <c r="A1268" t="s">
        <v>1638</v>
      </c>
      <c r="B1268" t="s">
        <v>1633</v>
      </c>
      <c r="C1268">
        <v>46</v>
      </c>
      <c r="D1268">
        <v>11</v>
      </c>
      <c r="E1268" t="s">
        <v>1516</v>
      </c>
      <c r="F1268" t="s">
        <v>80</v>
      </c>
      <c r="G1268" t="s">
        <v>14</v>
      </c>
      <c r="H1268">
        <v>1</v>
      </c>
      <c r="I1268">
        <v>400</v>
      </c>
      <c r="J1268">
        <v>0</v>
      </c>
    </row>
    <row r="1269" spans="1:10">
      <c r="A1269" t="s">
        <v>1639</v>
      </c>
      <c r="B1269" t="s">
        <v>1633</v>
      </c>
      <c r="C1269">
        <v>46</v>
      </c>
      <c r="D1269">
        <v>11</v>
      </c>
      <c r="E1269" t="s">
        <v>1516</v>
      </c>
      <c r="F1269" t="s">
        <v>42</v>
      </c>
      <c r="G1269" t="s">
        <v>23</v>
      </c>
      <c r="H1269">
        <v>1</v>
      </c>
      <c r="I1269">
        <v>600</v>
      </c>
      <c r="J1269">
        <v>0</v>
      </c>
    </row>
    <row r="1270" spans="1:10">
      <c r="A1270" t="s">
        <v>1640</v>
      </c>
      <c r="B1270" t="s">
        <v>1633</v>
      </c>
      <c r="C1270">
        <v>46</v>
      </c>
      <c r="D1270">
        <v>11</v>
      </c>
      <c r="E1270" t="s">
        <v>1516</v>
      </c>
      <c r="F1270" t="s">
        <v>119</v>
      </c>
      <c r="G1270" t="s">
        <v>14</v>
      </c>
      <c r="H1270">
        <v>4</v>
      </c>
      <c r="I1270">
        <v>770</v>
      </c>
      <c r="J1270">
        <v>0</v>
      </c>
    </row>
    <row r="1271" spans="1:10">
      <c r="A1271" t="s">
        <v>1641</v>
      </c>
      <c r="B1271" t="s">
        <v>1633</v>
      </c>
      <c r="C1271">
        <v>46</v>
      </c>
      <c r="D1271">
        <v>11</v>
      </c>
      <c r="E1271" t="s">
        <v>1516</v>
      </c>
      <c r="F1271" t="s">
        <v>13</v>
      </c>
      <c r="G1271" t="s">
        <v>14</v>
      </c>
      <c r="H1271">
        <v>3</v>
      </c>
      <c r="I1271">
        <v>480</v>
      </c>
      <c r="J1271">
        <v>0</v>
      </c>
    </row>
    <row r="1272" spans="1:10">
      <c r="A1272" t="s">
        <v>1642</v>
      </c>
      <c r="B1272" t="s">
        <v>1633</v>
      </c>
      <c r="C1272">
        <v>46</v>
      </c>
      <c r="D1272">
        <v>11</v>
      </c>
      <c r="E1272" t="s">
        <v>1516</v>
      </c>
      <c r="F1272" t="s">
        <v>68</v>
      </c>
      <c r="G1272" t="s">
        <v>26</v>
      </c>
      <c r="H1272">
        <v>2</v>
      </c>
      <c r="I1272">
        <v>361</v>
      </c>
      <c r="J1272">
        <v>5</v>
      </c>
    </row>
    <row r="1273" spans="1:10">
      <c r="A1273" t="s">
        <v>1643</v>
      </c>
      <c r="B1273" t="s">
        <v>1633</v>
      </c>
      <c r="C1273">
        <v>46</v>
      </c>
      <c r="D1273">
        <v>11</v>
      </c>
      <c r="E1273" t="s">
        <v>1516</v>
      </c>
      <c r="F1273" t="s">
        <v>82</v>
      </c>
      <c r="G1273" t="s">
        <v>20</v>
      </c>
      <c r="H1273">
        <v>2</v>
      </c>
      <c r="I1273">
        <v>810</v>
      </c>
      <c r="J1273">
        <v>10</v>
      </c>
    </row>
    <row r="1274" spans="1:10">
      <c r="A1274" t="s">
        <v>1644</v>
      </c>
      <c r="B1274" t="s">
        <v>1645</v>
      </c>
      <c r="C1274">
        <v>47</v>
      </c>
      <c r="D1274">
        <v>11</v>
      </c>
      <c r="E1274" t="s">
        <v>1516</v>
      </c>
      <c r="F1274" t="s">
        <v>119</v>
      </c>
      <c r="G1274" t="s">
        <v>14</v>
      </c>
      <c r="H1274">
        <v>2</v>
      </c>
      <c r="I1274">
        <v>693</v>
      </c>
      <c r="J1274">
        <v>10</v>
      </c>
    </row>
    <row r="1275" spans="1:10">
      <c r="A1275" t="s">
        <v>1646</v>
      </c>
      <c r="B1275" t="s">
        <v>1645</v>
      </c>
      <c r="C1275">
        <v>47</v>
      </c>
      <c r="D1275">
        <v>11</v>
      </c>
      <c r="E1275" t="s">
        <v>1516</v>
      </c>
      <c r="F1275" t="s">
        <v>68</v>
      </c>
      <c r="G1275" t="s">
        <v>26</v>
      </c>
      <c r="H1275">
        <v>1</v>
      </c>
      <c r="I1275">
        <v>380</v>
      </c>
      <c r="J1275">
        <v>0</v>
      </c>
    </row>
    <row r="1276" spans="1:10">
      <c r="A1276" t="s">
        <v>1647</v>
      </c>
      <c r="B1276" t="s">
        <v>1645</v>
      </c>
      <c r="C1276">
        <v>47</v>
      </c>
      <c r="D1276">
        <v>11</v>
      </c>
      <c r="E1276" t="s">
        <v>1516</v>
      </c>
      <c r="F1276" t="s">
        <v>13</v>
      </c>
      <c r="G1276" t="s">
        <v>14</v>
      </c>
      <c r="H1276">
        <v>4</v>
      </c>
      <c r="I1276">
        <v>480</v>
      </c>
      <c r="J1276">
        <v>0</v>
      </c>
    </row>
    <row r="1277" spans="1:10">
      <c r="A1277" t="s">
        <v>1648</v>
      </c>
      <c r="B1277" t="s">
        <v>1645</v>
      </c>
      <c r="C1277">
        <v>47</v>
      </c>
      <c r="D1277">
        <v>11</v>
      </c>
      <c r="E1277" t="s">
        <v>1516</v>
      </c>
      <c r="F1277" t="s">
        <v>39</v>
      </c>
      <c r="G1277" t="s">
        <v>14</v>
      </c>
      <c r="H1277">
        <v>5</v>
      </c>
      <c r="I1277">
        <v>792</v>
      </c>
      <c r="J1277">
        <v>10</v>
      </c>
    </row>
    <row r="1278" spans="1:10">
      <c r="A1278" t="s">
        <v>1649</v>
      </c>
      <c r="B1278" t="s">
        <v>1645</v>
      </c>
      <c r="C1278">
        <v>47</v>
      </c>
      <c r="D1278">
        <v>11</v>
      </c>
      <c r="E1278" t="s">
        <v>1516</v>
      </c>
      <c r="F1278" t="s">
        <v>94</v>
      </c>
      <c r="G1278" t="s">
        <v>17</v>
      </c>
      <c r="H1278">
        <v>4</v>
      </c>
      <c r="I1278">
        <v>1428</v>
      </c>
      <c r="J1278">
        <v>15</v>
      </c>
    </row>
    <row r="1279" spans="1:10">
      <c r="A1279" t="s">
        <v>1650</v>
      </c>
      <c r="B1279" t="s">
        <v>1651</v>
      </c>
      <c r="C1279">
        <v>47</v>
      </c>
      <c r="D1279">
        <v>11</v>
      </c>
      <c r="E1279" t="s">
        <v>1516</v>
      </c>
      <c r="F1279" t="s">
        <v>42</v>
      </c>
      <c r="G1279" t="s">
        <v>23</v>
      </c>
      <c r="H1279">
        <v>1</v>
      </c>
      <c r="I1279">
        <v>600</v>
      </c>
      <c r="J1279">
        <v>0</v>
      </c>
    </row>
    <row r="1280" spans="1:10">
      <c r="A1280" t="s">
        <v>1652</v>
      </c>
      <c r="B1280" t="s">
        <v>1653</v>
      </c>
      <c r="C1280">
        <v>47</v>
      </c>
      <c r="D1280">
        <v>11</v>
      </c>
      <c r="E1280" t="s">
        <v>1516</v>
      </c>
      <c r="F1280" t="s">
        <v>80</v>
      </c>
      <c r="G1280" t="s">
        <v>14</v>
      </c>
      <c r="H1280">
        <v>5</v>
      </c>
      <c r="I1280">
        <v>360</v>
      </c>
      <c r="J1280">
        <v>10</v>
      </c>
    </row>
    <row r="1281" spans="1:10">
      <c r="A1281" t="s">
        <v>1654</v>
      </c>
      <c r="B1281" t="s">
        <v>1653</v>
      </c>
      <c r="C1281">
        <v>47</v>
      </c>
      <c r="D1281">
        <v>11</v>
      </c>
      <c r="E1281" t="s">
        <v>1516</v>
      </c>
      <c r="F1281" t="s">
        <v>115</v>
      </c>
      <c r="G1281" t="s">
        <v>23</v>
      </c>
      <c r="H1281">
        <v>4</v>
      </c>
      <c r="I1281">
        <v>1140</v>
      </c>
      <c r="J1281">
        <v>5</v>
      </c>
    </row>
    <row r="1282" spans="1:10">
      <c r="A1282" t="s">
        <v>1655</v>
      </c>
      <c r="B1282" t="s">
        <v>1653</v>
      </c>
      <c r="C1282">
        <v>47</v>
      </c>
      <c r="D1282">
        <v>11</v>
      </c>
      <c r="E1282" t="s">
        <v>1516</v>
      </c>
      <c r="F1282" t="s">
        <v>119</v>
      </c>
      <c r="G1282" t="s">
        <v>14</v>
      </c>
      <c r="H1282">
        <v>4</v>
      </c>
      <c r="I1282">
        <v>654.5</v>
      </c>
      <c r="J1282">
        <v>15</v>
      </c>
    </row>
    <row r="1283" spans="1:10">
      <c r="A1283" t="s">
        <v>1656</v>
      </c>
      <c r="B1283" t="s">
        <v>1653</v>
      </c>
      <c r="C1283">
        <v>47</v>
      </c>
      <c r="D1283">
        <v>11</v>
      </c>
      <c r="E1283" t="s">
        <v>1516</v>
      </c>
      <c r="F1283" t="s">
        <v>58</v>
      </c>
      <c r="G1283" t="s">
        <v>23</v>
      </c>
      <c r="H1283">
        <v>1</v>
      </c>
      <c r="I1283">
        <v>1000</v>
      </c>
      <c r="J1283">
        <v>0</v>
      </c>
    </row>
    <row r="1284" spans="1:10">
      <c r="A1284" t="s">
        <v>1657</v>
      </c>
      <c r="B1284" t="s">
        <v>1653</v>
      </c>
      <c r="C1284">
        <v>47</v>
      </c>
      <c r="D1284">
        <v>11</v>
      </c>
      <c r="E1284" t="s">
        <v>1516</v>
      </c>
      <c r="F1284" t="s">
        <v>39</v>
      </c>
      <c r="G1284" t="s">
        <v>14</v>
      </c>
      <c r="H1284">
        <v>4</v>
      </c>
      <c r="I1284">
        <v>880</v>
      </c>
      <c r="J1284">
        <v>0</v>
      </c>
    </row>
    <row r="1285" spans="1:10">
      <c r="A1285" t="s">
        <v>1658</v>
      </c>
      <c r="B1285" t="s">
        <v>1653</v>
      </c>
      <c r="C1285">
        <v>47</v>
      </c>
      <c r="D1285">
        <v>11</v>
      </c>
      <c r="E1285" t="s">
        <v>1516</v>
      </c>
      <c r="F1285" t="s">
        <v>82</v>
      </c>
      <c r="G1285" t="s">
        <v>20</v>
      </c>
      <c r="H1285">
        <v>5</v>
      </c>
      <c r="I1285">
        <v>900</v>
      </c>
      <c r="J1285">
        <v>0</v>
      </c>
    </row>
    <row r="1286" spans="1:10">
      <c r="A1286" t="s">
        <v>1659</v>
      </c>
      <c r="B1286" t="s">
        <v>1653</v>
      </c>
      <c r="C1286">
        <v>47</v>
      </c>
      <c r="D1286">
        <v>11</v>
      </c>
      <c r="E1286" t="s">
        <v>1516</v>
      </c>
      <c r="F1286" t="s">
        <v>66</v>
      </c>
      <c r="G1286" t="s">
        <v>17</v>
      </c>
      <c r="H1286">
        <v>1</v>
      </c>
      <c r="I1286">
        <v>1323</v>
      </c>
      <c r="J1286">
        <v>10</v>
      </c>
    </row>
    <row r="1287" spans="1:10">
      <c r="A1287" t="s">
        <v>1660</v>
      </c>
      <c r="B1287" t="s">
        <v>1661</v>
      </c>
      <c r="C1287">
        <v>47</v>
      </c>
      <c r="D1287">
        <v>11</v>
      </c>
      <c r="E1287" t="s">
        <v>1516</v>
      </c>
      <c r="F1287" t="s">
        <v>146</v>
      </c>
      <c r="G1287" t="s">
        <v>20</v>
      </c>
      <c r="H1287">
        <v>1</v>
      </c>
      <c r="I1287">
        <v>598.5</v>
      </c>
      <c r="J1287">
        <v>5</v>
      </c>
    </row>
    <row r="1288" spans="1:10">
      <c r="A1288" t="s">
        <v>1662</v>
      </c>
      <c r="B1288" t="s">
        <v>1661</v>
      </c>
      <c r="C1288">
        <v>47</v>
      </c>
      <c r="D1288">
        <v>11</v>
      </c>
      <c r="E1288" t="s">
        <v>1516</v>
      </c>
      <c r="F1288" t="s">
        <v>28</v>
      </c>
      <c r="G1288" t="s">
        <v>26</v>
      </c>
      <c r="H1288">
        <v>3</v>
      </c>
      <c r="I1288">
        <v>1350</v>
      </c>
      <c r="J1288">
        <v>10</v>
      </c>
    </row>
    <row r="1289" spans="1:10">
      <c r="A1289" t="s">
        <v>1663</v>
      </c>
      <c r="B1289" t="s">
        <v>1661</v>
      </c>
      <c r="C1289">
        <v>47</v>
      </c>
      <c r="D1289">
        <v>11</v>
      </c>
      <c r="E1289" t="s">
        <v>1516</v>
      </c>
      <c r="F1289" t="s">
        <v>39</v>
      </c>
      <c r="G1289" t="s">
        <v>14</v>
      </c>
      <c r="H1289">
        <v>2</v>
      </c>
      <c r="I1289">
        <v>880</v>
      </c>
      <c r="J1289">
        <v>0</v>
      </c>
    </row>
    <row r="1290" spans="1:10">
      <c r="A1290" t="s">
        <v>1664</v>
      </c>
      <c r="B1290" t="s">
        <v>1661</v>
      </c>
      <c r="C1290">
        <v>47</v>
      </c>
      <c r="D1290">
        <v>11</v>
      </c>
      <c r="E1290" t="s">
        <v>1516</v>
      </c>
      <c r="F1290" t="s">
        <v>119</v>
      </c>
      <c r="G1290" t="s">
        <v>14</v>
      </c>
      <c r="H1290">
        <v>3</v>
      </c>
      <c r="I1290">
        <v>770</v>
      </c>
      <c r="J1290">
        <v>0</v>
      </c>
    </row>
    <row r="1291" spans="1:10">
      <c r="A1291" t="s">
        <v>1665</v>
      </c>
      <c r="B1291" t="s">
        <v>1661</v>
      </c>
      <c r="C1291">
        <v>47</v>
      </c>
      <c r="D1291">
        <v>11</v>
      </c>
      <c r="E1291" t="s">
        <v>1516</v>
      </c>
      <c r="F1291" t="s">
        <v>28</v>
      </c>
      <c r="G1291" t="s">
        <v>26</v>
      </c>
      <c r="H1291">
        <v>1</v>
      </c>
      <c r="I1291">
        <v>1500</v>
      </c>
      <c r="J1291">
        <v>0</v>
      </c>
    </row>
    <row r="1292" spans="1:10">
      <c r="A1292" t="s">
        <v>1666</v>
      </c>
      <c r="B1292" t="s">
        <v>1661</v>
      </c>
      <c r="C1292">
        <v>47</v>
      </c>
      <c r="D1292">
        <v>11</v>
      </c>
      <c r="E1292" t="s">
        <v>1516</v>
      </c>
      <c r="F1292" t="s">
        <v>31</v>
      </c>
      <c r="G1292" t="s">
        <v>23</v>
      </c>
      <c r="H1292">
        <v>3</v>
      </c>
      <c r="I1292">
        <v>1260</v>
      </c>
      <c r="J1292">
        <v>10</v>
      </c>
    </row>
    <row r="1293" spans="1:10">
      <c r="A1293" t="s">
        <v>1667</v>
      </c>
      <c r="B1293" t="s">
        <v>1661</v>
      </c>
      <c r="C1293">
        <v>47</v>
      </c>
      <c r="D1293">
        <v>11</v>
      </c>
      <c r="E1293" t="s">
        <v>1516</v>
      </c>
      <c r="F1293" t="s">
        <v>35</v>
      </c>
      <c r="G1293" t="s">
        <v>17</v>
      </c>
      <c r="H1293">
        <v>4</v>
      </c>
      <c r="I1293">
        <v>3150</v>
      </c>
      <c r="J1293">
        <v>0</v>
      </c>
    </row>
    <row r="1294" spans="1:10">
      <c r="A1294" t="s">
        <v>1668</v>
      </c>
      <c r="B1294" t="s">
        <v>1669</v>
      </c>
      <c r="C1294">
        <v>47</v>
      </c>
      <c r="D1294">
        <v>11</v>
      </c>
      <c r="E1294" t="s">
        <v>1516</v>
      </c>
      <c r="F1294" t="s">
        <v>28</v>
      </c>
      <c r="G1294" t="s">
        <v>26</v>
      </c>
      <c r="H1294">
        <v>2</v>
      </c>
      <c r="I1294">
        <v>1500</v>
      </c>
      <c r="J1294">
        <v>0</v>
      </c>
    </row>
    <row r="1295" spans="1:10">
      <c r="A1295" t="s">
        <v>1670</v>
      </c>
      <c r="B1295" t="s">
        <v>1669</v>
      </c>
      <c r="C1295">
        <v>47</v>
      </c>
      <c r="D1295">
        <v>11</v>
      </c>
      <c r="E1295" t="s">
        <v>1516</v>
      </c>
      <c r="F1295" t="s">
        <v>115</v>
      </c>
      <c r="G1295" t="s">
        <v>23</v>
      </c>
      <c r="H1295">
        <v>4</v>
      </c>
      <c r="I1295">
        <v>1020</v>
      </c>
      <c r="J1295">
        <v>15</v>
      </c>
    </row>
    <row r="1296" spans="1:10">
      <c r="A1296" t="s">
        <v>1671</v>
      </c>
      <c r="B1296" t="s">
        <v>1669</v>
      </c>
      <c r="C1296">
        <v>47</v>
      </c>
      <c r="D1296">
        <v>11</v>
      </c>
      <c r="E1296" t="s">
        <v>1516</v>
      </c>
      <c r="F1296" t="s">
        <v>82</v>
      </c>
      <c r="G1296" t="s">
        <v>20</v>
      </c>
      <c r="H1296">
        <v>5</v>
      </c>
      <c r="I1296">
        <v>855</v>
      </c>
      <c r="J1296">
        <v>5</v>
      </c>
    </row>
    <row r="1297" spans="1:10">
      <c r="A1297" t="s">
        <v>1672</v>
      </c>
      <c r="B1297" t="s">
        <v>1669</v>
      </c>
      <c r="C1297">
        <v>47</v>
      </c>
      <c r="D1297">
        <v>11</v>
      </c>
      <c r="E1297" t="s">
        <v>1516</v>
      </c>
      <c r="F1297" t="s">
        <v>146</v>
      </c>
      <c r="G1297" t="s">
        <v>20</v>
      </c>
      <c r="H1297">
        <v>2</v>
      </c>
      <c r="I1297">
        <v>630</v>
      </c>
      <c r="J1297">
        <v>0</v>
      </c>
    </row>
    <row r="1298" spans="1:10">
      <c r="A1298" t="s">
        <v>1673</v>
      </c>
      <c r="B1298" t="s">
        <v>1669</v>
      </c>
      <c r="C1298">
        <v>47</v>
      </c>
      <c r="D1298">
        <v>11</v>
      </c>
      <c r="E1298" t="s">
        <v>1516</v>
      </c>
      <c r="F1298" t="s">
        <v>28</v>
      </c>
      <c r="G1298" t="s">
        <v>26</v>
      </c>
      <c r="H1298">
        <v>1</v>
      </c>
      <c r="I1298">
        <v>1500</v>
      </c>
      <c r="J1298">
        <v>0</v>
      </c>
    </row>
    <row r="1299" spans="1:10">
      <c r="A1299" t="s">
        <v>1674</v>
      </c>
      <c r="B1299" t="s">
        <v>1675</v>
      </c>
      <c r="C1299">
        <v>47</v>
      </c>
      <c r="D1299">
        <v>11</v>
      </c>
      <c r="E1299" t="s">
        <v>1516</v>
      </c>
      <c r="F1299" t="s">
        <v>35</v>
      </c>
      <c r="G1299" t="s">
        <v>17</v>
      </c>
      <c r="H1299">
        <v>1</v>
      </c>
      <c r="I1299">
        <v>2992.5</v>
      </c>
      <c r="J1299">
        <v>5</v>
      </c>
    </row>
    <row r="1300" spans="1:10">
      <c r="A1300" t="s">
        <v>1676</v>
      </c>
      <c r="B1300" t="s">
        <v>1675</v>
      </c>
      <c r="C1300">
        <v>47</v>
      </c>
      <c r="D1300">
        <v>11</v>
      </c>
      <c r="E1300" t="s">
        <v>1516</v>
      </c>
      <c r="F1300" t="s">
        <v>51</v>
      </c>
      <c r="G1300" t="s">
        <v>26</v>
      </c>
      <c r="H1300">
        <v>2</v>
      </c>
      <c r="I1300">
        <v>500</v>
      </c>
      <c r="J1300">
        <v>0</v>
      </c>
    </row>
    <row r="1301" spans="1:10">
      <c r="A1301" t="s">
        <v>1677</v>
      </c>
      <c r="B1301" t="s">
        <v>1675</v>
      </c>
      <c r="C1301">
        <v>47</v>
      </c>
      <c r="D1301">
        <v>11</v>
      </c>
      <c r="E1301" t="s">
        <v>1516</v>
      </c>
      <c r="F1301" t="s">
        <v>94</v>
      </c>
      <c r="G1301" t="s">
        <v>17</v>
      </c>
      <c r="H1301">
        <v>5</v>
      </c>
      <c r="I1301">
        <v>1680</v>
      </c>
      <c r="J1301">
        <v>0</v>
      </c>
    </row>
    <row r="1302" spans="1:10">
      <c r="A1302" t="s">
        <v>1678</v>
      </c>
      <c r="B1302" t="s">
        <v>1675</v>
      </c>
      <c r="C1302">
        <v>47</v>
      </c>
      <c r="D1302">
        <v>11</v>
      </c>
      <c r="E1302" t="s">
        <v>1516</v>
      </c>
      <c r="F1302" t="s">
        <v>187</v>
      </c>
      <c r="G1302" t="s">
        <v>14</v>
      </c>
      <c r="H1302">
        <v>3</v>
      </c>
      <c r="I1302">
        <v>3740</v>
      </c>
      <c r="J1302">
        <v>15</v>
      </c>
    </row>
    <row r="1303" spans="1:10">
      <c r="A1303" t="s">
        <v>1679</v>
      </c>
      <c r="B1303" t="s">
        <v>1675</v>
      </c>
      <c r="C1303">
        <v>47</v>
      </c>
      <c r="D1303">
        <v>11</v>
      </c>
      <c r="E1303" t="s">
        <v>1516</v>
      </c>
      <c r="F1303" t="s">
        <v>31</v>
      </c>
      <c r="G1303" t="s">
        <v>23</v>
      </c>
      <c r="H1303">
        <v>4</v>
      </c>
      <c r="I1303">
        <v>1330</v>
      </c>
      <c r="J1303">
        <v>5</v>
      </c>
    </row>
    <row r="1304" spans="1:10">
      <c r="A1304" t="s">
        <v>1680</v>
      </c>
      <c r="B1304" t="s">
        <v>1681</v>
      </c>
      <c r="C1304">
        <v>47</v>
      </c>
      <c r="D1304">
        <v>11</v>
      </c>
      <c r="E1304" t="s">
        <v>1516</v>
      </c>
      <c r="F1304" t="s">
        <v>86</v>
      </c>
      <c r="G1304" t="s">
        <v>17</v>
      </c>
      <c r="H1304">
        <v>3</v>
      </c>
      <c r="I1304">
        <v>893</v>
      </c>
      <c r="J1304">
        <v>5</v>
      </c>
    </row>
    <row r="1305" spans="1:10">
      <c r="A1305" t="s">
        <v>1682</v>
      </c>
      <c r="B1305" t="s">
        <v>1681</v>
      </c>
      <c r="C1305">
        <v>47</v>
      </c>
      <c r="D1305">
        <v>11</v>
      </c>
      <c r="E1305" t="s">
        <v>1516</v>
      </c>
      <c r="F1305" t="s">
        <v>119</v>
      </c>
      <c r="G1305" t="s">
        <v>14</v>
      </c>
      <c r="H1305">
        <v>5</v>
      </c>
      <c r="I1305">
        <v>770</v>
      </c>
      <c r="J1305">
        <v>0</v>
      </c>
    </row>
    <row r="1306" spans="1:10">
      <c r="A1306" t="s">
        <v>1683</v>
      </c>
      <c r="B1306" t="s">
        <v>1681</v>
      </c>
      <c r="C1306">
        <v>47</v>
      </c>
      <c r="D1306">
        <v>11</v>
      </c>
      <c r="E1306" t="s">
        <v>1516</v>
      </c>
      <c r="F1306" t="s">
        <v>42</v>
      </c>
      <c r="G1306" t="s">
        <v>23</v>
      </c>
      <c r="H1306">
        <v>3</v>
      </c>
      <c r="I1306">
        <v>570</v>
      </c>
      <c r="J1306">
        <v>5</v>
      </c>
    </row>
    <row r="1307" spans="1:10">
      <c r="A1307" t="s">
        <v>1684</v>
      </c>
      <c r="B1307" t="s">
        <v>1681</v>
      </c>
      <c r="C1307">
        <v>47</v>
      </c>
      <c r="D1307">
        <v>11</v>
      </c>
      <c r="E1307" t="s">
        <v>1516</v>
      </c>
      <c r="F1307" t="s">
        <v>35</v>
      </c>
      <c r="G1307" t="s">
        <v>17</v>
      </c>
      <c r="H1307">
        <v>3</v>
      </c>
      <c r="I1307">
        <v>2677.5</v>
      </c>
      <c r="J1307">
        <v>15</v>
      </c>
    </row>
    <row r="1308" spans="1:10">
      <c r="A1308" t="s">
        <v>1685</v>
      </c>
      <c r="B1308" t="s">
        <v>1681</v>
      </c>
      <c r="C1308">
        <v>47</v>
      </c>
      <c r="D1308">
        <v>11</v>
      </c>
      <c r="E1308" t="s">
        <v>1516</v>
      </c>
      <c r="F1308" t="s">
        <v>68</v>
      </c>
      <c r="G1308" t="s">
        <v>26</v>
      </c>
      <c r="H1308">
        <v>2</v>
      </c>
      <c r="I1308">
        <v>361</v>
      </c>
      <c r="J1308">
        <v>5</v>
      </c>
    </row>
    <row r="1309" spans="1:10">
      <c r="A1309" t="s">
        <v>1686</v>
      </c>
      <c r="B1309" t="s">
        <v>1687</v>
      </c>
      <c r="C1309">
        <v>48</v>
      </c>
      <c r="D1309">
        <v>11</v>
      </c>
      <c r="E1309" t="s">
        <v>1516</v>
      </c>
      <c r="F1309" t="s">
        <v>19</v>
      </c>
      <c r="G1309" t="s">
        <v>20</v>
      </c>
      <c r="H1309">
        <v>4</v>
      </c>
      <c r="I1309">
        <v>1539</v>
      </c>
      <c r="J1309">
        <v>5</v>
      </c>
    </row>
    <row r="1310" spans="1:10">
      <c r="A1310" t="s">
        <v>1688</v>
      </c>
      <c r="B1310" t="s">
        <v>1687</v>
      </c>
      <c r="C1310">
        <v>48</v>
      </c>
      <c r="D1310">
        <v>11</v>
      </c>
      <c r="E1310" t="s">
        <v>1516</v>
      </c>
      <c r="F1310" t="s">
        <v>13</v>
      </c>
      <c r="G1310" t="s">
        <v>14</v>
      </c>
      <c r="H1310">
        <v>5</v>
      </c>
      <c r="I1310">
        <v>432</v>
      </c>
      <c r="J1310">
        <v>10</v>
      </c>
    </row>
    <row r="1311" spans="1:10">
      <c r="A1311" t="s">
        <v>1689</v>
      </c>
      <c r="B1311" t="s">
        <v>1687</v>
      </c>
      <c r="C1311">
        <v>48</v>
      </c>
      <c r="D1311">
        <v>11</v>
      </c>
      <c r="E1311" t="s">
        <v>1516</v>
      </c>
      <c r="F1311" t="s">
        <v>35</v>
      </c>
      <c r="G1311" t="s">
        <v>17</v>
      </c>
      <c r="H1311">
        <v>4</v>
      </c>
      <c r="I1311">
        <v>3150</v>
      </c>
      <c r="J1311">
        <v>0</v>
      </c>
    </row>
    <row r="1312" spans="1:10">
      <c r="A1312" t="s">
        <v>1690</v>
      </c>
      <c r="B1312" t="s">
        <v>1687</v>
      </c>
      <c r="C1312">
        <v>48</v>
      </c>
      <c r="D1312">
        <v>11</v>
      </c>
      <c r="E1312" t="s">
        <v>1516</v>
      </c>
      <c r="F1312" t="s">
        <v>28</v>
      </c>
      <c r="G1312" t="s">
        <v>26</v>
      </c>
      <c r="H1312">
        <v>5</v>
      </c>
      <c r="I1312">
        <v>1500</v>
      </c>
      <c r="J1312">
        <v>0</v>
      </c>
    </row>
    <row r="1313" spans="1:10">
      <c r="A1313" t="s">
        <v>1691</v>
      </c>
      <c r="B1313" t="s">
        <v>1687</v>
      </c>
      <c r="C1313">
        <v>48</v>
      </c>
      <c r="D1313">
        <v>11</v>
      </c>
      <c r="E1313" t="s">
        <v>1516</v>
      </c>
      <c r="F1313" t="s">
        <v>22</v>
      </c>
      <c r="G1313" t="s">
        <v>23</v>
      </c>
      <c r="H1313">
        <v>3</v>
      </c>
      <c r="I1313">
        <v>425</v>
      </c>
      <c r="J1313">
        <v>15</v>
      </c>
    </row>
    <row r="1314" spans="1:10">
      <c r="A1314" t="s">
        <v>1692</v>
      </c>
      <c r="B1314" t="s">
        <v>1687</v>
      </c>
      <c r="C1314">
        <v>48</v>
      </c>
      <c r="D1314">
        <v>11</v>
      </c>
      <c r="E1314" t="s">
        <v>1516</v>
      </c>
      <c r="F1314" t="s">
        <v>13</v>
      </c>
      <c r="G1314" t="s">
        <v>14</v>
      </c>
      <c r="H1314">
        <v>5</v>
      </c>
      <c r="I1314">
        <v>408</v>
      </c>
      <c r="J1314">
        <v>15</v>
      </c>
    </row>
    <row r="1315" spans="1:10">
      <c r="A1315" t="s">
        <v>1693</v>
      </c>
      <c r="B1315" t="s">
        <v>1687</v>
      </c>
      <c r="C1315">
        <v>48</v>
      </c>
      <c r="D1315">
        <v>11</v>
      </c>
      <c r="E1315" t="s">
        <v>1516</v>
      </c>
      <c r="F1315" t="s">
        <v>97</v>
      </c>
      <c r="G1315" t="s">
        <v>20</v>
      </c>
      <c r="H1315">
        <v>5</v>
      </c>
      <c r="I1315">
        <v>1980</v>
      </c>
      <c r="J1315">
        <v>0</v>
      </c>
    </row>
    <row r="1316" spans="1:10">
      <c r="A1316" t="s">
        <v>1694</v>
      </c>
      <c r="B1316" t="s">
        <v>1687</v>
      </c>
      <c r="C1316">
        <v>48</v>
      </c>
      <c r="D1316">
        <v>11</v>
      </c>
      <c r="E1316" t="s">
        <v>1516</v>
      </c>
      <c r="F1316" t="s">
        <v>19</v>
      </c>
      <c r="G1316" t="s">
        <v>20</v>
      </c>
      <c r="H1316">
        <v>3</v>
      </c>
      <c r="I1316">
        <v>1539</v>
      </c>
      <c r="J1316">
        <v>5</v>
      </c>
    </row>
    <row r="1317" spans="1:10">
      <c r="A1317" t="s">
        <v>1695</v>
      </c>
      <c r="B1317" t="s">
        <v>1696</v>
      </c>
      <c r="C1317">
        <v>48</v>
      </c>
      <c r="D1317">
        <v>11</v>
      </c>
      <c r="E1317" t="s">
        <v>1516</v>
      </c>
      <c r="F1317" t="s">
        <v>28</v>
      </c>
      <c r="G1317" t="s">
        <v>26</v>
      </c>
      <c r="H1317">
        <v>1</v>
      </c>
      <c r="I1317">
        <v>1500</v>
      </c>
      <c r="J1317">
        <v>0</v>
      </c>
    </row>
    <row r="1318" spans="1:10">
      <c r="A1318" t="s">
        <v>1697</v>
      </c>
      <c r="B1318" t="s">
        <v>1696</v>
      </c>
      <c r="C1318">
        <v>48</v>
      </c>
      <c r="D1318">
        <v>11</v>
      </c>
      <c r="E1318" t="s">
        <v>1516</v>
      </c>
      <c r="F1318" t="s">
        <v>146</v>
      </c>
      <c r="G1318" t="s">
        <v>20</v>
      </c>
      <c r="H1318">
        <v>4</v>
      </c>
      <c r="I1318">
        <v>630</v>
      </c>
      <c r="J1318">
        <v>0</v>
      </c>
    </row>
    <row r="1319" spans="1:10">
      <c r="A1319" t="s">
        <v>1698</v>
      </c>
      <c r="B1319" t="s">
        <v>1696</v>
      </c>
      <c r="C1319">
        <v>48</v>
      </c>
      <c r="D1319">
        <v>11</v>
      </c>
      <c r="E1319" t="s">
        <v>1516</v>
      </c>
      <c r="F1319" t="s">
        <v>119</v>
      </c>
      <c r="G1319" t="s">
        <v>14</v>
      </c>
      <c r="H1319">
        <v>4</v>
      </c>
      <c r="I1319">
        <v>770</v>
      </c>
      <c r="J1319">
        <v>0</v>
      </c>
    </row>
    <row r="1320" spans="1:10">
      <c r="A1320" t="s">
        <v>1699</v>
      </c>
      <c r="B1320" t="s">
        <v>1696</v>
      </c>
      <c r="C1320">
        <v>48</v>
      </c>
      <c r="D1320">
        <v>11</v>
      </c>
      <c r="E1320" t="s">
        <v>1516</v>
      </c>
      <c r="F1320" t="s">
        <v>80</v>
      </c>
      <c r="G1320" t="s">
        <v>14</v>
      </c>
      <c r="H1320">
        <v>1</v>
      </c>
      <c r="I1320">
        <v>340</v>
      </c>
      <c r="J1320">
        <v>15</v>
      </c>
    </row>
    <row r="1321" spans="1:10">
      <c r="A1321" t="s">
        <v>1700</v>
      </c>
      <c r="B1321" t="s">
        <v>1696</v>
      </c>
      <c r="C1321">
        <v>48</v>
      </c>
      <c r="D1321">
        <v>11</v>
      </c>
      <c r="E1321" t="s">
        <v>1516</v>
      </c>
      <c r="F1321" t="s">
        <v>86</v>
      </c>
      <c r="G1321" t="s">
        <v>17</v>
      </c>
      <c r="H1321">
        <v>1</v>
      </c>
      <c r="I1321">
        <v>940</v>
      </c>
      <c r="J1321">
        <v>0</v>
      </c>
    </row>
    <row r="1322" spans="1:10">
      <c r="A1322" t="s">
        <v>1701</v>
      </c>
      <c r="B1322" t="s">
        <v>1696</v>
      </c>
      <c r="C1322">
        <v>48</v>
      </c>
      <c r="D1322">
        <v>11</v>
      </c>
      <c r="E1322" t="s">
        <v>1516</v>
      </c>
      <c r="F1322" t="s">
        <v>119</v>
      </c>
      <c r="G1322" t="s">
        <v>14</v>
      </c>
      <c r="H1322">
        <v>5</v>
      </c>
      <c r="I1322">
        <v>654.5</v>
      </c>
      <c r="J1322">
        <v>15</v>
      </c>
    </row>
    <row r="1323" spans="1:10">
      <c r="A1323" t="s">
        <v>1702</v>
      </c>
      <c r="B1323" t="s">
        <v>1696</v>
      </c>
      <c r="C1323">
        <v>48</v>
      </c>
      <c r="D1323">
        <v>11</v>
      </c>
      <c r="E1323" t="s">
        <v>1516</v>
      </c>
      <c r="F1323" t="s">
        <v>58</v>
      </c>
      <c r="G1323" t="s">
        <v>23</v>
      </c>
      <c r="H1323">
        <v>1</v>
      </c>
      <c r="I1323">
        <v>1000</v>
      </c>
      <c r="J1323">
        <v>0</v>
      </c>
    </row>
    <row r="1324" spans="1:10">
      <c r="A1324" t="s">
        <v>1703</v>
      </c>
      <c r="B1324" t="s">
        <v>1696</v>
      </c>
      <c r="C1324">
        <v>48</v>
      </c>
      <c r="D1324">
        <v>11</v>
      </c>
      <c r="E1324" t="s">
        <v>1516</v>
      </c>
      <c r="F1324" t="s">
        <v>97</v>
      </c>
      <c r="G1324" t="s">
        <v>20</v>
      </c>
      <c r="H1324">
        <v>5</v>
      </c>
      <c r="I1324">
        <v>1782</v>
      </c>
      <c r="J1324">
        <v>10</v>
      </c>
    </row>
    <row r="1325" spans="1:10">
      <c r="A1325" t="s">
        <v>1704</v>
      </c>
      <c r="B1325" t="s">
        <v>1696</v>
      </c>
      <c r="C1325">
        <v>48</v>
      </c>
      <c r="D1325">
        <v>11</v>
      </c>
      <c r="E1325" t="s">
        <v>1516</v>
      </c>
      <c r="F1325" t="s">
        <v>97</v>
      </c>
      <c r="G1325" t="s">
        <v>20</v>
      </c>
      <c r="H1325">
        <v>2</v>
      </c>
      <c r="I1325">
        <v>1980</v>
      </c>
      <c r="J1325">
        <v>0</v>
      </c>
    </row>
    <row r="1326" spans="1:10">
      <c r="A1326" t="s">
        <v>1705</v>
      </c>
      <c r="B1326" t="s">
        <v>1706</v>
      </c>
      <c r="C1326">
        <v>48</v>
      </c>
      <c r="D1326">
        <v>11</v>
      </c>
      <c r="E1326" t="s">
        <v>1516</v>
      </c>
      <c r="F1326" t="s">
        <v>97</v>
      </c>
      <c r="G1326" t="s">
        <v>20</v>
      </c>
      <c r="H1326">
        <v>2</v>
      </c>
      <c r="I1326">
        <v>1782</v>
      </c>
      <c r="J1326">
        <v>10</v>
      </c>
    </row>
    <row r="1327" spans="1:10">
      <c r="A1327" t="s">
        <v>1707</v>
      </c>
      <c r="B1327" t="s">
        <v>1706</v>
      </c>
      <c r="C1327">
        <v>48</v>
      </c>
      <c r="D1327">
        <v>11</v>
      </c>
      <c r="E1327" t="s">
        <v>1516</v>
      </c>
      <c r="F1327" t="s">
        <v>80</v>
      </c>
      <c r="G1327" t="s">
        <v>14</v>
      </c>
      <c r="H1327">
        <v>4</v>
      </c>
      <c r="I1327">
        <v>340</v>
      </c>
      <c r="J1327">
        <v>15</v>
      </c>
    </row>
    <row r="1328" spans="1:10">
      <c r="A1328" t="s">
        <v>1708</v>
      </c>
      <c r="B1328" t="s">
        <v>1706</v>
      </c>
      <c r="C1328">
        <v>48</v>
      </c>
      <c r="D1328">
        <v>11</v>
      </c>
      <c r="E1328" t="s">
        <v>1516</v>
      </c>
      <c r="F1328" t="s">
        <v>68</v>
      </c>
      <c r="G1328" t="s">
        <v>26</v>
      </c>
      <c r="H1328">
        <v>1</v>
      </c>
      <c r="I1328">
        <v>380</v>
      </c>
      <c r="J1328">
        <v>0</v>
      </c>
    </row>
    <row r="1329" spans="1:10">
      <c r="A1329" t="s">
        <v>1709</v>
      </c>
      <c r="B1329" t="s">
        <v>1706</v>
      </c>
      <c r="C1329">
        <v>48</v>
      </c>
      <c r="D1329">
        <v>11</v>
      </c>
      <c r="E1329" t="s">
        <v>1516</v>
      </c>
      <c r="F1329" t="s">
        <v>35</v>
      </c>
      <c r="G1329" t="s">
        <v>17</v>
      </c>
      <c r="H1329">
        <v>4</v>
      </c>
      <c r="I1329">
        <v>2835</v>
      </c>
      <c r="J1329">
        <v>10</v>
      </c>
    </row>
    <row r="1330" spans="1:10">
      <c r="A1330" t="s">
        <v>1710</v>
      </c>
      <c r="B1330" t="s">
        <v>1711</v>
      </c>
      <c r="C1330">
        <v>48</v>
      </c>
      <c r="D1330">
        <v>11</v>
      </c>
      <c r="E1330" t="s">
        <v>1516</v>
      </c>
      <c r="F1330" t="s">
        <v>51</v>
      </c>
      <c r="G1330" t="s">
        <v>26</v>
      </c>
      <c r="H1330">
        <v>1</v>
      </c>
      <c r="I1330">
        <v>425</v>
      </c>
      <c r="J1330">
        <v>15</v>
      </c>
    </row>
    <row r="1331" spans="1:10">
      <c r="A1331" t="s">
        <v>1712</v>
      </c>
      <c r="B1331" t="s">
        <v>1711</v>
      </c>
      <c r="C1331">
        <v>48</v>
      </c>
      <c r="D1331">
        <v>11</v>
      </c>
      <c r="E1331" t="s">
        <v>1516</v>
      </c>
      <c r="F1331" t="s">
        <v>68</v>
      </c>
      <c r="G1331" t="s">
        <v>26</v>
      </c>
      <c r="H1331">
        <v>4</v>
      </c>
      <c r="I1331">
        <v>380</v>
      </c>
      <c r="J1331">
        <v>0</v>
      </c>
    </row>
    <row r="1332" spans="1:10">
      <c r="A1332" t="s">
        <v>1713</v>
      </c>
      <c r="B1332" t="s">
        <v>1711</v>
      </c>
      <c r="C1332">
        <v>48</v>
      </c>
      <c r="D1332">
        <v>11</v>
      </c>
      <c r="E1332" t="s">
        <v>1516</v>
      </c>
      <c r="F1332" t="s">
        <v>35</v>
      </c>
      <c r="G1332" t="s">
        <v>17</v>
      </c>
      <c r="H1332">
        <v>3</v>
      </c>
      <c r="I1332">
        <v>3150</v>
      </c>
      <c r="J1332">
        <v>0</v>
      </c>
    </row>
    <row r="1333" spans="1:10">
      <c r="A1333" t="s">
        <v>1714</v>
      </c>
      <c r="B1333" t="s">
        <v>1711</v>
      </c>
      <c r="C1333">
        <v>48</v>
      </c>
      <c r="D1333">
        <v>11</v>
      </c>
      <c r="E1333" t="s">
        <v>1516</v>
      </c>
      <c r="F1333" t="s">
        <v>16</v>
      </c>
      <c r="G1333" t="s">
        <v>17</v>
      </c>
      <c r="H1333">
        <v>5</v>
      </c>
      <c r="I1333">
        <v>520</v>
      </c>
      <c r="J1333">
        <v>0</v>
      </c>
    </row>
    <row r="1334" spans="1:10">
      <c r="A1334" t="s">
        <v>1715</v>
      </c>
      <c r="B1334" t="s">
        <v>1711</v>
      </c>
      <c r="C1334">
        <v>48</v>
      </c>
      <c r="D1334">
        <v>11</v>
      </c>
      <c r="E1334" t="s">
        <v>1516</v>
      </c>
      <c r="F1334" t="s">
        <v>58</v>
      </c>
      <c r="G1334" t="s">
        <v>23</v>
      </c>
      <c r="H1334">
        <v>1</v>
      </c>
      <c r="I1334">
        <v>900</v>
      </c>
      <c r="J1334">
        <v>10</v>
      </c>
    </row>
    <row r="1335" spans="1:10">
      <c r="A1335" t="s">
        <v>1716</v>
      </c>
      <c r="B1335" t="s">
        <v>1717</v>
      </c>
      <c r="C1335">
        <v>48</v>
      </c>
      <c r="D1335">
        <v>11</v>
      </c>
      <c r="E1335" t="s">
        <v>1516</v>
      </c>
      <c r="F1335" t="s">
        <v>16</v>
      </c>
      <c r="G1335" t="s">
        <v>17</v>
      </c>
      <c r="H1335">
        <v>1</v>
      </c>
      <c r="I1335">
        <v>520</v>
      </c>
      <c r="J1335">
        <v>0</v>
      </c>
    </row>
    <row r="1336" spans="1:10">
      <c r="A1336" t="s">
        <v>1718</v>
      </c>
      <c r="B1336" t="s">
        <v>1717</v>
      </c>
      <c r="C1336">
        <v>48</v>
      </c>
      <c r="D1336">
        <v>11</v>
      </c>
      <c r="E1336" t="s">
        <v>1516</v>
      </c>
      <c r="F1336" t="s">
        <v>25</v>
      </c>
      <c r="G1336" t="s">
        <v>26</v>
      </c>
      <c r="H1336">
        <v>1</v>
      </c>
      <c r="I1336">
        <v>950</v>
      </c>
      <c r="J1336">
        <v>5</v>
      </c>
    </row>
    <row r="1337" spans="1:10">
      <c r="A1337" t="s">
        <v>1719</v>
      </c>
      <c r="B1337" t="s">
        <v>1717</v>
      </c>
      <c r="C1337">
        <v>48</v>
      </c>
      <c r="D1337">
        <v>11</v>
      </c>
      <c r="E1337" t="s">
        <v>1516</v>
      </c>
      <c r="F1337" t="s">
        <v>94</v>
      </c>
      <c r="G1337" t="s">
        <v>17</v>
      </c>
      <c r="H1337">
        <v>4</v>
      </c>
      <c r="I1337">
        <v>1680</v>
      </c>
      <c r="J1337">
        <v>0</v>
      </c>
    </row>
    <row r="1338" spans="1:10">
      <c r="A1338" t="s">
        <v>1720</v>
      </c>
      <c r="B1338" t="s">
        <v>1717</v>
      </c>
      <c r="C1338">
        <v>48</v>
      </c>
      <c r="D1338">
        <v>11</v>
      </c>
      <c r="E1338" t="s">
        <v>1516</v>
      </c>
      <c r="F1338" t="s">
        <v>119</v>
      </c>
      <c r="G1338" t="s">
        <v>14</v>
      </c>
      <c r="H1338">
        <v>1</v>
      </c>
      <c r="I1338">
        <v>770</v>
      </c>
      <c r="J1338">
        <v>0</v>
      </c>
    </row>
    <row r="1339" spans="1:10">
      <c r="A1339" t="s">
        <v>1721</v>
      </c>
      <c r="B1339" t="s">
        <v>1717</v>
      </c>
      <c r="C1339">
        <v>48</v>
      </c>
      <c r="D1339">
        <v>11</v>
      </c>
      <c r="E1339" t="s">
        <v>1516</v>
      </c>
      <c r="F1339" t="s">
        <v>68</v>
      </c>
      <c r="G1339" t="s">
        <v>26</v>
      </c>
      <c r="H1339">
        <v>5</v>
      </c>
      <c r="I1339">
        <v>380</v>
      </c>
      <c r="J1339">
        <v>0</v>
      </c>
    </row>
    <row r="1340" spans="1:10">
      <c r="A1340" t="s">
        <v>1722</v>
      </c>
      <c r="B1340" t="s">
        <v>1717</v>
      </c>
      <c r="C1340">
        <v>48</v>
      </c>
      <c r="D1340">
        <v>11</v>
      </c>
      <c r="E1340" t="s">
        <v>1516</v>
      </c>
      <c r="F1340" t="s">
        <v>68</v>
      </c>
      <c r="G1340" t="s">
        <v>26</v>
      </c>
      <c r="H1340">
        <v>4</v>
      </c>
      <c r="I1340">
        <v>323</v>
      </c>
      <c r="J1340">
        <v>15</v>
      </c>
    </row>
    <row r="1341" spans="1:10">
      <c r="A1341" t="s">
        <v>1723</v>
      </c>
      <c r="B1341" t="s">
        <v>1724</v>
      </c>
      <c r="C1341">
        <v>48</v>
      </c>
      <c r="D1341">
        <v>11</v>
      </c>
      <c r="E1341" t="s">
        <v>1516</v>
      </c>
      <c r="F1341" t="s">
        <v>37</v>
      </c>
      <c r="G1341" t="s">
        <v>20</v>
      </c>
      <c r="H1341">
        <v>5</v>
      </c>
      <c r="I1341">
        <v>1989</v>
      </c>
      <c r="J1341">
        <v>15</v>
      </c>
    </row>
    <row r="1342" spans="1:10">
      <c r="A1342" t="s">
        <v>1725</v>
      </c>
      <c r="B1342" t="s">
        <v>1724</v>
      </c>
      <c r="C1342">
        <v>48</v>
      </c>
      <c r="D1342">
        <v>11</v>
      </c>
      <c r="E1342" t="s">
        <v>1516</v>
      </c>
      <c r="F1342" t="s">
        <v>80</v>
      </c>
      <c r="G1342" t="s">
        <v>14</v>
      </c>
      <c r="H1342">
        <v>3</v>
      </c>
      <c r="I1342">
        <v>400</v>
      </c>
      <c r="J1342">
        <v>0</v>
      </c>
    </row>
    <row r="1343" spans="1:10">
      <c r="A1343" t="s">
        <v>1726</v>
      </c>
      <c r="B1343" t="s">
        <v>1724</v>
      </c>
      <c r="C1343">
        <v>48</v>
      </c>
      <c r="D1343">
        <v>11</v>
      </c>
      <c r="E1343" t="s">
        <v>1516</v>
      </c>
      <c r="F1343" t="s">
        <v>13</v>
      </c>
      <c r="G1343" t="s">
        <v>14</v>
      </c>
      <c r="H1343">
        <v>2</v>
      </c>
      <c r="I1343">
        <v>480</v>
      </c>
      <c r="J1343">
        <v>0</v>
      </c>
    </row>
    <row r="1344" spans="1:10">
      <c r="A1344" t="s">
        <v>1727</v>
      </c>
      <c r="B1344" t="s">
        <v>1724</v>
      </c>
      <c r="C1344">
        <v>48</v>
      </c>
      <c r="D1344">
        <v>11</v>
      </c>
      <c r="E1344" t="s">
        <v>1516</v>
      </c>
      <c r="F1344" t="s">
        <v>37</v>
      </c>
      <c r="G1344" t="s">
        <v>20</v>
      </c>
      <c r="H1344">
        <v>4</v>
      </c>
      <c r="I1344">
        <v>2340</v>
      </c>
      <c r="J1344">
        <v>0</v>
      </c>
    </row>
    <row r="1345" spans="1:10">
      <c r="A1345" t="s">
        <v>1728</v>
      </c>
      <c r="B1345" t="s">
        <v>1724</v>
      </c>
      <c r="C1345">
        <v>48</v>
      </c>
      <c r="D1345">
        <v>11</v>
      </c>
      <c r="E1345" t="s">
        <v>1516</v>
      </c>
      <c r="F1345" t="s">
        <v>25</v>
      </c>
      <c r="G1345" t="s">
        <v>26</v>
      </c>
      <c r="H1345">
        <v>4</v>
      </c>
      <c r="I1345">
        <v>900</v>
      </c>
      <c r="J1345">
        <v>10</v>
      </c>
    </row>
    <row r="1346" spans="1:10">
      <c r="A1346" t="s">
        <v>1729</v>
      </c>
      <c r="B1346" t="s">
        <v>1724</v>
      </c>
      <c r="C1346">
        <v>48</v>
      </c>
      <c r="D1346">
        <v>11</v>
      </c>
      <c r="E1346" t="s">
        <v>1516</v>
      </c>
      <c r="F1346" t="s">
        <v>66</v>
      </c>
      <c r="G1346" t="s">
        <v>17</v>
      </c>
      <c r="H1346">
        <v>5</v>
      </c>
      <c r="I1346">
        <v>1249.5</v>
      </c>
      <c r="J1346">
        <v>15</v>
      </c>
    </row>
    <row r="1347" spans="1:10">
      <c r="A1347" t="s">
        <v>1730</v>
      </c>
      <c r="B1347" t="s">
        <v>1724</v>
      </c>
      <c r="C1347">
        <v>48</v>
      </c>
      <c r="D1347">
        <v>11</v>
      </c>
      <c r="E1347" t="s">
        <v>1516</v>
      </c>
      <c r="F1347" t="s">
        <v>16</v>
      </c>
      <c r="G1347" t="s">
        <v>17</v>
      </c>
      <c r="H1347">
        <v>5</v>
      </c>
      <c r="I1347">
        <v>468</v>
      </c>
      <c r="J1347">
        <v>10</v>
      </c>
    </row>
    <row r="1348" spans="1:10">
      <c r="A1348" t="s">
        <v>1731</v>
      </c>
      <c r="B1348" t="s">
        <v>1724</v>
      </c>
      <c r="C1348">
        <v>48</v>
      </c>
      <c r="D1348">
        <v>11</v>
      </c>
      <c r="E1348" t="s">
        <v>1516</v>
      </c>
      <c r="F1348" t="s">
        <v>68</v>
      </c>
      <c r="G1348" t="s">
        <v>26</v>
      </c>
      <c r="H1348">
        <v>2</v>
      </c>
      <c r="I1348">
        <v>361</v>
      </c>
      <c r="J1348">
        <v>5</v>
      </c>
    </row>
    <row r="1349" spans="1:10">
      <c r="A1349" t="s">
        <v>1732</v>
      </c>
      <c r="B1349" t="s">
        <v>1733</v>
      </c>
      <c r="C1349">
        <v>48</v>
      </c>
      <c r="D1349">
        <v>12</v>
      </c>
      <c r="E1349" t="s">
        <v>1734</v>
      </c>
      <c r="F1349" t="s">
        <v>25</v>
      </c>
      <c r="G1349" t="s">
        <v>26</v>
      </c>
      <c r="H1349">
        <v>5</v>
      </c>
      <c r="I1349">
        <v>1000</v>
      </c>
      <c r="J1349">
        <v>0</v>
      </c>
    </row>
    <row r="1350" spans="1:10">
      <c r="A1350" t="s">
        <v>1735</v>
      </c>
      <c r="B1350" t="s">
        <v>1733</v>
      </c>
      <c r="C1350">
        <v>48</v>
      </c>
      <c r="D1350">
        <v>12</v>
      </c>
      <c r="E1350" t="s">
        <v>1734</v>
      </c>
      <c r="F1350" t="s">
        <v>39</v>
      </c>
      <c r="G1350" t="s">
        <v>14</v>
      </c>
      <c r="H1350">
        <v>5</v>
      </c>
      <c r="I1350">
        <v>836</v>
      </c>
      <c r="J1350">
        <v>5</v>
      </c>
    </row>
    <row r="1351" spans="1:10">
      <c r="A1351" t="s">
        <v>1736</v>
      </c>
      <c r="B1351" t="s">
        <v>1737</v>
      </c>
      <c r="C1351">
        <v>49</v>
      </c>
      <c r="D1351">
        <v>12</v>
      </c>
      <c r="E1351" t="s">
        <v>1734</v>
      </c>
      <c r="F1351" t="s">
        <v>35</v>
      </c>
      <c r="G1351" t="s">
        <v>17</v>
      </c>
      <c r="H1351">
        <v>1</v>
      </c>
      <c r="I1351">
        <v>3150</v>
      </c>
      <c r="J1351">
        <v>0</v>
      </c>
    </row>
    <row r="1352" spans="1:10">
      <c r="A1352" t="s">
        <v>1738</v>
      </c>
      <c r="B1352" t="s">
        <v>1737</v>
      </c>
      <c r="C1352">
        <v>49</v>
      </c>
      <c r="D1352">
        <v>12</v>
      </c>
      <c r="E1352" t="s">
        <v>1734</v>
      </c>
      <c r="F1352" t="s">
        <v>115</v>
      </c>
      <c r="G1352" t="s">
        <v>23</v>
      </c>
      <c r="H1352">
        <v>5</v>
      </c>
      <c r="I1352">
        <v>1200</v>
      </c>
      <c r="J1352">
        <v>0</v>
      </c>
    </row>
    <row r="1353" spans="1:10">
      <c r="A1353" t="s">
        <v>1739</v>
      </c>
      <c r="B1353" t="s">
        <v>1737</v>
      </c>
      <c r="C1353">
        <v>49</v>
      </c>
      <c r="D1353">
        <v>12</v>
      </c>
      <c r="E1353" t="s">
        <v>1734</v>
      </c>
      <c r="F1353" t="s">
        <v>58</v>
      </c>
      <c r="G1353" t="s">
        <v>23</v>
      </c>
      <c r="H1353">
        <v>1</v>
      </c>
      <c r="I1353">
        <v>1000</v>
      </c>
      <c r="J1353">
        <v>0</v>
      </c>
    </row>
    <row r="1354" spans="1:10">
      <c r="A1354" t="s">
        <v>1740</v>
      </c>
      <c r="B1354" t="s">
        <v>1737</v>
      </c>
      <c r="C1354">
        <v>49</v>
      </c>
      <c r="D1354">
        <v>12</v>
      </c>
      <c r="E1354" t="s">
        <v>1734</v>
      </c>
      <c r="F1354" t="s">
        <v>86</v>
      </c>
      <c r="G1354" t="s">
        <v>17</v>
      </c>
      <c r="H1354">
        <v>3</v>
      </c>
      <c r="I1354">
        <v>940</v>
      </c>
      <c r="J1354">
        <v>0</v>
      </c>
    </row>
    <row r="1355" spans="1:10">
      <c r="A1355" t="s">
        <v>1741</v>
      </c>
      <c r="B1355" t="s">
        <v>1742</v>
      </c>
      <c r="C1355">
        <v>49</v>
      </c>
      <c r="D1355">
        <v>12</v>
      </c>
      <c r="E1355" t="s">
        <v>1734</v>
      </c>
      <c r="F1355" t="s">
        <v>51</v>
      </c>
      <c r="G1355" t="s">
        <v>26</v>
      </c>
      <c r="H1355">
        <v>4</v>
      </c>
      <c r="I1355">
        <v>450</v>
      </c>
      <c r="J1355">
        <v>10</v>
      </c>
    </row>
    <row r="1356" spans="1:10">
      <c r="A1356" t="s">
        <v>1743</v>
      </c>
      <c r="B1356" t="s">
        <v>1742</v>
      </c>
      <c r="C1356">
        <v>49</v>
      </c>
      <c r="D1356">
        <v>12</v>
      </c>
      <c r="E1356" t="s">
        <v>1734</v>
      </c>
      <c r="F1356" t="s">
        <v>119</v>
      </c>
      <c r="G1356" t="s">
        <v>14</v>
      </c>
      <c r="H1356">
        <v>3</v>
      </c>
      <c r="I1356">
        <v>731.5</v>
      </c>
      <c r="J1356">
        <v>5</v>
      </c>
    </row>
    <row r="1357" spans="1:10">
      <c r="A1357" t="s">
        <v>1744</v>
      </c>
      <c r="B1357" t="s">
        <v>1742</v>
      </c>
      <c r="C1357">
        <v>49</v>
      </c>
      <c r="D1357">
        <v>12</v>
      </c>
      <c r="E1357" t="s">
        <v>1734</v>
      </c>
      <c r="F1357" t="s">
        <v>94</v>
      </c>
      <c r="G1357" t="s">
        <v>17</v>
      </c>
      <c r="H1357">
        <v>3</v>
      </c>
      <c r="I1357">
        <v>1680</v>
      </c>
      <c r="J1357">
        <v>0</v>
      </c>
    </row>
    <row r="1358" spans="1:10">
      <c r="A1358" t="s">
        <v>1745</v>
      </c>
      <c r="B1358" t="s">
        <v>1742</v>
      </c>
      <c r="C1358">
        <v>49</v>
      </c>
      <c r="D1358">
        <v>12</v>
      </c>
      <c r="E1358" t="s">
        <v>1734</v>
      </c>
      <c r="F1358" t="s">
        <v>39</v>
      </c>
      <c r="G1358" t="s">
        <v>14</v>
      </c>
      <c r="H1358">
        <v>3</v>
      </c>
      <c r="I1358">
        <v>836</v>
      </c>
      <c r="J1358">
        <v>5</v>
      </c>
    </row>
    <row r="1359" spans="1:10">
      <c r="A1359" t="s">
        <v>1746</v>
      </c>
      <c r="B1359" t="s">
        <v>1747</v>
      </c>
      <c r="C1359">
        <v>49</v>
      </c>
      <c r="D1359">
        <v>12</v>
      </c>
      <c r="E1359" t="s">
        <v>1734</v>
      </c>
      <c r="F1359" t="s">
        <v>146</v>
      </c>
      <c r="G1359" t="s">
        <v>20</v>
      </c>
      <c r="H1359">
        <v>4</v>
      </c>
      <c r="I1359">
        <v>630</v>
      </c>
      <c r="J1359">
        <v>0</v>
      </c>
    </row>
    <row r="1360" spans="1:10">
      <c r="A1360" t="s">
        <v>1748</v>
      </c>
      <c r="B1360" t="s">
        <v>1747</v>
      </c>
      <c r="C1360">
        <v>49</v>
      </c>
      <c r="D1360">
        <v>12</v>
      </c>
      <c r="E1360" t="s">
        <v>1734</v>
      </c>
      <c r="F1360" t="s">
        <v>25</v>
      </c>
      <c r="G1360" t="s">
        <v>26</v>
      </c>
      <c r="H1360">
        <v>5</v>
      </c>
      <c r="I1360">
        <v>1000</v>
      </c>
      <c r="J1360">
        <v>0</v>
      </c>
    </row>
    <row r="1361" spans="1:10">
      <c r="A1361" t="s">
        <v>1749</v>
      </c>
      <c r="B1361" t="s">
        <v>1747</v>
      </c>
      <c r="C1361">
        <v>49</v>
      </c>
      <c r="D1361">
        <v>12</v>
      </c>
      <c r="E1361" t="s">
        <v>1734</v>
      </c>
      <c r="F1361" t="s">
        <v>58</v>
      </c>
      <c r="G1361" t="s">
        <v>23</v>
      </c>
      <c r="H1361">
        <v>3</v>
      </c>
      <c r="I1361">
        <v>1000</v>
      </c>
      <c r="J1361">
        <v>0</v>
      </c>
    </row>
    <row r="1362" spans="1:10">
      <c r="A1362" t="s">
        <v>1750</v>
      </c>
      <c r="B1362" t="s">
        <v>1747</v>
      </c>
      <c r="C1362">
        <v>49</v>
      </c>
      <c r="D1362">
        <v>12</v>
      </c>
      <c r="E1362" t="s">
        <v>1734</v>
      </c>
      <c r="F1362" t="s">
        <v>35</v>
      </c>
      <c r="G1362" t="s">
        <v>17</v>
      </c>
      <c r="H1362">
        <v>2</v>
      </c>
      <c r="I1362">
        <v>3150</v>
      </c>
      <c r="J1362">
        <v>0</v>
      </c>
    </row>
    <row r="1363" spans="1:10">
      <c r="A1363" t="s">
        <v>1751</v>
      </c>
      <c r="B1363" t="s">
        <v>1747</v>
      </c>
      <c r="C1363">
        <v>49</v>
      </c>
      <c r="D1363">
        <v>12</v>
      </c>
      <c r="E1363" t="s">
        <v>1734</v>
      </c>
      <c r="F1363" t="s">
        <v>86</v>
      </c>
      <c r="G1363" t="s">
        <v>17</v>
      </c>
      <c r="H1363">
        <v>3</v>
      </c>
      <c r="I1363">
        <v>893</v>
      </c>
      <c r="J1363">
        <v>5</v>
      </c>
    </row>
    <row r="1364" spans="1:10">
      <c r="A1364" t="s">
        <v>1752</v>
      </c>
      <c r="B1364" t="s">
        <v>1753</v>
      </c>
      <c r="C1364">
        <v>49</v>
      </c>
      <c r="D1364">
        <v>12</v>
      </c>
      <c r="E1364" t="s">
        <v>1734</v>
      </c>
      <c r="F1364" t="s">
        <v>25</v>
      </c>
      <c r="G1364" t="s">
        <v>26</v>
      </c>
      <c r="H1364">
        <v>4</v>
      </c>
      <c r="I1364">
        <v>1000</v>
      </c>
      <c r="J1364">
        <v>0</v>
      </c>
    </row>
    <row r="1365" spans="1:10">
      <c r="A1365" t="s">
        <v>1754</v>
      </c>
      <c r="B1365" t="s">
        <v>1753</v>
      </c>
      <c r="C1365">
        <v>49</v>
      </c>
      <c r="D1365">
        <v>12</v>
      </c>
      <c r="E1365" t="s">
        <v>1734</v>
      </c>
      <c r="F1365" t="s">
        <v>86</v>
      </c>
      <c r="G1365" t="s">
        <v>17</v>
      </c>
      <c r="H1365">
        <v>3</v>
      </c>
      <c r="I1365">
        <v>893</v>
      </c>
      <c r="J1365">
        <v>5</v>
      </c>
    </row>
    <row r="1366" spans="1:10">
      <c r="A1366" t="s">
        <v>1755</v>
      </c>
      <c r="B1366" t="s">
        <v>1753</v>
      </c>
      <c r="C1366">
        <v>49</v>
      </c>
      <c r="D1366">
        <v>12</v>
      </c>
      <c r="E1366" t="s">
        <v>1734</v>
      </c>
      <c r="F1366" t="s">
        <v>39</v>
      </c>
      <c r="G1366" t="s">
        <v>14</v>
      </c>
      <c r="H1366">
        <v>3</v>
      </c>
      <c r="I1366">
        <v>880</v>
      </c>
      <c r="J1366">
        <v>0</v>
      </c>
    </row>
    <row r="1367" spans="1:10">
      <c r="A1367" t="s">
        <v>1756</v>
      </c>
      <c r="B1367" t="s">
        <v>1753</v>
      </c>
      <c r="C1367">
        <v>49</v>
      </c>
      <c r="D1367">
        <v>12</v>
      </c>
      <c r="E1367" t="s">
        <v>1734</v>
      </c>
      <c r="F1367" t="s">
        <v>82</v>
      </c>
      <c r="G1367" t="s">
        <v>20</v>
      </c>
      <c r="H1367">
        <v>1</v>
      </c>
      <c r="I1367">
        <v>900</v>
      </c>
      <c r="J1367">
        <v>0</v>
      </c>
    </row>
    <row r="1368" spans="1:10">
      <c r="A1368" t="s">
        <v>1757</v>
      </c>
      <c r="B1368" t="s">
        <v>1753</v>
      </c>
      <c r="C1368">
        <v>49</v>
      </c>
      <c r="D1368">
        <v>12</v>
      </c>
      <c r="E1368" t="s">
        <v>1734</v>
      </c>
      <c r="F1368" t="s">
        <v>94</v>
      </c>
      <c r="G1368" t="s">
        <v>17</v>
      </c>
      <c r="H1368">
        <v>4</v>
      </c>
      <c r="I1368">
        <v>1680</v>
      </c>
      <c r="J1368">
        <v>0</v>
      </c>
    </row>
    <row r="1369" spans="1:10">
      <c r="A1369" t="s">
        <v>1758</v>
      </c>
      <c r="B1369" t="s">
        <v>1753</v>
      </c>
      <c r="C1369">
        <v>49</v>
      </c>
      <c r="D1369">
        <v>12</v>
      </c>
      <c r="E1369" t="s">
        <v>1734</v>
      </c>
      <c r="F1369" t="s">
        <v>42</v>
      </c>
      <c r="G1369" t="s">
        <v>23</v>
      </c>
      <c r="H1369">
        <v>4</v>
      </c>
      <c r="I1369">
        <v>540</v>
      </c>
      <c r="J1369">
        <v>10</v>
      </c>
    </row>
    <row r="1370" spans="1:10">
      <c r="A1370" t="s">
        <v>1759</v>
      </c>
      <c r="B1370" t="s">
        <v>1753</v>
      </c>
      <c r="C1370">
        <v>49</v>
      </c>
      <c r="D1370">
        <v>12</v>
      </c>
      <c r="E1370" t="s">
        <v>1734</v>
      </c>
      <c r="F1370" t="s">
        <v>35</v>
      </c>
      <c r="G1370" t="s">
        <v>17</v>
      </c>
      <c r="H1370">
        <v>2</v>
      </c>
      <c r="I1370">
        <v>2677.5</v>
      </c>
      <c r="J1370">
        <v>15</v>
      </c>
    </row>
    <row r="1371" spans="1:10">
      <c r="A1371" t="s">
        <v>1760</v>
      </c>
      <c r="B1371" t="s">
        <v>1753</v>
      </c>
      <c r="C1371">
        <v>49</v>
      </c>
      <c r="D1371">
        <v>12</v>
      </c>
      <c r="E1371" t="s">
        <v>1734</v>
      </c>
      <c r="F1371" t="s">
        <v>187</v>
      </c>
      <c r="G1371" t="s">
        <v>14</v>
      </c>
      <c r="H1371">
        <v>4</v>
      </c>
      <c r="I1371">
        <v>3740</v>
      </c>
      <c r="J1371">
        <v>15</v>
      </c>
    </row>
    <row r="1372" spans="1:10">
      <c r="A1372" t="s">
        <v>1761</v>
      </c>
      <c r="B1372" t="s">
        <v>1762</v>
      </c>
      <c r="C1372">
        <v>49</v>
      </c>
      <c r="D1372">
        <v>12</v>
      </c>
      <c r="E1372" t="s">
        <v>1734</v>
      </c>
      <c r="F1372" t="s">
        <v>51</v>
      </c>
      <c r="G1372" t="s">
        <v>26</v>
      </c>
      <c r="H1372">
        <v>4</v>
      </c>
      <c r="I1372">
        <v>475</v>
      </c>
      <c r="J1372">
        <v>5</v>
      </c>
    </row>
    <row r="1373" spans="1:10">
      <c r="A1373" t="s">
        <v>1763</v>
      </c>
      <c r="B1373" t="s">
        <v>1762</v>
      </c>
      <c r="C1373">
        <v>49</v>
      </c>
      <c r="D1373">
        <v>12</v>
      </c>
      <c r="E1373" t="s">
        <v>1734</v>
      </c>
      <c r="F1373" t="s">
        <v>13</v>
      </c>
      <c r="G1373" t="s">
        <v>14</v>
      </c>
      <c r="H1373">
        <v>5</v>
      </c>
      <c r="I1373">
        <v>432</v>
      </c>
      <c r="J1373">
        <v>10</v>
      </c>
    </row>
    <row r="1374" spans="1:10">
      <c r="A1374" t="s">
        <v>1764</v>
      </c>
      <c r="B1374" t="s">
        <v>1765</v>
      </c>
      <c r="C1374">
        <v>49</v>
      </c>
      <c r="D1374">
        <v>12</v>
      </c>
      <c r="E1374" t="s">
        <v>1734</v>
      </c>
      <c r="F1374" t="s">
        <v>97</v>
      </c>
      <c r="G1374" t="s">
        <v>20</v>
      </c>
      <c r="H1374">
        <v>4</v>
      </c>
      <c r="I1374">
        <v>1782</v>
      </c>
      <c r="J1374">
        <v>10</v>
      </c>
    </row>
    <row r="1375" spans="1:10">
      <c r="A1375" t="s">
        <v>1766</v>
      </c>
      <c r="B1375" t="s">
        <v>1765</v>
      </c>
      <c r="C1375">
        <v>49</v>
      </c>
      <c r="D1375">
        <v>12</v>
      </c>
      <c r="E1375" t="s">
        <v>1734</v>
      </c>
      <c r="F1375" t="s">
        <v>25</v>
      </c>
      <c r="G1375" t="s">
        <v>26</v>
      </c>
      <c r="H1375">
        <v>5</v>
      </c>
      <c r="I1375">
        <v>1000</v>
      </c>
      <c r="J1375">
        <v>0</v>
      </c>
    </row>
    <row r="1376" spans="1:10">
      <c r="A1376" t="s">
        <v>1767</v>
      </c>
      <c r="B1376" t="s">
        <v>1765</v>
      </c>
      <c r="C1376">
        <v>49</v>
      </c>
      <c r="D1376">
        <v>12</v>
      </c>
      <c r="E1376" t="s">
        <v>1734</v>
      </c>
      <c r="F1376" t="s">
        <v>82</v>
      </c>
      <c r="G1376" t="s">
        <v>20</v>
      </c>
      <c r="H1376">
        <v>2</v>
      </c>
      <c r="I1376">
        <v>810</v>
      </c>
      <c r="J1376">
        <v>10</v>
      </c>
    </row>
    <row r="1377" spans="1:10">
      <c r="A1377" t="s">
        <v>1768</v>
      </c>
      <c r="B1377" t="s">
        <v>1765</v>
      </c>
      <c r="C1377">
        <v>49</v>
      </c>
      <c r="D1377">
        <v>12</v>
      </c>
      <c r="E1377" t="s">
        <v>1734</v>
      </c>
      <c r="F1377" t="s">
        <v>25</v>
      </c>
      <c r="G1377" t="s">
        <v>26</v>
      </c>
      <c r="H1377">
        <v>5</v>
      </c>
      <c r="I1377">
        <v>900</v>
      </c>
      <c r="J1377">
        <v>10</v>
      </c>
    </row>
    <row r="1378" spans="1:10">
      <c r="A1378" t="s">
        <v>1769</v>
      </c>
      <c r="B1378" t="s">
        <v>1765</v>
      </c>
      <c r="C1378">
        <v>49</v>
      </c>
      <c r="D1378">
        <v>12</v>
      </c>
      <c r="E1378" t="s">
        <v>1734</v>
      </c>
      <c r="F1378" t="s">
        <v>19</v>
      </c>
      <c r="G1378" t="s">
        <v>20</v>
      </c>
      <c r="H1378">
        <v>3</v>
      </c>
      <c r="I1378">
        <v>1620</v>
      </c>
      <c r="J1378">
        <v>0</v>
      </c>
    </row>
    <row r="1379" spans="1:10">
      <c r="A1379" t="s">
        <v>1770</v>
      </c>
      <c r="B1379" t="s">
        <v>1771</v>
      </c>
      <c r="C1379">
        <v>49</v>
      </c>
      <c r="D1379">
        <v>12</v>
      </c>
      <c r="E1379" t="s">
        <v>1734</v>
      </c>
      <c r="F1379" t="s">
        <v>68</v>
      </c>
      <c r="G1379" t="s">
        <v>26</v>
      </c>
      <c r="H1379">
        <v>3</v>
      </c>
      <c r="I1379">
        <v>361</v>
      </c>
      <c r="J1379">
        <v>5</v>
      </c>
    </row>
    <row r="1380" spans="1:10">
      <c r="A1380" t="s">
        <v>1772</v>
      </c>
      <c r="B1380" t="s">
        <v>1771</v>
      </c>
      <c r="C1380">
        <v>49</v>
      </c>
      <c r="D1380">
        <v>12</v>
      </c>
      <c r="E1380" t="s">
        <v>1734</v>
      </c>
      <c r="F1380" t="s">
        <v>66</v>
      </c>
      <c r="G1380" t="s">
        <v>17</v>
      </c>
      <c r="H1380">
        <v>1</v>
      </c>
      <c r="I1380">
        <v>1470</v>
      </c>
      <c r="J1380">
        <v>0</v>
      </c>
    </row>
    <row r="1381" spans="1:10">
      <c r="A1381" t="s">
        <v>1773</v>
      </c>
      <c r="B1381" t="s">
        <v>1774</v>
      </c>
      <c r="C1381">
        <v>50</v>
      </c>
      <c r="D1381">
        <v>12</v>
      </c>
      <c r="E1381" t="s">
        <v>1734</v>
      </c>
      <c r="F1381" t="s">
        <v>16</v>
      </c>
      <c r="G1381" t="s">
        <v>17</v>
      </c>
      <c r="H1381">
        <v>3</v>
      </c>
      <c r="I1381">
        <v>468</v>
      </c>
      <c r="J1381">
        <v>10</v>
      </c>
    </row>
    <row r="1382" spans="1:10">
      <c r="A1382" t="s">
        <v>1775</v>
      </c>
      <c r="B1382" t="s">
        <v>1774</v>
      </c>
      <c r="C1382">
        <v>50</v>
      </c>
      <c r="D1382">
        <v>12</v>
      </c>
      <c r="E1382" t="s">
        <v>1734</v>
      </c>
      <c r="F1382" t="s">
        <v>66</v>
      </c>
      <c r="G1382" t="s">
        <v>17</v>
      </c>
      <c r="H1382">
        <v>5</v>
      </c>
      <c r="I1382">
        <v>1323</v>
      </c>
      <c r="J1382">
        <v>10</v>
      </c>
    </row>
    <row r="1383" spans="1:10">
      <c r="A1383" t="s">
        <v>1776</v>
      </c>
      <c r="B1383" t="s">
        <v>1774</v>
      </c>
      <c r="C1383">
        <v>50</v>
      </c>
      <c r="D1383">
        <v>12</v>
      </c>
      <c r="E1383" t="s">
        <v>1734</v>
      </c>
      <c r="F1383" t="s">
        <v>146</v>
      </c>
      <c r="G1383" t="s">
        <v>20</v>
      </c>
      <c r="H1383">
        <v>3</v>
      </c>
      <c r="I1383">
        <v>630</v>
      </c>
      <c r="J1383">
        <v>0</v>
      </c>
    </row>
    <row r="1384" spans="1:10">
      <c r="A1384" t="s">
        <v>1777</v>
      </c>
      <c r="B1384" t="s">
        <v>1774</v>
      </c>
      <c r="C1384">
        <v>50</v>
      </c>
      <c r="D1384">
        <v>12</v>
      </c>
      <c r="E1384" t="s">
        <v>1734</v>
      </c>
      <c r="F1384" t="s">
        <v>31</v>
      </c>
      <c r="G1384" t="s">
        <v>23</v>
      </c>
      <c r="H1384">
        <v>5</v>
      </c>
      <c r="I1384">
        <v>1400</v>
      </c>
      <c r="J1384">
        <v>0</v>
      </c>
    </row>
    <row r="1385" spans="1:10">
      <c r="A1385" t="s">
        <v>1778</v>
      </c>
      <c r="B1385" t="s">
        <v>1774</v>
      </c>
      <c r="C1385">
        <v>50</v>
      </c>
      <c r="D1385">
        <v>12</v>
      </c>
      <c r="E1385" t="s">
        <v>1734</v>
      </c>
      <c r="F1385" t="s">
        <v>94</v>
      </c>
      <c r="G1385" t="s">
        <v>17</v>
      </c>
      <c r="H1385">
        <v>4</v>
      </c>
      <c r="I1385">
        <v>1512</v>
      </c>
      <c r="J1385">
        <v>10</v>
      </c>
    </row>
    <row r="1386" spans="1:10">
      <c r="A1386" t="s">
        <v>1779</v>
      </c>
      <c r="B1386" t="s">
        <v>1774</v>
      </c>
      <c r="C1386">
        <v>50</v>
      </c>
      <c r="D1386">
        <v>12</v>
      </c>
      <c r="E1386" t="s">
        <v>1734</v>
      </c>
      <c r="F1386" t="s">
        <v>115</v>
      </c>
      <c r="G1386" t="s">
        <v>23</v>
      </c>
      <c r="H1386">
        <v>5</v>
      </c>
      <c r="I1386">
        <v>1020</v>
      </c>
      <c r="J1386">
        <v>15</v>
      </c>
    </row>
    <row r="1387" spans="1:10">
      <c r="A1387" t="s">
        <v>1780</v>
      </c>
      <c r="B1387" t="s">
        <v>1774</v>
      </c>
      <c r="C1387">
        <v>50</v>
      </c>
      <c r="D1387">
        <v>12</v>
      </c>
      <c r="E1387" t="s">
        <v>1734</v>
      </c>
      <c r="F1387" t="s">
        <v>82</v>
      </c>
      <c r="G1387" t="s">
        <v>20</v>
      </c>
      <c r="H1387">
        <v>4</v>
      </c>
      <c r="I1387">
        <v>765</v>
      </c>
      <c r="J1387">
        <v>15</v>
      </c>
    </row>
    <row r="1388" spans="1:10">
      <c r="A1388" t="s">
        <v>1781</v>
      </c>
      <c r="B1388" t="s">
        <v>1782</v>
      </c>
      <c r="C1388">
        <v>50</v>
      </c>
      <c r="D1388">
        <v>12</v>
      </c>
      <c r="E1388" t="s">
        <v>1734</v>
      </c>
      <c r="F1388" t="s">
        <v>35</v>
      </c>
      <c r="G1388" t="s">
        <v>17</v>
      </c>
      <c r="H1388">
        <v>1</v>
      </c>
      <c r="I1388">
        <v>2835</v>
      </c>
      <c r="J1388">
        <v>10</v>
      </c>
    </row>
    <row r="1389" spans="1:10">
      <c r="A1389" t="s">
        <v>1783</v>
      </c>
      <c r="B1389" t="s">
        <v>1782</v>
      </c>
      <c r="C1389">
        <v>50</v>
      </c>
      <c r="D1389">
        <v>12</v>
      </c>
      <c r="E1389" t="s">
        <v>1734</v>
      </c>
      <c r="F1389" t="s">
        <v>80</v>
      </c>
      <c r="G1389" t="s">
        <v>14</v>
      </c>
      <c r="H1389">
        <v>2</v>
      </c>
      <c r="I1389">
        <v>380</v>
      </c>
      <c r="J1389">
        <v>5</v>
      </c>
    </row>
    <row r="1390" spans="1:10">
      <c r="A1390" t="s">
        <v>1784</v>
      </c>
      <c r="B1390" t="s">
        <v>1782</v>
      </c>
      <c r="C1390">
        <v>50</v>
      </c>
      <c r="D1390">
        <v>12</v>
      </c>
      <c r="E1390" t="s">
        <v>1734</v>
      </c>
      <c r="F1390" t="s">
        <v>28</v>
      </c>
      <c r="G1390" t="s">
        <v>26</v>
      </c>
      <c r="H1390">
        <v>2</v>
      </c>
      <c r="I1390">
        <v>1275</v>
      </c>
      <c r="J1390">
        <v>15</v>
      </c>
    </row>
    <row r="1391" spans="1:10">
      <c r="A1391" t="s">
        <v>1785</v>
      </c>
      <c r="B1391" t="s">
        <v>1782</v>
      </c>
      <c r="C1391">
        <v>50</v>
      </c>
      <c r="D1391">
        <v>12</v>
      </c>
      <c r="E1391" t="s">
        <v>1734</v>
      </c>
      <c r="F1391" t="s">
        <v>68</v>
      </c>
      <c r="G1391" t="s">
        <v>26</v>
      </c>
      <c r="H1391">
        <v>1</v>
      </c>
      <c r="I1391">
        <v>380</v>
      </c>
      <c r="J1391">
        <v>0</v>
      </c>
    </row>
    <row r="1392" spans="1:10">
      <c r="A1392" t="s">
        <v>1786</v>
      </c>
      <c r="B1392" t="s">
        <v>1787</v>
      </c>
      <c r="C1392">
        <v>50</v>
      </c>
      <c r="D1392">
        <v>12</v>
      </c>
      <c r="E1392" t="s">
        <v>1734</v>
      </c>
      <c r="F1392" t="s">
        <v>146</v>
      </c>
      <c r="G1392" t="s">
        <v>20</v>
      </c>
      <c r="H1392">
        <v>2</v>
      </c>
      <c r="I1392">
        <v>630</v>
      </c>
      <c r="J1392">
        <v>0</v>
      </c>
    </row>
    <row r="1393" spans="1:10">
      <c r="A1393" t="s">
        <v>1788</v>
      </c>
      <c r="B1393" t="s">
        <v>1787</v>
      </c>
      <c r="C1393">
        <v>50</v>
      </c>
      <c r="D1393">
        <v>12</v>
      </c>
      <c r="E1393" t="s">
        <v>1734</v>
      </c>
      <c r="F1393" t="s">
        <v>45</v>
      </c>
      <c r="G1393" t="s">
        <v>26</v>
      </c>
      <c r="H1393">
        <v>2</v>
      </c>
      <c r="I1393">
        <v>4050</v>
      </c>
      <c r="J1393">
        <v>10</v>
      </c>
    </row>
    <row r="1394" spans="1:10">
      <c r="A1394" t="s">
        <v>1789</v>
      </c>
      <c r="B1394" t="s">
        <v>1787</v>
      </c>
      <c r="C1394">
        <v>50</v>
      </c>
      <c r="D1394">
        <v>12</v>
      </c>
      <c r="E1394" t="s">
        <v>1734</v>
      </c>
      <c r="F1394" t="s">
        <v>97</v>
      </c>
      <c r="G1394" t="s">
        <v>20</v>
      </c>
      <c r="H1394">
        <v>4</v>
      </c>
      <c r="I1394">
        <v>1782</v>
      </c>
      <c r="J1394">
        <v>10</v>
      </c>
    </row>
    <row r="1395" spans="1:10">
      <c r="A1395" t="s">
        <v>1790</v>
      </c>
      <c r="B1395" t="s">
        <v>1787</v>
      </c>
      <c r="C1395">
        <v>50</v>
      </c>
      <c r="D1395">
        <v>12</v>
      </c>
      <c r="E1395" t="s">
        <v>1734</v>
      </c>
      <c r="F1395" t="s">
        <v>28</v>
      </c>
      <c r="G1395" t="s">
        <v>26</v>
      </c>
      <c r="H1395">
        <v>4</v>
      </c>
      <c r="I1395">
        <v>1425</v>
      </c>
      <c r="J1395">
        <v>5</v>
      </c>
    </row>
    <row r="1396" spans="1:10">
      <c r="A1396" t="s">
        <v>1791</v>
      </c>
      <c r="B1396" t="s">
        <v>1787</v>
      </c>
      <c r="C1396">
        <v>50</v>
      </c>
      <c r="D1396">
        <v>12</v>
      </c>
      <c r="E1396" t="s">
        <v>1734</v>
      </c>
      <c r="F1396" t="s">
        <v>35</v>
      </c>
      <c r="G1396" t="s">
        <v>17</v>
      </c>
      <c r="H1396">
        <v>4</v>
      </c>
      <c r="I1396">
        <v>3150</v>
      </c>
      <c r="J1396">
        <v>0</v>
      </c>
    </row>
    <row r="1397" spans="1:10">
      <c r="A1397" t="s">
        <v>1792</v>
      </c>
      <c r="B1397" t="s">
        <v>1787</v>
      </c>
      <c r="C1397">
        <v>50</v>
      </c>
      <c r="D1397">
        <v>12</v>
      </c>
      <c r="E1397" t="s">
        <v>1734</v>
      </c>
      <c r="F1397" t="s">
        <v>146</v>
      </c>
      <c r="G1397" t="s">
        <v>20</v>
      </c>
      <c r="H1397">
        <v>1</v>
      </c>
      <c r="I1397">
        <v>567</v>
      </c>
      <c r="J1397">
        <v>10</v>
      </c>
    </row>
    <row r="1398" spans="1:10">
      <c r="A1398" t="s">
        <v>1793</v>
      </c>
      <c r="B1398" t="s">
        <v>1787</v>
      </c>
      <c r="C1398">
        <v>50</v>
      </c>
      <c r="D1398">
        <v>12</v>
      </c>
      <c r="E1398" t="s">
        <v>1734</v>
      </c>
      <c r="F1398" t="s">
        <v>94</v>
      </c>
      <c r="G1398" t="s">
        <v>17</v>
      </c>
      <c r="H1398">
        <v>4</v>
      </c>
      <c r="I1398">
        <v>1428</v>
      </c>
      <c r="J1398">
        <v>15</v>
      </c>
    </row>
    <row r="1399" spans="1:10">
      <c r="A1399" t="s">
        <v>1794</v>
      </c>
      <c r="B1399" t="s">
        <v>1787</v>
      </c>
      <c r="C1399">
        <v>50</v>
      </c>
      <c r="D1399">
        <v>12</v>
      </c>
      <c r="E1399" t="s">
        <v>1734</v>
      </c>
      <c r="F1399" t="s">
        <v>68</v>
      </c>
      <c r="G1399" t="s">
        <v>26</v>
      </c>
      <c r="H1399">
        <v>4</v>
      </c>
      <c r="I1399">
        <v>361</v>
      </c>
      <c r="J1399">
        <v>5</v>
      </c>
    </row>
    <row r="1400" spans="1:10">
      <c r="A1400" t="s">
        <v>1795</v>
      </c>
      <c r="B1400" t="s">
        <v>1796</v>
      </c>
      <c r="C1400">
        <v>50</v>
      </c>
      <c r="D1400">
        <v>12</v>
      </c>
      <c r="E1400" t="s">
        <v>1734</v>
      </c>
      <c r="F1400" t="s">
        <v>94</v>
      </c>
      <c r="G1400" t="s">
        <v>17</v>
      </c>
      <c r="H1400">
        <v>3</v>
      </c>
      <c r="I1400">
        <v>1680</v>
      </c>
      <c r="J1400">
        <v>0</v>
      </c>
    </row>
    <row r="1401" spans="1:10">
      <c r="A1401" t="s">
        <v>1797</v>
      </c>
      <c r="B1401" t="s">
        <v>1796</v>
      </c>
      <c r="C1401">
        <v>50</v>
      </c>
      <c r="D1401">
        <v>12</v>
      </c>
      <c r="E1401" t="s">
        <v>1734</v>
      </c>
      <c r="F1401" t="s">
        <v>97</v>
      </c>
      <c r="G1401" t="s">
        <v>20</v>
      </c>
      <c r="H1401">
        <v>3</v>
      </c>
      <c r="I1401">
        <v>1980</v>
      </c>
      <c r="J1401">
        <v>0</v>
      </c>
    </row>
    <row r="1402" spans="1:10">
      <c r="A1402" t="s">
        <v>1798</v>
      </c>
      <c r="B1402" t="s">
        <v>1796</v>
      </c>
      <c r="C1402">
        <v>50</v>
      </c>
      <c r="D1402">
        <v>12</v>
      </c>
      <c r="E1402" t="s">
        <v>1734</v>
      </c>
      <c r="F1402" t="s">
        <v>35</v>
      </c>
      <c r="G1402" t="s">
        <v>17</v>
      </c>
      <c r="H1402">
        <v>4</v>
      </c>
      <c r="I1402">
        <v>3150</v>
      </c>
      <c r="J1402">
        <v>0</v>
      </c>
    </row>
    <row r="1403" spans="1:10">
      <c r="A1403" t="s">
        <v>1799</v>
      </c>
      <c r="B1403" t="s">
        <v>1796</v>
      </c>
      <c r="C1403">
        <v>50</v>
      </c>
      <c r="D1403">
        <v>12</v>
      </c>
      <c r="E1403" t="s">
        <v>1734</v>
      </c>
      <c r="F1403" t="s">
        <v>86</v>
      </c>
      <c r="G1403" t="s">
        <v>17</v>
      </c>
      <c r="H1403">
        <v>4</v>
      </c>
      <c r="I1403">
        <v>799</v>
      </c>
      <c r="J1403">
        <v>15</v>
      </c>
    </row>
    <row r="1404" spans="1:10">
      <c r="A1404" t="s">
        <v>1800</v>
      </c>
      <c r="B1404" t="s">
        <v>1796</v>
      </c>
      <c r="C1404">
        <v>50</v>
      </c>
      <c r="D1404">
        <v>12</v>
      </c>
      <c r="E1404" t="s">
        <v>1734</v>
      </c>
      <c r="F1404" t="s">
        <v>16</v>
      </c>
      <c r="G1404" t="s">
        <v>17</v>
      </c>
      <c r="H1404">
        <v>5</v>
      </c>
      <c r="I1404">
        <v>520</v>
      </c>
      <c r="J1404">
        <v>0</v>
      </c>
    </row>
    <row r="1405" spans="1:10">
      <c r="A1405" t="s">
        <v>1801</v>
      </c>
      <c r="B1405" t="s">
        <v>1802</v>
      </c>
      <c r="C1405">
        <v>50</v>
      </c>
      <c r="D1405">
        <v>12</v>
      </c>
      <c r="E1405" t="s">
        <v>1734</v>
      </c>
      <c r="F1405" t="s">
        <v>187</v>
      </c>
      <c r="G1405" t="s">
        <v>14</v>
      </c>
      <c r="H1405">
        <v>2</v>
      </c>
      <c r="I1405">
        <v>3960</v>
      </c>
      <c r="J1405">
        <v>10</v>
      </c>
    </row>
    <row r="1406" spans="1:10">
      <c r="A1406" t="s">
        <v>1803</v>
      </c>
      <c r="B1406" t="s">
        <v>1802</v>
      </c>
      <c r="C1406">
        <v>50</v>
      </c>
      <c r="D1406">
        <v>12</v>
      </c>
      <c r="E1406" t="s">
        <v>1734</v>
      </c>
      <c r="F1406" t="s">
        <v>146</v>
      </c>
      <c r="G1406" t="s">
        <v>20</v>
      </c>
      <c r="H1406">
        <v>3</v>
      </c>
      <c r="I1406">
        <v>630</v>
      </c>
      <c r="J1406">
        <v>0</v>
      </c>
    </row>
    <row r="1407" spans="1:10">
      <c r="A1407" t="s">
        <v>1804</v>
      </c>
      <c r="B1407" t="s">
        <v>1802</v>
      </c>
      <c r="C1407">
        <v>50</v>
      </c>
      <c r="D1407">
        <v>12</v>
      </c>
      <c r="E1407" t="s">
        <v>1734</v>
      </c>
      <c r="F1407" t="s">
        <v>94</v>
      </c>
      <c r="G1407" t="s">
        <v>17</v>
      </c>
      <c r="H1407">
        <v>3</v>
      </c>
      <c r="I1407">
        <v>1680</v>
      </c>
      <c r="J1407">
        <v>0</v>
      </c>
    </row>
    <row r="1408" spans="1:10">
      <c r="A1408" t="s">
        <v>1805</v>
      </c>
      <c r="B1408" t="s">
        <v>1802</v>
      </c>
      <c r="C1408">
        <v>50</v>
      </c>
      <c r="D1408">
        <v>12</v>
      </c>
      <c r="E1408" t="s">
        <v>1734</v>
      </c>
      <c r="F1408" t="s">
        <v>16</v>
      </c>
      <c r="G1408" t="s">
        <v>17</v>
      </c>
      <c r="H1408">
        <v>1</v>
      </c>
      <c r="I1408">
        <v>520</v>
      </c>
      <c r="J1408">
        <v>0</v>
      </c>
    </row>
    <row r="1409" spans="1:10">
      <c r="A1409" t="s">
        <v>1806</v>
      </c>
      <c r="B1409" t="s">
        <v>1807</v>
      </c>
      <c r="C1409">
        <v>50</v>
      </c>
      <c r="D1409">
        <v>12</v>
      </c>
      <c r="E1409" t="s">
        <v>1734</v>
      </c>
      <c r="F1409" t="s">
        <v>119</v>
      </c>
      <c r="G1409" t="s">
        <v>14</v>
      </c>
      <c r="H1409">
        <v>5</v>
      </c>
      <c r="I1409">
        <v>770</v>
      </c>
      <c r="J1409">
        <v>0</v>
      </c>
    </row>
    <row r="1410" spans="1:10">
      <c r="A1410" t="s">
        <v>1808</v>
      </c>
      <c r="B1410" t="s">
        <v>1807</v>
      </c>
      <c r="C1410">
        <v>50</v>
      </c>
      <c r="D1410">
        <v>12</v>
      </c>
      <c r="E1410" t="s">
        <v>1734</v>
      </c>
      <c r="F1410" t="s">
        <v>86</v>
      </c>
      <c r="G1410" t="s">
        <v>17</v>
      </c>
      <c r="H1410">
        <v>3</v>
      </c>
      <c r="I1410">
        <v>893</v>
      </c>
      <c r="J1410">
        <v>5</v>
      </c>
    </row>
    <row r="1411" spans="1:10">
      <c r="A1411" t="s">
        <v>1809</v>
      </c>
      <c r="B1411" t="s">
        <v>1807</v>
      </c>
      <c r="C1411">
        <v>50</v>
      </c>
      <c r="D1411">
        <v>12</v>
      </c>
      <c r="E1411" t="s">
        <v>1734</v>
      </c>
      <c r="F1411" t="s">
        <v>25</v>
      </c>
      <c r="G1411" t="s">
        <v>26</v>
      </c>
      <c r="H1411">
        <v>3</v>
      </c>
      <c r="I1411">
        <v>900</v>
      </c>
      <c r="J1411">
        <v>10</v>
      </c>
    </row>
    <row r="1412" spans="1:10">
      <c r="A1412" t="s">
        <v>1810</v>
      </c>
      <c r="B1412" t="s">
        <v>1807</v>
      </c>
      <c r="C1412">
        <v>50</v>
      </c>
      <c r="D1412">
        <v>12</v>
      </c>
      <c r="E1412" t="s">
        <v>1734</v>
      </c>
      <c r="F1412" t="s">
        <v>82</v>
      </c>
      <c r="G1412" t="s">
        <v>20</v>
      </c>
      <c r="H1412">
        <v>3</v>
      </c>
      <c r="I1412">
        <v>810</v>
      </c>
      <c r="J1412">
        <v>10</v>
      </c>
    </row>
    <row r="1413" spans="1:10">
      <c r="A1413" t="s">
        <v>1811</v>
      </c>
      <c r="B1413" t="s">
        <v>1807</v>
      </c>
      <c r="C1413">
        <v>50</v>
      </c>
      <c r="D1413">
        <v>12</v>
      </c>
      <c r="E1413" t="s">
        <v>1734</v>
      </c>
      <c r="F1413" t="s">
        <v>94</v>
      </c>
      <c r="G1413" t="s">
        <v>17</v>
      </c>
      <c r="H1413">
        <v>3</v>
      </c>
      <c r="I1413">
        <v>1680</v>
      </c>
      <c r="J1413">
        <v>0</v>
      </c>
    </row>
    <row r="1414" spans="1:10">
      <c r="A1414" t="s">
        <v>1812</v>
      </c>
      <c r="B1414" t="s">
        <v>1807</v>
      </c>
      <c r="C1414">
        <v>50</v>
      </c>
      <c r="D1414">
        <v>12</v>
      </c>
      <c r="E1414" t="s">
        <v>1734</v>
      </c>
      <c r="F1414" t="s">
        <v>42</v>
      </c>
      <c r="G1414" t="s">
        <v>23</v>
      </c>
      <c r="H1414">
        <v>3</v>
      </c>
      <c r="I1414">
        <v>540</v>
      </c>
      <c r="J1414">
        <v>10</v>
      </c>
    </row>
    <row r="1415" spans="1:10">
      <c r="A1415" t="s">
        <v>1813</v>
      </c>
      <c r="B1415" t="s">
        <v>1814</v>
      </c>
      <c r="C1415">
        <v>50</v>
      </c>
      <c r="D1415">
        <v>12</v>
      </c>
      <c r="E1415" t="s">
        <v>1734</v>
      </c>
      <c r="F1415" t="s">
        <v>16</v>
      </c>
      <c r="G1415" t="s">
        <v>17</v>
      </c>
      <c r="H1415">
        <v>4</v>
      </c>
      <c r="I1415">
        <v>468</v>
      </c>
      <c r="J1415">
        <v>10</v>
      </c>
    </row>
    <row r="1416" spans="1:10">
      <c r="A1416" t="s">
        <v>1815</v>
      </c>
      <c r="B1416" t="s">
        <v>1814</v>
      </c>
      <c r="C1416">
        <v>50</v>
      </c>
      <c r="D1416">
        <v>12</v>
      </c>
      <c r="E1416" t="s">
        <v>1734</v>
      </c>
      <c r="F1416" t="s">
        <v>58</v>
      </c>
      <c r="G1416" t="s">
        <v>23</v>
      </c>
      <c r="H1416">
        <v>5</v>
      </c>
      <c r="I1416">
        <v>1000</v>
      </c>
      <c r="J1416">
        <v>0</v>
      </c>
    </row>
    <row r="1417" spans="1:10">
      <c r="A1417" t="s">
        <v>1816</v>
      </c>
      <c r="B1417" t="s">
        <v>1814</v>
      </c>
      <c r="C1417">
        <v>50</v>
      </c>
      <c r="D1417">
        <v>12</v>
      </c>
      <c r="E1417" t="s">
        <v>1734</v>
      </c>
      <c r="F1417" t="s">
        <v>16</v>
      </c>
      <c r="G1417" t="s">
        <v>17</v>
      </c>
      <c r="H1417">
        <v>5</v>
      </c>
      <c r="I1417">
        <v>494</v>
      </c>
      <c r="J1417">
        <v>5</v>
      </c>
    </row>
    <row r="1418" spans="1:10">
      <c r="A1418" t="s">
        <v>1817</v>
      </c>
      <c r="B1418" t="s">
        <v>1814</v>
      </c>
      <c r="C1418">
        <v>50</v>
      </c>
      <c r="D1418">
        <v>12</v>
      </c>
      <c r="E1418" t="s">
        <v>1734</v>
      </c>
      <c r="F1418" t="s">
        <v>86</v>
      </c>
      <c r="G1418" t="s">
        <v>17</v>
      </c>
      <c r="H1418">
        <v>3</v>
      </c>
      <c r="I1418">
        <v>940</v>
      </c>
      <c r="J1418">
        <v>0</v>
      </c>
    </row>
    <row r="1419" spans="1:10">
      <c r="A1419" t="s">
        <v>1818</v>
      </c>
      <c r="B1419" t="s">
        <v>1814</v>
      </c>
      <c r="C1419">
        <v>50</v>
      </c>
      <c r="D1419">
        <v>12</v>
      </c>
      <c r="E1419" t="s">
        <v>1734</v>
      </c>
      <c r="F1419" t="s">
        <v>68</v>
      </c>
      <c r="G1419" t="s">
        <v>26</v>
      </c>
      <c r="H1419">
        <v>1</v>
      </c>
      <c r="I1419">
        <v>380</v>
      </c>
      <c r="J1419">
        <v>0</v>
      </c>
    </row>
    <row r="1420" spans="1:10">
      <c r="A1420" t="s">
        <v>1819</v>
      </c>
      <c r="B1420" t="s">
        <v>1820</v>
      </c>
      <c r="C1420">
        <v>51</v>
      </c>
      <c r="D1420">
        <v>12</v>
      </c>
      <c r="E1420" t="s">
        <v>1734</v>
      </c>
      <c r="F1420" t="s">
        <v>115</v>
      </c>
      <c r="G1420" t="s">
        <v>23</v>
      </c>
      <c r="H1420">
        <v>5</v>
      </c>
      <c r="I1420">
        <v>1020</v>
      </c>
      <c r="J1420">
        <v>15</v>
      </c>
    </row>
    <row r="1421" spans="1:10">
      <c r="A1421" t="s">
        <v>1821</v>
      </c>
      <c r="B1421" t="s">
        <v>1820</v>
      </c>
      <c r="C1421">
        <v>51</v>
      </c>
      <c r="D1421">
        <v>12</v>
      </c>
      <c r="E1421" t="s">
        <v>1734</v>
      </c>
      <c r="F1421" t="s">
        <v>35</v>
      </c>
      <c r="G1421" t="s">
        <v>17</v>
      </c>
      <c r="H1421">
        <v>3</v>
      </c>
      <c r="I1421">
        <v>3150</v>
      </c>
      <c r="J1421">
        <v>0</v>
      </c>
    </row>
    <row r="1422" spans="1:10">
      <c r="A1422" t="s">
        <v>1822</v>
      </c>
      <c r="B1422" t="s">
        <v>1820</v>
      </c>
      <c r="C1422">
        <v>51</v>
      </c>
      <c r="D1422">
        <v>12</v>
      </c>
      <c r="E1422" t="s">
        <v>1734</v>
      </c>
      <c r="F1422" t="s">
        <v>51</v>
      </c>
      <c r="G1422" t="s">
        <v>26</v>
      </c>
      <c r="H1422">
        <v>5</v>
      </c>
      <c r="I1422">
        <v>450</v>
      </c>
      <c r="J1422">
        <v>10</v>
      </c>
    </row>
    <row r="1423" spans="1:10">
      <c r="A1423" t="s">
        <v>1823</v>
      </c>
      <c r="B1423" t="s">
        <v>1820</v>
      </c>
      <c r="C1423">
        <v>51</v>
      </c>
      <c r="D1423">
        <v>12</v>
      </c>
      <c r="E1423" t="s">
        <v>1734</v>
      </c>
      <c r="F1423" t="s">
        <v>51</v>
      </c>
      <c r="G1423" t="s">
        <v>26</v>
      </c>
      <c r="H1423">
        <v>5</v>
      </c>
      <c r="I1423">
        <v>500</v>
      </c>
      <c r="J1423">
        <v>0</v>
      </c>
    </row>
    <row r="1424" spans="1:10">
      <c r="A1424" t="s">
        <v>1824</v>
      </c>
      <c r="B1424" t="s">
        <v>1820</v>
      </c>
      <c r="C1424">
        <v>51</v>
      </c>
      <c r="D1424">
        <v>12</v>
      </c>
      <c r="E1424" t="s">
        <v>1734</v>
      </c>
      <c r="F1424" t="s">
        <v>82</v>
      </c>
      <c r="G1424" t="s">
        <v>20</v>
      </c>
      <c r="H1424">
        <v>2</v>
      </c>
      <c r="I1424">
        <v>900</v>
      </c>
      <c r="J1424">
        <v>0</v>
      </c>
    </row>
    <row r="1425" spans="1:10">
      <c r="A1425" t="s">
        <v>1825</v>
      </c>
      <c r="B1425" t="s">
        <v>1820</v>
      </c>
      <c r="C1425">
        <v>51</v>
      </c>
      <c r="D1425">
        <v>12</v>
      </c>
      <c r="E1425" t="s">
        <v>1734</v>
      </c>
      <c r="F1425" t="s">
        <v>94</v>
      </c>
      <c r="G1425" t="s">
        <v>17</v>
      </c>
      <c r="H1425">
        <v>3</v>
      </c>
      <c r="I1425">
        <v>1512</v>
      </c>
      <c r="J1425">
        <v>10</v>
      </c>
    </row>
    <row r="1426" spans="1:10">
      <c r="A1426" t="s">
        <v>1826</v>
      </c>
      <c r="B1426" t="s">
        <v>1827</v>
      </c>
      <c r="C1426">
        <v>51</v>
      </c>
      <c r="D1426">
        <v>12</v>
      </c>
      <c r="E1426" t="s">
        <v>1734</v>
      </c>
      <c r="F1426" t="s">
        <v>119</v>
      </c>
      <c r="G1426" t="s">
        <v>14</v>
      </c>
      <c r="H1426">
        <v>2</v>
      </c>
      <c r="I1426">
        <v>693</v>
      </c>
      <c r="J1426">
        <v>10</v>
      </c>
    </row>
    <row r="1427" spans="1:10">
      <c r="A1427" t="s">
        <v>1828</v>
      </c>
      <c r="B1427" t="s">
        <v>1827</v>
      </c>
      <c r="C1427">
        <v>51</v>
      </c>
      <c r="D1427">
        <v>12</v>
      </c>
      <c r="E1427" t="s">
        <v>1734</v>
      </c>
      <c r="F1427" t="s">
        <v>86</v>
      </c>
      <c r="G1427" t="s">
        <v>17</v>
      </c>
      <c r="H1427">
        <v>1</v>
      </c>
      <c r="I1427">
        <v>940</v>
      </c>
      <c r="J1427">
        <v>0</v>
      </c>
    </row>
    <row r="1428" spans="1:10">
      <c r="A1428" t="s">
        <v>1829</v>
      </c>
      <c r="B1428" t="s">
        <v>1827</v>
      </c>
      <c r="C1428">
        <v>51</v>
      </c>
      <c r="D1428">
        <v>12</v>
      </c>
      <c r="E1428" t="s">
        <v>1734</v>
      </c>
      <c r="F1428" t="s">
        <v>16</v>
      </c>
      <c r="G1428" t="s">
        <v>17</v>
      </c>
      <c r="H1428">
        <v>4</v>
      </c>
      <c r="I1428">
        <v>468</v>
      </c>
      <c r="J1428">
        <v>10</v>
      </c>
    </row>
    <row r="1429" spans="1:10">
      <c r="A1429" t="s">
        <v>1830</v>
      </c>
      <c r="B1429" t="s">
        <v>1827</v>
      </c>
      <c r="C1429">
        <v>51</v>
      </c>
      <c r="D1429">
        <v>12</v>
      </c>
      <c r="E1429" t="s">
        <v>1734</v>
      </c>
      <c r="F1429" t="s">
        <v>45</v>
      </c>
      <c r="G1429" t="s">
        <v>26</v>
      </c>
      <c r="H1429">
        <v>2</v>
      </c>
      <c r="I1429">
        <v>4275</v>
      </c>
      <c r="J1429">
        <v>5</v>
      </c>
    </row>
    <row r="1430" spans="1:10">
      <c r="A1430" t="s">
        <v>1831</v>
      </c>
      <c r="B1430" t="s">
        <v>1827</v>
      </c>
      <c r="C1430">
        <v>51</v>
      </c>
      <c r="D1430">
        <v>12</v>
      </c>
      <c r="E1430" t="s">
        <v>1734</v>
      </c>
      <c r="F1430" t="s">
        <v>187</v>
      </c>
      <c r="G1430" t="s">
        <v>14</v>
      </c>
      <c r="H1430">
        <v>4</v>
      </c>
      <c r="I1430">
        <v>4180</v>
      </c>
      <c r="J1430">
        <v>5</v>
      </c>
    </row>
    <row r="1431" spans="1:10">
      <c r="A1431" t="s">
        <v>1832</v>
      </c>
      <c r="B1431" t="s">
        <v>1827</v>
      </c>
      <c r="C1431">
        <v>51</v>
      </c>
      <c r="D1431">
        <v>12</v>
      </c>
      <c r="E1431" t="s">
        <v>1734</v>
      </c>
      <c r="F1431" t="s">
        <v>25</v>
      </c>
      <c r="G1431" t="s">
        <v>26</v>
      </c>
      <c r="H1431">
        <v>2</v>
      </c>
      <c r="I1431">
        <v>950</v>
      </c>
      <c r="J1431">
        <v>5</v>
      </c>
    </row>
    <row r="1432" spans="1:10">
      <c r="A1432" t="s">
        <v>1833</v>
      </c>
      <c r="B1432" t="s">
        <v>1827</v>
      </c>
      <c r="C1432">
        <v>51</v>
      </c>
      <c r="D1432">
        <v>12</v>
      </c>
      <c r="E1432" t="s">
        <v>1734</v>
      </c>
      <c r="F1432" t="s">
        <v>66</v>
      </c>
      <c r="G1432" t="s">
        <v>17</v>
      </c>
      <c r="H1432">
        <v>2</v>
      </c>
      <c r="I1432">
        <v>1396.5</v>
      </c>
      <c r="J1432">
        <v>5</v>
      </c>
    </row>
    <row r="1433" spans="1:10">
      <c r="A1433" t="s">
        <v>1834</v>
      </c>
      <c r="B1433" t="s">
        <v>1827</v>
      </c>
      <c r="C1433">
        <v>51</v>
      </c>
      <c r="D1433">
        <v>12</v>
      </c>
      <c r="E1433" t="s">
        <v>1734</v>
      </c>
      <c r="F1433" t="s">
        <v>82</v>
      </c>
      <c r="G1433" t="s">
        <v>20</v>
      </c>
      <c r="H1433">
        <v>1</v>
      </c>
      <c r="I1433">
        <v>900</v>
      </c>
      <c r="J1433">
        <v>0</v>
      </c>
    </row>
    <row r="1434" spans="1:10">
      <c r="A1434" t="s">
        <v>1835</v>
      </c>
      <c r="B1434" t="s">
        <v>1827</v>
      </c>
      <c r="C1434">
        <v>51</v>
      </c>
      <c r="D1434">
        <v>12</v>
      </c>
      <c r="E1434" t="s">
        <v>1734</v>
      </c>
      <c r="F1434" t="s">
        <v>39</v>
      </c>
      <c r="G1434" t="s">
        <v>14</v>
      </c>
      <c r="H1434">
        <v>3</v>
      </c>
      <c r="I1434">
        <v>836</v>
      </c>
      <c r="J1434">
        <v>5</v>
      </c>
    </row>
    <row r="1435" spans="1:10">
      <c r="A1435" t="s">
        <v>1836</v>
      </c>
      <c r="B1435" t="s">
        <v>1837</v>
      </c>
      <c r="C1435">
        <v>51</v>
      </c>
      <c r="D1435">
        <v>12</v>
      </c>
      <c r="E1435" t="s">
        <v>1734</v>
      </c>
      <c r="F1435" t="s">
        <v>94</v>
      </c>
      <c r="G1435" t="s">
        <v>17</v>
      </c>
      <c r="H1435">
        <v>2</v>
      </c>
      <c r="I1435">
        <v>1596</v>
      </c>
      <c r="J1435">
        <v>5</v>
      </c>
    </row>
    <row r="1436" spans="1:10">
      <c r="A1436" t="s">
        <v>1838</v>
      </c>
      <c r="B1436" t="s">
        <v>1837</v>
      </c>
      <c r="C1436">
        <v>51</v>
      </c>
      <c r="D1436">
        <v>12</v>
      </c>
      <c r="E1436" t="s">
        <v>1734</v>
      </c>
      <c r="F1436" t="s">
        <v>51</v>
      </c>
      <c r="G1436" t="s">
        <v>26</v>
      </c>
      <c r="H1436">
        <v>2</v>
      </c>
      <c r="I1436">
        <v>500</v>
      </c>
      <c r="J1436">
        <v>0</v>
      </c>
    </row>
    <row r="1437" spans="1:10">
      <c r="A1437" t="s">
        <v>1839</v>
      </c>
      <c r="B1437" t="s">
        <v>1837</v>
      </c>
      <c r="C1437">
        <v>51</v>
      </c>
      <c r="D1437">
        <v>12</v>
      </c>
      <c r="E1437" t="s">
        <v>1734</v>
      </c>
      <c r="F1437" t="s">
        <v>94</v>
      </c>
      <c r="G1437" t="s">
        <v>17</v>
      </c>
      <c r="H1437">
        <v>5</v>
      </c>
      <c r="I1437">
        <v>1680</v>
      </c>
      <c r="J1437">
        <v>0</v>
      </c>
    </row>
    <row r="1438" spans="1:10">
      <c r="A1438" t="s">
        <v>1840</v>
      </c>
      <c r="B1438" t="s">
        <v>1837</v>
      </c>
      <c r="C1438">
        <v>51</v>
      </c>
      <c r="D1438">
        <v>12</v>
      </c>
      <c r="E1438" t="s">
        <v>1734</v>
      </c>
      <c r="F1438" t="s">
        <v>16</v>
      </c>
      <c r="G1438" t="s">
        <v>17</v>
      </c>
      <c r="H1438">
        <v>2</v>
      </c>
      <c r="I1438">
        <v>520</v>
      </c>
      <c r="J1438">
        <v>0</v>
      </c>
    </row>
    <row r="1439" spans="1:10">
      <c r="A1439" t="s">
        <v>1841</v>
      </c>
      <c r="B1439" t="s">
        <v>1837</v>
      </c>
      <c r="C1439">
        <v>51</v>
      </c>
      <c r="D1439">
        <v>12</v>
      </c>
      <c r="E1439" t="s">
        <v>1734</v>
      </c>
      <c r="F1439" t="s">
        <v>119</v>
      </c>
      <c r="G1439" t="s">
        <v>14</v>
      </c>
      <c r="H1439">
        <v>5</v>
      </c>
      <c r="I1439">
        <v>770</v>
      </c>
      <c r="J1439">
        <v>0</v>
      </c>
    </row>
    <row r="1440" spans="1:10">
      <c r="A1440" t="s">
        <v>1842</v>
      </c>
      <c r="B1440" t="s">
        <v>1843</v>
      </c>
      <c r="C1440">
        <v>51</v>
      </c>
      <c r="D1440">
        <v>12</v>
      </c>
      <c r="E1440" t="s">
        <v>1734</v>
      </c>
      <c r="F1440" t="s">
        <v>35</v>
      </c>
      <c r="G1440" t="s">
        <v>17</v>
      </c>
      <c r="H1440">
        <v>1</v>
      </c>
      <c r="I1440">
        <v>3150</v>
      </c>
      <c r="J1440">
        <v>0</v>
      </c>
    </row>
    <row r="1441" spans="1:10">
      <c r="A1441" t="s">
        <v>1844</v>
      </c>
      <c r="B1441" t="s">
        <v>1843</v>
      </c>
      <c r="C1441">
        <v>51</v>
      </c>
      <c r="D1441">
        <v>12</v>
      </c>
      <c r="E1441" t="s">
        <v>1734</v>
      </c>
      <c r="F1441" t="s">
        <v>16</v>
      </c>
      <c r="G1441" t="s">
        <v>17</v>
      </c>
      <c r="H1441">
        <v>5</v>
      </c>
      <c r="I1441">
        <v>468</v>
      </c>
      <c r="J1441">
        <v>10</v>
      </c>
    </row>
    <row r="1442" spans="1:10">
      <c r="A1442" t="s">
        <v>1845</v>
      </c>
      <c r="B1442" t="s">
        <v>1843</v>
      </c>
      <c r="C1442">
        <v>51</v>
      </c>
      <c r="D1442">
        <v>12</v>
      </c>
      <c r="E1442" t="s">
        <v>1734</v>
      </c>
      <c r="F1442" t="s">
        <v>64</v>
      </c>
      <c r="G1442" t="s">
        <v>14</v>
      </c>
      <c r="H1442">
        <v>3</v>
      </c>
      <c r="I1442">
        <v>2244</v>
      </c>
      <c r="J1442">
        <v>15</v>
      </c>
    </row>
    <row r="1443" spans="1:10">
      <c r="A1443" t="s">
        <v>1846</v>
      </c>
      <c r="B1443" t="s">
        <v>1843</v>
      </c>
      <c r="C1443">
        <v>51</v>
      </c>
      <c r="D1443">
        <v>12</v>
      </c>
      <c r="E1443" t="s">
        <v>1734</v>
      </c>
      <c r="F1443" t="s">
        <v>66</v>
      </c>
      <c r="G1443" t="s">
        <v>17</v>
      </c>
      <c r="H1443">
        <v>2</v>
      </c>
      <c r="I1443">
        <v>1470</v>
      </c>
      <c r="J1443">
        <v>0</v>
      </c>
    </row>
    <row r="1444" spans="1:10">
      <c r="A1444" t="s">
        <v>1847</v>
      </c>
      <c r="B1444" t="s">
        <v>1843</v>
      </c>
      <c r="C1444">
        <v>51</v>
      </c>
      <c r="D1444">
        <v>12</v>
      </c>
      <c r="E1444" t="s">
        <v>1734</v>
      </c>
      <c r="F1444" t="s">
        <v>25</v>
      </c>
      <c r="G1444" t="s">
        <v>26</v>
      </c>
      <c r="H1444">
        <v>2</v>
      </c>
      <c r="I1444">
        <v>950</v>
      </c>
      <c r="J1444">
        <v>5</v>
      </c>
    </row>
    <row r="1445" spans="1:10">
      <c r="A1445" t="s">
        <v>1848</v>
      </c>
      <c r="B1445" t="s">
        <v>1843</v>
      </c>
      <c r="C1445">
        <v>51</v>
      </c>
      <c r="D1445">
        <v>12</v>
      </c>
      <c r="E1445" t="s">
        <v>1734</v>
      </c>
      <c r="F1445" t="s">
        <v>97</v>
      </c>
      <c r="G1445" t="s">
        <v>20</v>
      </c>
      <c r="H1445">
        <v>3</v>
      </c>
      <c r="I1445">
        <v>1782</v>
      </c>
      <c r="J1445">
        <v>10</v>
      </c>
    </row>
    <row r="1446" spans="1:10">
      <c r="A1446" t="s">
        <v>1849</v>
      </c>
      <c r="B1446" t="s">
        <v>1850</v>
      </c>
      <c r="C1446">
        <v>51</v>
      </c>
      <c r="D1446">
        <v>12</v>
      </c>
      <c r="E1446" t="s">
        <v>1734</v>
      </c>
      <c r="F1446" t="s">
        <v>37</v>
      </c>
      <c r="G1446" t="s">
        <v>20</v>
      </c>
      <c r="H1446">
        <v>1</v>
      </c>
      <c r="I1446">
        <v>2223</v>
      </c>
      <c r="J1446">
        <v>5</v>
      </c>
    </row>
    <row r="1447" spans="1:10">
      <c r="A1447" t="s">
        <v>1851</v>
      </c>
      <c r="B1447" t="s">
        <v>1850</v>
      </c>
      <c r="C1447">
        <v>51</v>
      </c>
      <c r="D1447">
        <v>12</v>
      </c>
      <c r="E1447" t="s">
        <v>1734</v>
      </c>
      <c r="F1447" t="s">
        <v>16</v>
      </c>
      <c r="G1447" t="s">
        <v>17</v>
      </c>
      <c r="H1447">
        <v>5</v>
      </c>
      <c r="I1447">
        <v>468</v>
      </c>
      <c r="J1447">
        <v>10</v>
      </c>
    </row>
    <row r="1448" spans="1:10">
      <c r="A1448" t="s">
        <v>1852</v>
      </c>
      <c r="B1448" t="s">
        <v>1850</v>
      </c>
      <c r="C1448">
        <v>51</v>
      </c>
      <c r="D1448">
        <v>12</v>
      </c>
      <c r="E1448" t="s">
        <v>1734</v>
      </c>
      <c r="F1448" t="s">
        <v>115</v>
      </c>
      <c r="G1448" t="s">
        <v>23</v>
      </c>
      <c r="H1448">
        <v>4</v>
      </c>
      <c r="I1448">
        <v>1140</v>
      </c>
      <c r="J1448">
        <v>5</v>
      </c>
    </row>
    <row r="1449" spans="1:10">
      <c r="A1449" t="s">
        <v>1853</v>
      </c>
      <c r="B1449" t="s">
        <v>1854</v>
      </c>
      <c r="C1449">
        <v>51</v>
      </c>
      <c r="D1449">
        <v>12</v>
      </c>
      <c r="E1449" t="s">
        <v>1734</v>
      </c>
      <c r="F1449" t="s">
        <v>86</v>
      </c>
      <c r="G1449" t="s">
        <v>17</v>
      </c>
      <c r="H1449">
        <v>3</v>
      </c>
      <c r="I1449">
        <v>940</v>
      </c>
      <c r="J1449">
        <v>0</v>
      </c>
    </row>
    <row r="1450" spans="1:10">
      <c r="A1450" t="s">
        <v>1855</v>
      </c>
      <c r="B1450" t="s">
        <v>1854</v>
      </c>
      <c r="C1450">
        <v>51</v>
      </c>
      <c r="D1450">
        <v>12</v>
      </c>
      <c r="E1450" t="s">
        <v>1734</v>
      </c>
      <c r="F1450" t="s">
        <v>66</v>
      </c>
      <c r="G1450" t="s">
        <v>17</v>
      </c>
      <c r="H1450">
        <v>5</v>
      </c>
      <c r="I1450">
        <v>1249.5</v>
      </c>
      <c r="J1450">
        <v>15</v>
      </c>
    </row>
    <row r="1451" spans="1:10">
      <c r="A1451" t="s">
        <v>1856</v>
      </c>
      <c r="B1451" t="s">
        <v>1854</v>
      </c>
      <c r="C1451">
        <v>51</v>
      </c>
      <c r="D1451">
        <v>12</v>
      </c>
      <c r="E1451" t="s">
        <v>1734</v>
      </c>
      <c r="F1451" t="s">
        <v>94</v>
      </c>
      <c r="G1451" t="s">
        <v>17</v>
      </c>
      <c r="H1451">
        <v>5</v>
      </c>
      <c r="I1451">
        <v>1680</v>
      </c>
      <c r="J1451">
        <v>0</v>
      </c>
    </row>
    <row r="1452" spans="1:10">
      <c r="A1452" t="s">
        <v>1857</v>
      </c>
      <c r="B1452" t="s">
        <v>1854</v>
      </c>
      <c r="C1452">
        <v>51</v>
      </c>
      <c r="D1452">
        <v>12</v>
      </c>
      <c r="E1452" t="s">
        <v>1734</v>
      </c>
      <c r="F1452" t="s">
        <v>13</v>
      </c>
      <c r="G1452" t="s">
        <v>14</v>
      </c>
      <c r="H1452">
        <v>5</v>
      </c>
      <c r="I1452">
        <v>432</v>
      </c>
      <c r="J1452">
        <v>10</v>
      </c>
    </row>
    <row r="1453" spans="1:10">
      <c r="A1453" t="s">
        <v>1858</v>
      </c>
      <c r="B1453" t="s">
        <v>1854</v>
      </c>
      <c r="C1453">
        <v>51</v>
      </c>
      <c r="D1453">
        <v>12</v>
      </c>
      <c r="E1453" t="s">
        <v>1734</v>
      </c>
      <c r="F1453" t="s">
        <v>349</v>
      </c>
      <c r="G1453" t="s">
        <v>221</v>
      </c>
      <c r="H1453">
        <v>1</v>
      </c>
      <c r="I1453">
        <v>400</v>
      </c>
      <c r="J1453">
        <v>0</v>
      </c>
    </row>
    <row r="1454" spans="1:10">
      <c r="A1454" t="s">
        <v>1859</v>
      </c>
      <c r="B1454" t="s">
        <v>1854</v>
      </c>
      <c r="C1454">
        <v>51</v>
      </c>
      <c r="D1454">
        <v>12</v>
      </c>
      <c r="E1454" t="s">
        <v>1734</v>
      </c>
      <c r="F1454" t="s">
        <v>68</v>
      </c>
      <c r="G1454" t="s">
        <v>26</v>
      </c>
      <c r="H1454">
        <v>3</v>
      </c>
      <c r="I1454">
        <v>380</v>
      </c>
      <c r="J1454">
        <v>0</v>
      </c>
    </row>
    <row r="1455" spans="1:10">
      <c r="A1455" t="s">
        <v>1860</v>
      </c>
      <c r="B1455" t="s">
        <v>1854</v>
      </c>
      <c r="C1455">
        <v>51</v>
      </c>
      <c r="D1455">
        <v>12</v>
      </c>
      <c r="E1455" t="s">
        <v>1734</v>
      </c>
      <c r="F1455" t="s">
        <v>45</v>
      </c>
      <c r="G1455" t="s">
        <v>26</v>
      </c>
      <c r="H1455">
        <v>3</v>
      </c>
      <c r="I1455">
        <v>4500</v>
      </c>
      <c r="J1455">
        <v>0</v>
      </c>
    </row>
    <row r="1456" spans="1:10">
      <c r="A1456" t="s">
        <v>1861</v>
      </c>
      <c r="B1456" t="s">
        <v>1862</v>
      </c>
      <c r="C1456">
        <v>51</v>
      </c>
      <c r="D1456">
        <v>12</v>
      </c>
      <c r="E1456" t="s">
        <v>1734</v>
      </c>
      <c r="F1456" t="s">
        <v>94</v>
      </c>
      <c r="G1456" t="s">
        <v>17</v>
      </c>
      <c r="H1456">
        <v>3</v>
      </c>
      <c r="I1456">
        <v>1596</v>
      </c>
      <c r="J1456">
        <v>5</v>
      </c>
    </row>
    <row r="1457" spans="1:10">
      <c r="A1457" t="s">
        <v>1863</v>
      </c>
      <c r="B1457" t="s">
        <v>1862</v>
      </c>
      <c r="C1457">
        <v>51</v>
      </c>
      <c r="D1457">
        <v>12</v>
      </c>
      <c r="E1457" t="s">
        <v>1734</v>
      </c>
      <c r="F1457" t="s">
        <v>39</v>
      </c>
      <c r="G1457" t="s">
        <v>14</v>
      </c>
      <c r="H1457">
        <v>4</v>
      </c>
      <c r="I1457">
        <v>792</v>
      </c>
      <c r="J1457">
        <v>10</v>
      </c>
    </row>
    <row r="1458" spans="1:10">
      <c r="A1458" t="s">
        <v>1864</v>
      </c>
      <c r="B1458" t="s">
        <v>1862</v>
      </c>
      <c r="C1458">
        <v>51</v>
      </c>
      <c r="D1458">
        <v>12</v>
      </c>
      <c r="E1458" t="s">
        <v>1734</v>
      </c>
      <c r="F1458" t="s">
        <v>16</v>
      </c>
      <c r="G1458" t="s">
        <v>17</v>
      </c>
      <c r="H1458">
        <v>1</v>
      </c>
      <c r="I1458">
        <v>520</v>
      </c>
      <c r="J1458">
        <v>0</v>
      </c>
    </row>
    <row r="1459" spans="1:10">
      <c r="A1459" t="s">
        <v>1865</v>
      </c>
      <c r="B1459" t="s">
        <v>1862</v>
      </c>
      <c r="C1459">
        <v>51</v>
      </c>
      <c r="D1459">
        <v>12</v>
      </c>
      <c r="E1459" t="s">
        <v>1734</v>
      </c>
      <c r="F1459" t="s">
        <v>80</v>
      </c>
      <c r="G1459" t="s">
        <v>14</v>
      </c>
      <c r="H1459">
        <v>2</v>
      </c>
      <c r="I1459">
        <v>340</v>
      </c>
      <c r="J1459">
        <v>15</v>
      </c>
    </row>
    <row r="1460" spans="1:10">
      <c r="A1460" t="s">
        <v>1866</v>
      </c>
      <c r="B1460" t="s">
        <v>1862</v>
      </c>
      <c r="C1460">
        <v>51</v>
      </c>
      <c r="D1460">
        <v>12</v>
      </c>
      <c r="E1460" t="s">
        <v>1734</v>
      </c>
      <c r="F1460" t="s">
        <v>13</v>
      </c>
      <c r="G1460" t="s">
        <v>14</v>
      </c>
      <c r="H1460">
        <v>2</v>
      </c>
      <c r="I1460">
        <v>432</v>
      </c>
      <c r="J1460">
        <v>10</v>
      </c>
    </row>
    <row r="1461" spans="1:10">
      <c r="A1461" t="s">
        <v>1867</v>
      </c>
      <c r="B1461" t="s">
        <v>1862</v>
      </c>
      <c r="C1461">
        <v>51</v>
      </c>
      <c r="D1461">
        <v>12</v>
      </c>
      <c r="E1461" t="s">
        <v>1734</v>
      </c>
      <c r="F1461" t="s">
        <v>39</v>
      </c>
      <c r="G1461" t="s">
        <v>14</v>
      </c>
      <c r="H1461">
        <v>1</v>
      </c>
      <c r="I1461">
        <v>836</v>
      </c>
      <c r="J1461">
        <v>5</v>
      </c>
    </row>
    <row r="1462" spans="1:10">
      <c r="A1462" t="s">
        <v>1868</v>
      </c>
      <c r="B1462" t="s">
        <v>1869</v>
      </c>
      <c r="C1462">
        <v>52</v>
      </c>
      <c r="D1462">
        <v>12</v>
      </c>
      <c r="E1462" t="s">
        <v>1734</v>
      </c>
      <c r="F1462" t="s">
        <v>13</v>
      </c>
      <c r="G1462" t="s">
        <v>14</v>
      </c>
      <c r="H1462">
        <v>5</v>
      </c>
      <c r="I1462">
        <v>480</v>
      </c>
      <c r="J1462">
        <v>0</v>
      </c>
    </row>
    <row r="1463" spans="1:10">
      <c r="A1463" t="s">
        <v>1870</v>
      </c>
      <c r="B1463" t="s">
        <v>1869</v>
      </c>
      <c r="C1463">
        <v>52</v>
      </c>
      <c r="D1463">
        <v>12</v>
      </c>
      <c r="E1463" t="s">
        <v>1734</v>
      </c>
      <c r="F1463" t="s">
        <v>31</v>
      </c>
      <c r="G1463" t="s">
        <v>23</v>
      </c>
      <c r="H1463">
        <v>1</v>
      </c>
      <c r="I1463">
        <v>1260</v>
      </c>
      <c r="J1463">
        <v>10</v>
      </c>
    </row>
    <row r="1464" spans="1:10">
      <c r="A1464" t="s">
        <v>1871</v>
      </c>
      <c r="B1464" t="s">
        <v>1869</v>
      </c>
      <c r="C1464">
        <v>52</v>
      </c>
      <c r="D1464">
        <v>12</v>
      </c>
      <c r="E1464" t="s">
        <v>1734</v>
      </c>
      <c r="F1464" t="s">
        <v>51</v>
      </c>
      <c r="G1464" t="s">
        <v>26</v>
      </c>
      <c r="H1464">
        <v>2</v>
      </c>
      <c r="I1464">
        <v>500</v>
      </c>
      <c r="J1464">
        <v>0</v>
      </c>
    </row>
    <row r="1465" spans="1:10">
      <c r="A1465" t="s">
        <v>1872</v>
      </c>
      <c r="B1465" t="s">
        <v>1869</v>
      </c>
      <c r="C1465">
        <v>52</v>
      </c>
      <c r="D1465">
        <v>12</v>
      </c>
      <c r="E1465" t="s">
        <v>1734</v>
      </c>
      <c r="F1465" t="s">
        <v>58</v>
      </c>
      <c r="G1465" t="s">
        <v>23</v>
      </c>
      <c r="H1465">
        <v>1</v>
      </c>
      <c r="I1465">
        <v>1000</v>
      </c>
      <c r="J1465">
        <v>0</v>
      </c>
    </row>
    <row r="1466" spans="1:10">
      <c r="A1466" t="s">
        <v>1873</v>
      </c>
      <c r="B1466" t="s">
        <v>1874</v>
      </c>
      <c r="C1466">
        <v>52</v>
      </c>
      <c r="D1466">
        <v>12</v>
      </c>
      <c r="E1466" t="s">
        <v>1734</v>
      </c>
      <c r="F1466" t="s">
        <v>16</v>
      </c>
      <c r="G1466" t="s">
        <v>17</v>
      </c>
      <c r="H1466">
        <v>1</v>
      </c>
      <c r="I1466">
        <v>468</v>
      </c>
      <c r="J1466">
        <v>10</v>
      </c>
    </row>
    <row r="1467" spans="1:10">
      <c r="A1467" t="s">
        <v>1875</v>
      </c>
      <c r="B1467" t="s">
        <v>1874</v>
      </c>
      <c r="C1467">
        <v>52</v>
      </c>
      <c r="D1467">
        <v>12</v>
      </c>
      <c r="E1467" t="s">
        <v>1734</v>
      </c>
      <c r="F1467" t="s">
        <v>28</v>
      </c>
      <c r="G1467" t="s">
        <v>26</v>
      </c>
      <c r="H1467">
        <v>4</v>
      </c>
      <c r="I1467">
        <v>1500</v>
      </c>
      <c r="J1467">
        <v>0</v>
      </c>
    </row>
    <row r="1468" spans="1:10">
      <c r="A1468" t="s">
        <v>1876</v>
      </c>
      <c r="B1468" t="s">
        <v>1874</v>
      </c>
      <c r="C1468">
        <v>52</v>
      </c>
      <c r="D1468">
        <v>12</v>
      </c>
      <c r="E1468" t="s">
        <v>1734</v>
      </c>
      <c r="F1468" t="s">
        <v>37</v>
      </c>
      <c r="G1468" t="s">
        <v>20</v>
      </c>
      <c r="H1468">
        <v>2</v>
      </c>
      <c r="I1468">
        <v>2340</v>
      </c>
      <c r="J1468">
        <v>0</v>
      </c>
    </row>
    <row r="1469" spans="1:10">
      <c r="A1469" t="s">
        <v>1877</v>
      </c>
      <c r="B1469" t="s">
        <v>1874</v>
      </c>
      <c r="C1469">
        <v>52</v>
      </c>
      <c r="D1469">
        <v>12</v>
      </c>
      <c r="E1469" t="s">
        <v>1734</v>
      </c>
      <c r="F1469" t="s">
        <v>31</v>
      </c>
      <c r="G1469" t="s">
        <v>23</v>
      </c>
      <c r="H1469">
        <v>3</v>
      </c>
      <c r="I1469">
        <v>1400</v>
      </c>
      <c r="J1469">
        <v>0</v>
      </c>
    </row>
    <row r="1470" spans="1:10">
      <c r="A1470" t="s">
        <v>1878</v>
      </c>
      <c r="B1470" t="s">
        <v>1874</v>
      </c>
      <c r="C1470">
        <v>52</v>
      </c>
      <c r="D1470">
        <v>12</v>
      </c>
      <c r="E1470" t="s">
        <v>1734</v>
      </c>
      <c r="F1470" t="s">
        <v>35</v>
      </c>
      <c r="G1470" t="s">
        <v>17</v>
      </c>
      <c r="H1470">
        <v>1</v>
      </c>
      <c r="I1470">
        <v>3150</v>
      </c>
      <c r="J1470">
        <v>0</v>
      </c>
    </row>
    <row r="1471" spans="1:10">
      <c r="A1471" t="s">
        <v>1879</v>
      </c>
      <c r="B1471" t="s">
        <v>1874</v>
      </c>
      <c r="C1471">
        <v>52</v>
      </c>
      <c r="D1471">
        <v>12</v>
      </c>
      <c r="E1471" t="s">
        <v>1734</v>
      </c>
      <c r="F1471" t="s">
        <v>35</v>
      </c>
      <c r="G1471" t="s">
        <v>17</v>
      </c>
      <c r="H1471">
        <v>4</v>
      </c>
      <c r="I1471">
        <v>3150</v>
      </c>
      <c r="J1471">
        <v>0</v>
      </c>
    </row>
    <row r="1472" spans="1:10">
      <c r="A1472" t="s">
        <v>1880</v>
      </c>
      <c r="B1472" t="s">
        <v>1881</v>
      </c>
      <c r="C1472">
        <v>52</v>
      </c>
      <c r="D1472">
        <v>12</v>
      </c>
      <c r="E1472" t="s">
        <v>1734</v>
      </c>
      <c r="F1472" t="s">
        <v>82</v>
      </c>
      <c r="G1472" t="s">
        <v>20</v>
      </c>
      <c r="H1472">
        <v>4</v>
      </c>
      <c r="I1472">
        <v>810</v>
      </c>
      <c r="J1472">
        <v>10</v>
      </c>
    </row>
    <row r="1473" spans="1:10">
      <c r="A1473" t="s">
        <v>1882</v>
      </c>
      <c r="B1473" t="s">
        <v>1881</v>
      </c>
      <c r="C1473">
        <v>52</v>
      </c>
      <c r="D1473">
        <v>12</v>
      </c>
      <c r="E1473" t="s">
        <v>1734</v>
      </c>
      <c r="F1473" t="s">
        <v>39</v>
      </c>
      <c r="G1473" t="s">
        <v>14</v>
      </c>
      <c r="H1473">
        <v>5</v>
      </c>
      <c r="I1473">
        <v>748</v>
      </c>
      <c r="J1473">
        <v>15</v>
      </c>
    </row>
    <row r="1474" spans="1:10">
      <c r="A1474" t="s">
        <v>1883</v>
      </c>
      <c r="B1474" t="s">
        <v>1881</v>
      </c>
      <c r="C1474">
        <v>52</v>
      </c>
      <c r="D1474">
        <v>12</v>
      </c>
      <c r="E1474" t="s">
        <v>1734</v>
      </c>
      <c r="F1474" t="s">
        <v>22</v>
      </c>
      <c r="G1474" t="s">
        <v>23</v>
      </c>
      <c r="H1474">
        <v>3</v>
      </c>
      <c r="I1474">
        <v>450</v>
      </c>
      <c r="J1474">
        <v>10</v>
      </c>
    </row>
    <row r="1475" spans="1:10">
      <c r="A1475" t="s">
        <v>1884</v>
      </c>
      <c r="B1475" t="s">
        <v>1881</v>
      </c>
      <c r="C1475">
        <v>52</v>
      </c>
      <c r="D1475">
        <v>12</v>
      </c>
      <c r="E1475" t="s">
        <v>1734</v>
      </c>
      <c r="F1475" t="s">
        <v>16</v>
      </c>
      <c r="G1475" t="s">
        <v>17</v>
      </c>
      <c r="H1475">
        <v>2</v>
      </c>
      <c r="I1475">
        <v>520</v>
      </c>
      <c r="J1475">
        <v>0</v>
      </c>
    </row>
    <row r="1476" spans="1:10">
      <c r="A1476" t="s">
        <v>1885</v>
      </c>
      <c r="B1476" t="s">
        <v>1881</v>
      </c>
      <c r="C1476">
        <v>52</v>
      </c>
      <c r="D1476">
        <v>12</v>
      </c>
      <c r="E1476" t="s">
        <v>1734</v>
      </c>
      <c r="F1476" t="s">
        <v>94</v>
      </c>
      <c r="G1476" t="s">
        <v>17</v>
      </c>
      <c r="H1476">
        <v>1</v>
      </c>
      <c r="I1476">
        <v>1680</v>
      </c>
      <c r="J1476">
        <v>0</v>
      </c>
    </row>
    <row r="1477" spans="1:10">
      <c r="A1477" t="s">
        <v>1886</v>
      </c>
      <c r="B1477" t="s">
        <v>1881</v>
      </c>
      <c r="C1477">
        <v>52</v>
      </c>
      <c r="D1477">
        <v>12</v>
      </c>
      <c r="E1477" t="s">
        <v>1734</v>
      </c>
      <c r="F1477" t="s">
        <v>80</v>
      </c>
      <c r="G1477" t="s">
        <v>14</v>
      </c>
      <c r="H1477">
        <v>2</v>
      </c>
      <c r="I1477">
        <v>360</v>
      </c>
      <c r="J1477">
        <v>10</v>
      </c>
    </row>
    <row r="1478" spans="1:10">
      <c r="A1478" t="s">
        <v>1887</v>
      </c>
      <c r="B1478" t="s">
        <v>1881</v>
      </c>
      <c r="C1478">
        <v>52</v>
      </c>
      <c r="D1478">
        <v>12</v>
      </c>
      <c r="E1478" t="s">
        <v>1734</v>
      </c>
      <c r="F1478" t="s">
        <v>66</v>
      </c>
      <c r="G1478" t="s">
        <v>17</v>
      </c>
      <c r="H1478">
        <v>1</v>
      </c>
      <c r="I1478">
        <v>1396.5</v>
      </c>
      <c r="J1478">
        <v>5</v>
      </c>
    </row>
    <row r="1479" spans="1:10">
      <c r="A1479" t="s">
        <v>1888</v>
      </c>
      <c r="B1479" t="s">
        <v>1889</v>
      </c>
      <c r="C1479">
        <v>52</v>
      </c>
      <c r="D1479">
        <v>12</v>
      </c>
      <c r="E1479" t="s">
        <v>1734</v>
      </c>
      <c r="F1479" t="s">
        <v>86</v>
      </c>
      <c r="G1479" t="s">
        <v>17</v>
      </c>
      <c r="H1479">
        <v>1</v>
      </c>
      <c r="I1479">
        <v>799</v>
      </c>
      <c r="J1479">
        <v>15</v>
      </c>
    </row>
    <row r="1480" spans="1:10">
      <c r="A1480" t="s">
        <v>1890</v>
      </c>
      <c r="B1480" t="s">
        <v>1889</v>
      </c>
      <c r="C1480">
        <v>52</v>
      </c>
      <c r="D1480">
        <v>12</v>
      </c>
      <c r="E1480" t="s">
        <v>1734</v>
      </c>
      <c r="F1480" t="s">
        <v>45</v>
      </c>
      <c r="G1480" t="s">
        <v>26</v>
      </c>
      <c r="H1480">
        <v>5</v>
      </c>
      <c r="I1480">
        <v>3825</v>
      </c>
      <c r="J1480">
        <v>15</v>
      </c>
    </row>
    <row r="1481" spans="1:10">
      <c r="A1481" t="s">
        <v>1891</v>
      </c>
      <c r="B1481" t="s">
        <v>1889</v>
      </c>
      <c r="C1481">
        <v>52</v>
      </c>
      <c r="D1481">
        <v>12</v>
      </c>
      <c r="E1481" t="s">
        <v>1734</v>
      </c>
      <c r="F1481" t="s">
        <v>66</v>
      </c>
      <c r="G1481" t="s">
        <v>17</v>
      </c>
      <c r="H1481">
        <v>1</v>
      </c>
      <c r="I1481">
        <v>1323</v>
      </c>
      <c r="J1481">
        <v>10</v>
      </c>
    </row>
    <row r="1482" spans="1:10">
      <c r="A1482" t="s">
        <v>1892</v>
      </c>
      <c r="B1482" t="s">
        <v>1893</v>
      </c>
      <c r="C1482">
        <v>52</v>
      </c>
      <c r="D1482">
        <v>12</v>
      </c>
      <c r="E1482" t="s">
        <v>1734</v>
      </c>
      <c r="F1482" t="s">
        <v>51</v>
      </c>
      <c r="G1482" t="s">
        <v>26</v>
      </c>
      <c r="H1482">
        <v>5</v>
      </c>
      <c r="I1482">
        <v>500</v>
      </c>
      <c r="J1482">
        <v>0</v>
      </c>
    </row>
    <row r="1483" spans="1:10">
      <c r="A1483" t="s">
        <v>1894</v>
      </c>
      <c r="B1483" t="s">
        <v>1893</v>
      </c>
      <c r="C1483">
        <v>52</v>
      </c>
      <c r="D1483">
        <v>12</v>
      </c>
      <c r="E1483" t="s">
        <v>1734</v>
      </c>
      <c r="F1483" t="s">
        <v>80</v>
      </c>
      <c r="G1483" t="s">
        <v>14</v>
      </c>
      <c r="H1483">
        <v>5</v>
      </c>
      <c r="I1483">
        <v>400</v>
      </c>
      <c r="J1483">
        <v>0</v>
      </c>
    </row>
    <row r="1484" spans="1:10">
      <c r="A1484" t="s">
        <v>1895</v>
      </c>
      <c r="B1484" t="s">
        <v>1896</v>
      </c>
      <c r="C1484">
        <v>52</v>
      </c>
      <c r="D1484">
        <v>12</v>
      </c>
      <c r="E1484" t="s">
        <v>1734</v>
      </c>
      <c r="F1484" t="s">
        <v>19</v>
      </c>
      <c r="G1484" t="s">
        <v>20</v>
      </c>
      <c r="H1484">
        <v>4</v>
      </c>
      <c r="I1484">
        <v>1377</v>
      </c>
      <c r="J1484">
        <v>15</v>
      </c>
    </row>
    <row r="1485" spans="1:10">
      <c r="A1485" t="s">
        <v>1897</v>
      </c>
      <c r="B1485" t="s">
        <v>1896</v>
      </c>
      <c r="C1485">
        <v>52</v>
      </c>
      <c r="D1485">
        <v>12</v>
      </c>
      <c r="E1485" t="s">
        <v>1734</v>
      </c>
      <c r="F1485" t="s">
        <v>28</v>
      </c>
      <c r="G1485" t="s">
        <v>26</v>
      </c>
      <c r="H1485">
        <v>4</v>
      </c>
      <c r="I1485">
        <v>1350</v>
      </c>
      <c r="J1485">
        <v>10</v>
      </c>
    </row>
    <row r="1486" spans="1:10">
      <c r="A1486" t="s">
        <v>1898</v>
      </c>
      <c r="B1486" t="s">
        <v>1896</v>
      </c>
      <c r="C1486">
        <v>52</v>
      </c>
      <c r="D1486">
        <v>12</v>
      </c>
      <c r="E1486" t="s">
        <v>1734</v>
      </c>
      <c r="F1486" t="s">
        <v>51</v>
      </c>
      <c r="G1486" t="s">
        <v>26</v>
      </c>
      <c r="H1486">
        <v>2</v>
      </c>
      <c r="I1486">
        <v>500</v>
      </c>
      <c r="J1486">
        <v>0</v>
      </c>
    </row>
    <row r="1487" spans="1:10">
      <c r="A1487" t="s">
        <v>1899</v>
      </c>
      <c r="B1487" t="s">
        <v>1896</v>
      </c>
      <c r="C1487">
        <v>52</v>
      </c>
      <c r="D1487">
        <v>12</v>
      </c>
      <c r="E1487" t="s">
        <v>1734</v>
      </c>
      <c r="F1487" t="s">
        <v>45</v>
      </c>
      <c r="G1487" t="s">
        <v>26</v>
      </c>
      <c r="H1487">
        <v>5</v>
      </c>
      <c r="I1487">
        <v>3825</v>
      </c>
      <c r="J1487">
        <v>15</v>
      </c>
    </row>
    <row r="1488" spans="1:10">
      <c r="A1488" t="s">
        <v>1900</v>
      </c>
      <c r="B1488" t="s">
        <v>1896</v>
      </c>
      <c r="C1488">
        <v>52</v>
      </c>
      <c r="D1488">
        <v>12</v>
      </c>
      <c r="E1488" t="s">
        <v>1734</v>
      </c>
      <c r="F1488" t="s">
        <v>146</v>
      </c>
      <c r="G1488" t="s">
        <v>20</v>
      </c>
      <c r="H1488">
        <v>2</v>
      </c>
      <c r="I1488">
        <v>630</v>
      </c>
      <c r="J1488">
        <v>0</v>
      </c>
    </row>
    <row r="1489" spans="1:10">
      <c r="A1489" t="s">
        <v>1901</v>
      </c>
      <c r="B1489" t="s">
        <v>1896</v>
      </c>
      <c r="C1489">
        <v>52</v>
      </c>
      <c r="D1489">
        <v>12</v>
      </c>
      <c r="E1489" t="s">
        <v>1734</v>
      </c>
      <c r="F1489" t="s">
        <v>37</v>
      </c>
      <c r="G1489" t="s">
        <v>20</v>
      </c>
      <c r="H1489">
        <v>5</v>
      </c>
      <c r="I1489">
        <v>1989</v>
      </c>
      <c r="J1489">
        <v>15</v>
      </c>
    </row>
    <row r="1490" spans="1:10">
      <c r="A1490" t="s">
        <v>1902</v>
      </c>
      <c r="B1490" t="s">
        <v>1903</v>
      </c>
      <c r="C1490">
        <v>52</v>
      </c>
      <c r="D1490">
        <v>12</v>
      </c>
      <c r="E1490" t="s">
        <v>1734</v>
      </c>
      <c r="F1490" t="s">
        <v>16</v>
      </c>
      <c r="G1490" t="s">
        <v>17</v>
      </c>
      <c r="H1490">
        <v>2</v>
      </c>
      <c r="I1490">
        <v>520</v>
      </c>
      <c r="J1490">
        <v>0</v>
      </c>
    </row>
    <row r="1491" spans="1:10">
      <c r="A1491" t="s">
        <v>1904</v>
      </c>
      <c r="B1491" t="s">
        <v>1903</v>
      </c>
      <c r="C1491">
        <v>52</v>
      </c>
      <c r="D1491">
        <v>12</v>
      </c>
      <c r="E1491" t="s">
        <v>1734</v>
      </c>
      <c r="F1491" t="s">
        <v>42</v>
      </c>
      <c r="G1491" t="s">
        <v>23</v>
      </c>
      <c r="H1491">
        <v>5</v>
      </c>
      <c r="I1491">
        <v>540</v>
      </c>
      <c r="J1491">
        <v>10</v>
      </c>
    </row>
    <row r="1492" spans="1:10">
      <c r="A1492" t="s">
        <v>1905</v>
      </c>
      <c r="B1492" t="s">
        <v>1903</v>
      </c>
      <c r="C1492">
        <v>52</v>
      </c>
      <c r="D1492">
        <v>12</v>
      </c>
      <c r="E1492" t="s">
        <v>1734</v>
      </c>
      <c r="F1492" t="s">
        <v>369</v>
      </c>
      <c r="G1492" t="s">
        <v>221</v>
      </c>
      <c r="H1492">
        <v>2</v>
      </c>
      <c r="I1492">
        <v>595</v>
      </c>
      <c r="J1492">
        <v>15</v>
      </c>
    </row>
    <row r="1493" spans="1:10">
      <c r="A1493" t="s">
        <v>1906</v>
      </c>
      <c r="B1493" t="s">
        <v>1903</v>
      </c>
      <c r="C1493">
        <v>52</v>
      </c>
      <c r="D1493">
        <v>12</v>
      </c>
      <c r="E1493" t="s">
        <v>1734</v>
      </c>
      <c r="F1493" t="s">
        <v>94</v>
      </c>
      <c r="G1493" t="s">
        <v>17</v>
      </c>
      <c r="H1493">
        <v>1</v>
      </c>
      <c r="I1493">
        <v>1680</v>
      </c>
      <c r="J1493">
        <v>0</v>
      </c>
    </row>
    <row r="1494" spans="1:10">
      <c r="A1494" t="s">
        <v>1907</v>
      </c>
      <c r="B1494" t="s">
        <v>1908</v>
      </c>
      <c r="C1494">
        <v>1</v>
      </c>
      <c r="D1494">
        <v>12</v>
      </c>
      <c r="E1494" t="s">
        <v>1734</v>
      </c>
      <c r="F1494" t="s">
        <v>37</v>
      </c>
      <c r="G1494" t="s">
        <v>20</v>
      </c>
      <c r="H1494">
        <v>1</v>
      </c>
      <c r="I1494">
        <v>2106</v>
      </c>
      <c r="J1494">
        <v>10</v>
      </c>
    </row>
    <row r="1495" spans="1:10">
      <c r="A1495" t="s">
        <v>1909</v>
      </c>
      <c r="B1495" t="s">
        <v>1908</v>
      </c>
      <c r="C1495">
        <v>1</v>
      </c>
      <c r="D1495">
        <v>12</v>
      </c>
      <c r="E1495" t="s">
        <v>1734</v>
      </c>
      <c r="F1495" t="s">
        <v>86</v>
      </c>
      <c r="G1495" t="s">
        <v>17</v>
      </c>
      <c r="H1495">
        <v>5</v>
      </c>
      <c r="I1495">
        <v>893</v>
      </c>
      <c r="J1495">
        <v>5</v>
      </c>
    </row>
    <row r="1496" spans="1:10">
      <c r="A1496" t="s">
        <v>1910</v>
      </c>
      <c r="B1496" t="s">
        <v>1908</v>
      </c>
      <c r="C1496">
        <v>1</v>
      </c>
      <c r="D1496">
        <v>12</v>
      </c>
      <c r="E1496" t="s">
        <v>1734</v>
      </c>
      <c r="F1496" t="s">
        <v>13</v>
      </c>
      <c r="G1496" t="s">
        <v>14</v>
      </c>
      <c r="H1496">
        <v>2</v>
      </c>
      <c r="I1496">
        <v>432</v>
      </c>
      <c r="J1496">
        <v>10</v>
      </c>
    </row>
    <row r="1497" spans="1:10">
      <c r="A1497" t="s">
        <v>1911</v>
      </c>
      <c r="B1497" t="s">
        <v>1912</v>
      </c>
      <c r="C1497">
        <v>1</v>
      </c>
      <c r="D1497">
        <v>12</v>
      </c>
      <c r="E1497" t="s">
        <v>1734</v>
      </c>
      <c r="F1497" t="s">
        <v>119</v>
      </c>
      <c r="G1497" t="s">
        <v>14</v>
      </c>
      <c r="H1497">
        <v>4</v>
      </c>
      <c r="I1497">
        <v>770</v>
      </c>
      <c r="J1497">
        <v>0</v>
      </c>
    </row>
    <row r="1498" spans="1:10">
      <c r="A1498" t="s">
        <v>1913</v>
      </c>
      <c r="B1498" t="s">
        <v>1912</v>
      </c>
      <c r="C1498">
        <v>1</v>
      </c>
      <c r="D1498">
        <v>12</v>
      </c>
      <c r="E1498" t="s">
        <v>1734</v>
      </c>
      <c r="F1498" t="s">
        <v>25</v>
      </c>
      <c r="G1498" t="s">
        <v>26</v>
      </c>
      <c r="H1498">
        <v>5</v>
      </c>
      <c r="I1498">
        <v>1000</v>
      </c>
      <c r="J1498">
        <v>0</v>
      </c>
    </row>
    <row r="1499" spans="1:10">
      <c r="A1499" t="s">
        <v>1914</v>
      </c>
      <c r="B1499" t="s">
        <v>1912</v>
      </c>
      <c r="C1499">
        <v>1</v>
      </c>
      <c r="D1499">
        <v>12</v>
      </c>
      <c r="E1499" t="s">
        <v>1734</v>
      </c>
      <c r="F1499" t="s">
        <v>97</v>
      </c>
      <c r="G1499" t="s">
        <v>20</v>
      </c>
      <c r="H1499">
        <v>2</v>
      </c>
      <c r="I1499">
        <v>1683</v>
      </c>
      <c r="J1499">
        <v>15</v>
      </c>
    </row>
    <row r="1500" spans="1:10">
      <c r="A1500" t="s">
        <v>1915</v>
      </c>
      <c r="B1500" t="s">
        <v>1912</v>
      </c>
      <c r="C1500">
        <v>1</v>
      </c>
      <c r="D1500">
        <v>12</v>
      </c>
      <c r="E1500" t="s">
        <v>1734</v>
      </c>
      <c r="F1500" t="s">
        <v>146</v>
      </c>
      <c r="G1500" t="s">
        <v>20</v>
      </c>
      <c r="H1500">
        <v>3</v>
      </c>
      <c r="I1500">
        <v>598.5</v>
      </c>
      <c r="J1500">
        <v>5</v>
      </c>
    </row>
    <row r="1501" spans="1:10">
      <c r="A1501" t="s">
        <v>1916</v>
      </c>
      <c r="B1501" t="s">
        <v>1912</v>
      </c>
      <c r="C1501">
        <v>1</v>
      </c>
      <c r="D1501">
        <v>12</v>
      </c>
      <c r="E1501" t="s">
        <v>1734</v>
      </c>
      <c r="F1501" t="s">
        <v>58</v>
      </c>
      <c r="G1501" t="s">
        <v>23</v>
      </c>
      <c r="H1501">
        <v>1</v>
      </c>
      <c r="I1501">
        <v>1000</v>
      </c>
      <c r="J1501">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workbookViewId="0">
      <selection activeCell="H6" sqref="H6"/>
    </sheetView>
  </sheetViews>
  <sheetFormatPr defaultRowHeight="14.4"/>
  <cols>
    <col min="1" max="1" width="12.33203125" customWidth="1"/>
    <col min="2" max="2" width="19.6640625" bestFit="1" customWidth="1"/>
    <col min="3" max="3" width="16.44140625" bestFit="1" customWidth="1"/>
    <col min="4" max="4" width="7.5546875" customWidth="1"/>
    <col min="5" max="5" width="13.88671875" customWidth="1"/>
    <col min="6" max="6" width="11.44140625" customWidth="1"/>
  </cols>
  <sheetData>
    <row r="1" spans="1:6">
      <c r="A1" t="s">
        <v>5</v>
      </c>
      <c r="B1" t="s">
        <v>1917</v>
      </c>
      <c r="C1" t="s">
        <v>6</v>
      </c>
      <c r="D1" t="s">
        <v>1918</v>
      </c>
      <c r="E1" t="s">
        <v>1919</v>
      </c>
      <c r="F1" t="s">
        <v>8</v>
      </c>
    </row>
    <row r="2" spans="1:6">
      <c r="A2" t="s">
        <v>119</v>
      </c>
      <c r="B2" t="s">
        <v>1920</v>
      </c>
      <c r="C2" t="s">
        <v>14</v>
      </c>
      <c r="D2">
        <v>350</v>
      </c>
      <c r="E2" t="s">
        <v>11</v>
      </c>
      <c r="F2">
        <v>770</v>
      </c>
    </row>
    <row r="3" spans="1:6">
      <c r="A3" t="s">
        <v>39</v>
      </c>
      <c r="B3" t="s">
        <v>1921</v>
      </c>
      <c r="C3" t="s">
        <v>14</v>
      </c>
      <c r="D3">
        <v>400</v>
      </c>
      <c r="E3" t="s">
        <v>11</v>
      </c>
      <c r="F3">
        <v>880</v>
      </c>
    </row>
    <row r="4" spans="1:6">
      <c r="A4" t="s">
        <v>80</v>
      </c>
      <c r="B4" t="s">
        <v>1922</v>
      </c>
      <c r="C4" t="s">
        <v>14</v>
      </c>
      <c r="D4">
        <v>180</v>
      </c>
      <c r="E4" t="s">
        <v>11</v>
      </c>
      <c r="F4">
        <v>400</v>
      </c>
    </row>
    <row r="5" spans="1:6">
      <c r="A5" t="s">
        <v>64</v>
      </c>
      <c r="B5" t="s">
        <v>1923</v>
      </c>
      <c r="C5" t="s">
        <v>14</v>
      </c>
      <c r="D5">
        <v>1200</v>
      </c>
      <c r="E5" t="s">
        <v>11</v>
      </c>
      <c r="F5">
        <v>2640</v>
      </c>
    </row>
    <row r="6" spans="1:6">
      <c r="A6" t="s">
        <v>187</v>
      </c>
      <c r="B6" t="s">
        <v>1924</v>
      </c>
      <c r="C6" t="s">
        <v>14</v>
      </c>
      <c r="D6">
        <v>2000</v>
      </c>
      <c r="E6" t="s">
        <v>11</v>
      </c>
      <c r="F6">
        <v>4400</v>
      </c>
    </row>
    <row r="7" spans="1:6">
      <c r="A7" t="s">
        <v>13</v>
      </c>
      <c r="B7" t="s">
        <v>1925</v>
      </c>
      <c r="C7" t="s">
        <v>14</v>
      </c>
      <c r="D7">
        <v>220</v>
      </c>
      <c r="E7" t="s">
        <v>217</v>
      </c>
      <c r="F7">
        <v>480</v>
      </c>
    </row>
    <row r="8" spans="1:6">
      <c r="A8" t="s">
        <v>115</v>
      </c>
      <c r="B8" t="s">
        <v>1926</v>
      </c>
      <c r="C8" t="s">
        <v>23</v>
      </c>
      <c r="D8">
        <v>600</v>
      </c>
      <c r="E8" t="s">
        <v>11</v>
      </c>
      <c r="F8">
        <v>1200</v>
      </c>
    </row>
    <row r="9" spans="1:6">
      <c r="A9" t="s">
        <v>58</v>
      </c>
      <c r="B9" t="s">
        <v>1927</v>
      </c>
      <c r="C9" t="s">
        <v>23</v>
      </c>
      <c r="D9">
        <v>500</v>
      </c>
      <c r="E9" t="s">
        <v>11</v>
      </c>
      <c r="F9">
        <v>1000</v>
      </c>
    </row>
    <row r="10" spans="1:6">
      <c r="A10" t="s">
        <v>42</v>
      </c>
      <c r="B10" t="s">
        <v>1928</v>
      </c>
      <c r="C10" t="s">
        <v>23</v>
      </c>
      <c r="D10">
        <v>300</v>
      </c>
      <c r="E10" t="s">
        <v>11</v>
      </c>
      <c r="F10">
        <v>600</v>
      </c>
    </row>
    <row r="11" spans="1:6">
      <c r="A11" t="s">
        <v>22</v>
      </c>
      <c r="B11" t="s">
        <v>1929</v>
      </c>
      <c r="C11" t="s">
        <v>23</v>
      </c>
      <c r="D11">
        <v>250</v>
      </c>
      <c r="E11" t="s">
        <v>11</v>
      </c>
      <c r="F11">
        <v>500</v>
      </c>
    </row>
    <row r="12" spans="1:6">
      <c r="A12" t="s">
        <v>31</v>
      </c>
      <c r="B12" t="s">
        <v>1930</v>
      </c>
      <c r="C12" t="s">
        <v>23</v>
      </c>
      <c r="D12">
        <v>700</v>
      </c>
      <c r="E12" t="s">
        <v>11</v>
      </c>
      <c r="F12">
        <v>1400</v>
      </c>
    </row>
    <row r="13" spans="1:6">
      <c r="A13" t="s">
        <v>19</v>
      </c>
      <c r="B13" t="s">
        <v>1931</v>
      </c>
      <c r="C13" t="s">
        <v>20</v>
      </c>
      <c r="D13">
        <v>900</v>
      </c>
      <c r="E13" t="s">
        <v>11</v>
      </c>
      <c r="F13">
        <v>1620</v>
      </c>
    </row>
    <row r="14" spans="1:6">
      <c r="A14" t="s">
        <v>97</v>
      </c>
      <c r="B14" t="s">
        <v>1932</v>
      </c>
      <c r="C14" t="s">
        <v>20</v>
      </c>
      <c r="D14">
        <v>1100</v>
      </c>
      <c r="E14" t="s">
        <v>11</v>
      </c>
      <c r="F14">
        <v>1980</v>
      </c>
    </row>
    <row r="15" spans="1:6">
      <c r="A15" t="s">
        <v>82</v>
      </c>
      <c r="B15" t="s">
        <v>1933</v>
      </c>
      <c r="C15" t="s">
        <v>20</v>
      </c>
      <c r="D15">
        <v>500</v>
      </c>
      <c r="E15" t="s">
        <v>11</v>
      </c>
      <c r="F15">
        <v>900</v>
      </c>
    </row>
    <row r="16" spans="1:6">
      <c r="A16" t="s">
        <v>146</v>
      </c>
      <c r="B16" t="s">
        <v>1934</v>
      </c>
      <c r="C16" t="s">
        <v>20</v>
      </c>
      <c r="D16">
        <v>350</v>
      </c>
      <c r="E16" t="s">
        <v>11</v>
      </c>
      <c r="F16">
        <v>630</v>
      </c>
    </row>
    <row r="17" spans="1:6">
      <c r="A17" t="s">
        <v>37</v>
      </c>
      <c r="B17" t="s">
        <v>1935</v>
      </c>
      <c r="C17" t="s">
        <v>20</v>
      </c>
      <c r="D17">
        <v>1300</v>
      </c>
      <c r="E17" t="s">
        <v>217</v>
      </c>
      <c r="F17">
        <v>2340</v>
      </c>
    </row>
    <row r="18" spans="1:6">
      <c r="A18" t="s">
        <v>51</v>
      </c>
      <c r="B18" t="s">
        <v>1936</v>
      </c>
      <c r="C18" t="s">
        <v>26</v>
      </c>
      <c r="D18">
        <v>200</v>
      </c>
      <c r="E18" t="s">
        <v>11</v>
      </c>
      <c r="F18">
        <v>500</v>
      </c>
    </row>
    <row r="19" spans="1:6">
      <c r="A19" t="s">
        <v>68</v>
      </c>
      <c r="B19" t="s">
        <v>1937</v>
      </c>
      <c r="C19" t="s">
        <v>26</v>
      </c>
      <c r="D19">
        <v>150</v>
      </c>
      <c r="E19" t="s">
        <v>11</v>
      </c>
      <c r="F19">
        <v>380</v>
      </c>
    </row>
    <row r="20" spans="1:6">
      <c r="A20" t="s">
        <v>45</v>
      </c>
      <c r="B20" t="s">
        <v>1938</v>
      </c>
      <c r="C20" t="s">
        <v>26</v>
      </c>
      <c r="D20">
        <v>1800</v>
      </c>
      <c r="E20" t="s">
        <v>11</v>
      </c>
      <c r="F20">
        <v>4500</v>
      </c>
    </row>
    <row r="21" spans="1:6">
      <c r="A21" t="s">
        <v>28</v>
      </c>
      <c r="B21" t="s">
        <v>1939</v>
      </c>
      <c r="C21" t="s">
        <v>26</v>
      </c>
      <c r="D21">
        <v>600</v>
      </c>
      <c r="E21" t="s">
        <v>11</v>
      </c>
      <c r="F21">
        <v>1500</v>
      </c>
    </row>
    <row r="22" spans="1:6">
      <c r="A22" t="s">
        <v>25</v>
      </c>
      <c r="B22" t="s">
        <v>1940</v>
      </c>
      <c r="C22" t="s">
        <v>26</v>
      </c>
      <c r="D22">
        <v>400</v>
      </c>
      <c r="E22" t="s">
        <v>11</v>
      </c>
      <c r="F22">
        <v>1000</v>
      </c>
    </row>
    <row r="23" spans="1:6">
      <c r="A23" t="s">
        <v>66</v>
      </c>
      <c r="B23" t="s">
        <v>1941</v>
      </c>
      <c r="C23" t="s">
        <v>17</v>
      </c>
      <c r="D23">
        <v>700</v>
      </c>
      <c r="E23" t="s">
        <v>11</v>
      </c>
      <c r="F23">
        <v>1470</v>
      </c>
    </row>
    <row r="24" spans="1:6">
      <c r="A24" t="s">
        <v>35</v>
      </c>
      <c r="B24" t="s">
        <v>1942</v>
      </c>
      <c r="C24" t="s">
        <v>17</v>
      </c>
      <c r="D24">
        <v>1500</v>
      </c>
      <c r="E24" t="s">
        <v>11</v>
      </c>
      <c r="F24">
        <v>3150</v>
      </c>
    </row>
    <row r="25" spans="1:6">
      <c r="A25" t="s">
        <v>94</v>
      </c>
      <c r="B25" t="s">
        <v>1943</v>
      </c>
      <c r="C25" t="s">
        <v>17</v>
      </c>
      <c r="D25">
        <v>800</v>
      </c>
      <c r="E25" t="s">
        <v>11</v>
      </c>
      <c r="F25">
        <v>1680</v>
      </c>
    </row>
    <row r="26" spans="1:6">
      <c r="A26" t="s">
        <v>86</v>
      </c>
      <c r="B26" t="s">
        <v>1944</v>
      </c>
      <c r="C26" t="s">
        <v>17</v>
      </c>
      <c r="D26">
        <v>450</v>
      </c>
      <c r="E26" t="s">
        <v>11</v>
      </c>
      <c r="F26">
        <v>940</v>
      </c>
    </row>
    <row r="27" spans="1:6">
      <c r="A27" t="s">
        <v>16</v>
      </c>
      <c r="B27" t="s">
        <v>1945</v>
      </c>
      <c r="C27" t="s">
        <v>17</v>
      </c>
      <c r="D27">
        <v>250</v>
      </c>
      <c r="E27" t="s">
        <v>11</v>
      </c>
      <c r="F27">
        <v>520</v>
      </c>
    </row>
    <row r="28" spans="1:6">
      <c r="A28" t="s">
        <v>364</v>
      </c>
      <c r="B28" t="s">
        <v>1946</v>
      </c>
      <c r="C28" t="s">
        <v>221</v>
      </c>
      <c r="D28">
        <v>480</v>
      </c>
      <c r="E28" t="s">
        <v>11</v>
      </c>
      <c r="F28">
        <v>960</v>
      </c>
    </row>
    <row r="29" spans="1:6">
      <c r="A29" t="s">
        <v>220</v>
      </c>
      <c r="B29" t="s">
        <v>1947</v>
      </c>
      <c r="C29" t="s">
        <v>221</v>
      </c>
      <c r="D29">
        <v>300</v>
      </c>
      <c r="E29" t="s">
        <v>11</v>
      </c>
      <c r="F29">
        <v>600</v>
      </c>
    </row>
    <row r="30" spans="1:6">
      <c r="A30" t="s">
        <v>349</v>
      </c>
      <c r="B30" t="s">
        <v>1948</v>
      </c>
      <c r="C30" t="s">
        <v>221</v>
      </c>
      <c r="D30">
        <v>200</v>
      </c>
      <c r="E30" t="s">
        <v>11</v>
      </c>
      <c r="F30">
        <v>400</v>
      </c>
    </row>
    <row r="31" spans="1:6">
      <c r="A31" t="s">
        <v>369</v>
      </c>
      <c r="B31" t="s">
        <v>1949</v>
      </c>
      <c r="C31" t="s">
        <v>221</v>
      </c>
      <c r="D31">
        <v>350</v>
      </c>
      <c r="E31" t="s">
        <v>470</v>
      </c>
      <c r="F31">
        <v>700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3"/>
  <sheetViews>
    <sheetView workbookViewId="0">
      <selection activeCell="H1" sqref="H1"/>
    </sheetView>
  </sheetViews>
  <sheetFormatPr defaultRowHeight="14.4"/>
  <cols>
    <col min="1" max="1" width="9" bestFit="1" customWidth="1"/>
    <col min="2" max="2" width="15" bestFit="1" customWidth="1"/>
    <col min="3" max="3" width="16.44140625" bestFit="1" customWidth="1"/>
    <col min="4" max="4" width="24" bestFit="1" customWidth="1"/>
    <col min="5" max="5" width="16.77734375" bestFit="1" customWidth="1"/>
  </cols>
  <sheetData>
    <row r="1" spans="1:5">
      <c r="A1" t="s">
        <v>3</v>
      </c>
      <c r="B1" t="s">
        <v>4</v>
      </c>
      <c r="C1" t="s">
        <v>6</v>
      </c>
      <c r="D1" t="s">
        <v>1950</v>
      </c>
      <c r="E1" t="s">
        <v>1951</v>
      </c>
    </row>
    <row r="2" spans="1:5">
      <c r="A2">
        <v>1</v>
      </c>
      <c r="B2" t="s">
        <v>12</v>
      </c>
      <c r="C2" t="s">
        <v>14</v>
      </c>
      <c r="D2">
        <v>67200</v>
      </c>
      <c r="E2">
        <v>64</v>
      </c>
    </row>
    <row r="3" spans="1:5">
      <c r="A3">
        <v>1</v>
      </c>
      <c r="B3" t="s">
        <v>12</v>
      </c>
      <c r="C3" t="s">
        <v>23</v>
      </c>
      <c r="D3">
        <v>94100</v>
      </c>
      <c r="E3">
        <v>109</v>
      </c>
    </row>
    <row r="4" spans="1:5">
      <c r="A4">
        <v>1</v>
      </c>
      <c r="B4" t="s">
        <v>12</v>
      </c>
      <c r="C4" t="s">
        <v>20</v>
      </c>
      <c r="D4">
        <v>86700</v>
      </c>
      <c r="E4">
        <v>73</v>
      </c>
    </row>
    <row r="5" spans="1:5">
      <c r="A5">
        <v>1</v>
      </c>
      <c r="B5" t="s">
        <v>12</v>
      </c>
      <c r="C5" t="s">
        <v>26</v>
      </c>
      <c r="D5">
        <v>98700</v>
      </c>
      <c r="E5">
        <v>77</v>
      </c>
    </row>
    <row r="6" spans="1:5">
      <c r="A6">
        <v>1</v>
      </c>
      <c r="B6" t="s">
        <v>12</v>
      </c>
      <c r="C6" t="s">
        <v>17</v>
      </c>
      <c r="D6">
        <v>151600</v>
      </c>
      <c r="E6">
        <v>108</v>
      </c>
    </row>
    <row r="7" spans="1:5">
      <c r="A7">
        <v>1</v>
      </c>
      <c r="B7" t="s">
        <v>12</v>
      </c>
      <c r="C7" t="s">
        <v>221</v>
      </c>
      <c r="D7">
        <v>1000</v>
      </c>
      <c r="E7">
        <v>5</v>
      </c>
    </row>
    <row r="8" spans="1:5">
      <c r="A8">
        <v>2</v>
      </c>
      <c r="B8" t="s">
        <v>218</v>
      </c>
      <c r="C8" t="s">
        <v>14</v>
      </c>
      <c r="D8">
        <v>63700</v>
      </c>
      <c r="E8">
        <v>62</v>
      </c>
    </row>
    <row r="9" spans="1:5">
      <c r="A9">
        <v>2</v>
      </c>
      <c r="B9" t="s">
        <v>218</v>
      </c>
      <c r="C9" t="s">
        <v>23</v>
      </c>
      <c r="D9">
        <v>38000</v>
      </c>
      <c r="E9">
        <v>45</v>
      </c>
    </row>
    <row r="10" spans="1:5">
      <c r="A10">
        <v>2</v>
      </c>
      <c r="B10" t="s">
        <v>218</v>
      </c>
      <c r="C10" t="s">
        <v>20</v>
      </c>
      <c r="D10">
        <v>76600</v>
      </c>
      <c r="E10">
        <v>47</v>
      </c>
    </row>
    <row r="11" spans="1:5">
      <c r="A11">
        <v>2</v>
      </c>
      <c r="B11" t="s">
        <v>218</v>
      </c>
      <c r="C11" t="s">
        <v>26</v>
      </c>
      <c r="D11">
        <v>179500</v>
      </c>
      <c r="E11">
        <v>58</v>
      </c>
    </row>
    <row r="12" spans="1:5">
      <c r="A12">
        <v>2</v>
      </c>
      <c r="B12" t="s">
        <v>218</v>
      </c>
      <c r="C12" t="s">
        <v>17</v>
      </c>
      <c r="D12">
        <v>97100</v>
      </c>
      <c r="E12">
        <v>66</v>
      </c>
    </row>
    <row r="13" spans="1:5">
      <c r="A13">
        <v>2</v>
      </c>
      <c r="B13" t="s">
        <v>218</v>
      </c>
      <c r="C13" t="s">
        <v>221</v>
      </c>
      <c r="D13">
        <v>2500</v>
      </c>
      <c r="E13">
        <v>5</v>
      </c>
    </row>
    <row r="14" spans="1:5">
      <c r="A14">
        <v>3</v>
      </c>
      <c r="B14" t="s">
        <v>338</v>
      </c>
      <c r="C14" t="s">
        <v>14</v>
      </c>
      <c r="D14">
        <v>90200</v>
      </c>
      <c r="E14">
        <v>50</v>
      </c>
    </row>
    <row r="15" spans="1:5">
      <c r="A15">
        <v>3</v>
      </c>
      <c r="B15" t="s">
        <v>338</v>
      </c>
      <c r="C15" t="s">
        <v>23</v>
      </c>
      <c r="D15">
        <v>32000</v>
      </c>
      <c r="E15">
        <v>40</v>
      </c>
    </row>
    <row r="16" spans="1:5">
      <c r="A16">
        <v>3</v>
      </c>
      <c r="B16" t="s">
        <v>338</v>
      </c>
      <c r="C16" t="s">
        <v>20</v>
      </c>
      <c r="D16">
        <v>67100</v>
      </c>
      <c r="E16">
        <v>47</v>
      </c>
    </row>
    <row r="17" spans="1:5">
      <c r="A17">
        <v>3</v>
      </c>
      <c r="B17" t="s">
        <v>338</v>
      </c>
      <c r="C17" t="s">
        <v>26</v>
      </c>
      <c r="D17">
        <v>95400</v>
      </c>
      <c r="E17">
        <v>44</v>
      </c>
    </row>
    <row r="18" spans="1:5">
      <c r="A18">
        <v>3</v>
      </c>
      <c r="B18" t="s">
        <v>338</v>
      </c>
      <c r="C18" t="s">
        <v>17</v>
      </c>
      <c r="D18">
        <v>41900</v>
      </c>
      <c r="E18">
        <v>36</v>
      </c>
    </row>
    <row r="19" spans="1:5">
      <c r="A19">
        <v>3</v>
      </c>
      <c r="B19" t="s">
        <v>338</v>
      </c>
      <c r="C19" t="s">
        <v>221</v>
      </c>
      <c r="D19">
        <v>50400</v>
      </c>
      <c r="E19">
        <v>87</v>
      </c>
    </row>
    <row r="20" spans="1:5">
      <c r="A20">
        <v>4</v>
      </c>
      <c r="B20" t="s">
        <v>471</v>
      </c>
      <c r="C20" t="s">
        <v>14</v>
      </c>
      <c r="D20">
        <v>122700</v>
      </c>
      <c r="E20">
        <v>89</v>
      </c>
    </row>
    <row r="21" spans="1:5">
      <c r="A21">
        <v>4</v>
      </c>
      <c r="B21" t="s">
        <v>471</v>
      </c>
      <c r="C21" t="s">
        <v>23</v>
      </c>
      <c r="D21">
        <v>56800</v>
      </c>
      <c r="E21">
        <v>57</v>
      </c>
    </row>
    <row r="22" spans="1:5">
      <c r="A22">
        <v>4</v>
      </c>
      <c r="B22" t="s">
        <v>471</v>
      </c>
      <c r="C22" t="s">
        <v>20</v>
      </c>
      <c r="D22">
        <v>48500</v>
      </c>
      <c r="E22">
        <v>29</v>
      </c>
    </row>
    <row r="23" spans="1:5">
      <c r="A23">
        <v>4</v>
      </c>
      <c r="B23" t="s">
        <v>471</v>
      </c>
      <c r="C23" t="s">
        <v>26</v>
      </c>
      <c r="D23">
        <v>119500</v>
      </c>
      <c r="E23">
        <v>77</v>
      </c>
    </row>
    <row r="24" spans="1:5">
      <c r="A24">
        <v>4</v>
      </c>
      <c r="B24" t="s">
        <v>471</v>
      </c>
      <c r="C24" t="s">
        <v>17</v>
      </c>
      <c r="D24">
        <v>50000</v>
      </c>
      <c r="E24">
        <v>43</v>
      </c>
    </row>
    <row r="25" spans="1:5">
      <c r="A25">
        <v>4</v>
      </c>
      <c r="B25" t="s">
        <v>471</v>
      </c>
      <c r="C25" t="s">
        <v>221</v>
      </c>
      <c r="D25">
        <v>41600</v>
      </c>
      <c r="E25">
        <v>78</v>
      </c>
    </row>
    <row r="26" spans="1:5">
      <c r="A26">
        <v>5</v>
      </c>
      <c r="B26" t="s">
        <v>622</v>
      </c>
      <c r="C26" t="s">
        <v>14</v>
      </c>
      <c r="D26">
        <v>94500</v>
      </c>
      <c r="E26">
        <v>90</v>
      </c>
    </row>
    <row r="27" spans="1:5">
      <c r="A27">
        <v>5</v>
      </c>
      <c r="B27" t="s">
        <v>622</v>
      </c>
      <c r="C27" t="s">
        <v>23</v>
      </c>
      <c r="D27">
        <v>44100</v>
      </c>
      <c r="E27">
        <v>43</v>
      </c>
    </row>
    <row r="28" spans="1:5">
      <c r="A28">
        <v>5</v>
      </c>
      <c r="B28" t="s">
        <v>622</v>
      </c>
      <c r="C28" t="s">
        <v>20</v>
      </c>
      <c r="D28">
        <v>110900</v>
      </c>
      <c r="E28">
        <v>89</v>
      </c>
    </row>
    <row r="29" spans="1:5">
      <c r="A29">
        <v>5</v>
      </c>
      <c r="B29" t="s">
        <v>622</v>
      </c>
      <c r="C29" t="s">
        <v>26</v>
      </c>
      <c r="D29">
        <v>100300</v>
      </c>
      <c r="E29">
        <v>61</v>
      </c>
    </row>
    <row r="30" spans="1:5">
      <c r="A30">
        <v>5</v>
      </c>
      <c r="B30" t="s">
        <v>622</v>
      </c>
      <c r="C30" t="s">
        <v>17</v>
      </c>
      <c r="D30">
        <v>8700</v>
      </c>
      <c r="E30">
        <v>5</v>
      </c>
    </row>
    <row r="31" spans="1:5">
      <c r="A31">
        <v>5</v>
      </c>
      <c r="B31" t="s">
        <v>622</v>
      </c>
      <c r="C31" t="s">
        <v>221</v>
      </c>
      <c r="D31">
        <v>70900</v>
      </c>
      <c r="E31">
        <v>102</v>
      </c>
    </row>
    <row r="32" spans="1:5">
      <c r="A32">
        <v>6</v>
      </c>
      <c r="B32" t="s">
        <v>786</v>
      </c>
      <c r="C32" t="s">
        <v>14</v>
      </c>
      <c r="D32">
        <v>213800</v>
      </c>
      <c r="E32">
        <v>119</v>
      </c>
    </row>
    <row r="33" spans="1:5">
      <c r="A33">
        <v>6</v>
      </c>
      <c r="B33" t="s">
        <v>786</v>
      </c>
      <c r="C33" t="s">
        <v>23</v>
      </c>
      <c r="D33">
        <v>41800</v>
      </c>
      <c r="E33">
        <v>53</v>
      </c>
    </row>
    <row r="34" spans="1:5">
      <c r="A34">
        <v>6</v>
      </c>
      <c r="B34" t="s">
        <v>786</v>
      </c>
      <c r="C34" t="s">
        <v>20</v>
      </c>
      <c r="D34">
        <v>56800</v>
      </c>
      <c r="E34">
        <v>43</v>
      </c>
    </row>
    <row r="35" spans="1:5">
      <c r="A35">
        <v>6</v>
      </c>
      <c r="B35" t="s">
        <v>786</v>
      </c>
      <c r="C35" t="s">
        <v>26</v>
      </c>
      <c r="D35">
        <v>77200</v>
      </c>
      <c r="E35">
        <v>46</v>
      </c>
    </row>
    <row r="36" spans="1:5">
      <c r="A36">
        <v>6</v>
      </c>
      <c r="B36" t="s">
        <v>786</v>
      </c>
      <c r="C36" t="s">
        <v>17</v>
      </c>
      <c r="D36">
        <v>6800</v>
      </c>
      <c r="E36">
        <v>5</v>
      </c>
    </row>
    <row r="37" spans="1:5">
      <c r="A37">
        <v>6</v>
      </c>
      <c r="B37" t="s">
        <v>786</v>
      </c>
      <c r="C37" t="s">
        <v>221</v>
      </c>
      <c r="D37">
        <v>73800</v>
      </c>
      <c r="E37">
        <v>117</v>
      </c>
    </row>
    <row r="38" spans="1:5">
      <c r="A38">
        <v>7</v>
      </c>
      <c r="B38" t="s">
        <v>938</v>
      </c>
      <c r="C38" t="s">
        <v>14</v>
      </c>
      <c r="D38">
        <v>105300</v>
      </c>
      <c r="E38">
        <v>40</v>
      </c>
    </row>
    <row r="39" spans="1:5">
      <c r="A39">
        <v>7</v>
      </c>
      <c r="B39" t="s">
        <v>938</v>
      </c>
      <c r="C39" t="s">
        <v>23</v>
      </c>
      <c r="D39">
        <v>40500</v>
      </c>
      <c r="E39">
        <v>36</v>
      </c>
    </row>
    <row r="40" spans="1:5">
      <c r="A40">
        <v>7</v>
      </c>
      <c r="B40" t="s">
        <v>938</v>
      </c>
      <c r="C40" t="s">
        <v>20</v>
      </c>
      <c r="D40">
        <v>69600</v>
      </c>
      <c r="E40">
        <v>46</v>
      </c>
    </row>
    <row r="41" spans="1:5">
      <c r="A41">
        <v>7</v>
      </c>
      <c r="B41" t="s">
        <v>938</v>
      </c>
      <c r="C41" t="s">
        <v>26</v>
      </c>
      <c r="D41">
        <v>124400</v>
      </c>
      <c r="E41">
        <v>51</v>
      </c>
    </row>
    <row r="42" spans="1:5">
      <c r="A42">
        <v>7</v>
      </c>
      <c r="B42" t="s">
        <v>938</v>
      </c>
      <c r="C42" t="s">
        <v>17</v>
      </c>
      <c r="D42">
        <v>5600</v>
      </c>
      <c r="E42">
        <v>5</v>
      </c>
    </row>
    <row r="43" spans="1:5">
      <c r="A43">
        <v>7</v>
      </c>
      <c r="B43" t="s">
        <v>938</v>
      </c>
      <c r="C43" t="s">
        <v>221</v>
      </c>
      <c r="D43">
        <v>25400</v>
      </c>
      <c r="E43">
        <v>38</v>
      </c>
    </row>
    <row r="44" spans="1:5">
      <c r="A44">
        <v>8</v>
      </c>
      <c r="B44" t="s">
        <v>1056</v>
      </c>
      <c r="C44" t="s">
        <v>14</v>
      </c>
      <c r="D44">
        <v>138300</v>
      </c>
      <c r="E44">
        <v>84</v>
      </c>
    </row>
    <row r="45" spans="1:5">
      <c r="A45">
        <v>8</v>
      </c>
      <c r="B45" t="s">
        <v>1056</v>
      </c>
      <c r="C45" t="s">
        <v>23</v>
      </c>
      <c r="D45">
        <v>65300</v>
      </c>
      <c r="E45">
        <v>69</v>
      </c>
    </row>
    <row r="46" spans="1:5">
      <c r="A46">
        <v>8</v>
      </c>
      <c r="B46" t="s">
        <v>1056</v>
      </c>
      <c r="C46" t="s">
        <v>20</v>
      </c>
      <c r="D46">
        <v>90100</v>
      </c>
      <c r="E46">
        <v>69</v>
      </c>
    </row>
    <row r="47" spans="1:5">
      <c r="A47">
        <v>8</v>
      </c>
      <c r="B47" t="s">
        <v>1056</v>
      </c>
      <c r="C47" t="s">
        <v>26</v>
      </c>
      <c r="D47">
        <v>33300</v>
      </c>
      <c r="E47">
        <v>27</v>
      </c>
    </row>
    <row r="48" spans="1:5">
      <c r="A48">
        <v>8</v>
      </c>
      <c r="B48" t="s">
        <v>1056</v>
      </c>
      <c r="C48" t="s">
        <v>17</v>
      </c>
      <c r="D48">
        <v>1000</v>
      </c>
      <c r="E48">
        <v>5</v>
      </c>
    </row>
    <row r="49" spans="1:5">
      <c r="A49">
        <v>8</v>
      </c>
      <c r="B49" t="s">
        <v>1056</v>
      </c>
      <c r="C49" t="s">
        <v>221</v>
      </c>
      <c r="D49">
        <v>15800</v>
      </c>
      <c r="E49">
        <v>27</v>
      </c>
    </row>
    <row r="50" spans="1:5">
      <c r="A50">
        <v>9</v>
      </c>
      <c r="B50" t="s">
        <v>1178</v>
      </c>
      <c r="C50" t="s">
        <v>14</v>
      </c>
      <c r="D50">
        <v>118700</v>
      </c>
      <c r="E50">
        <v>86</v>
      </c>
    </row>
    <row r="51" spans="1:5">
      <c r="A51">
        <v>9</v>
      </c>
      <c r="B51" t="s">
        <v>1178</v>
      </c>
      <c r="C51" t="s">
        <v>23</v>
      </c>
      <c r="D51">
        <v>60700</v>
      </c>
      <c r="E51">
        <v>56</v>
      </c>
    </row>
    <row r="52" spans="1:5">
      <c r="A52">
        <v>9</v>
      </c>
      <c r="B52" t="s">
        <v>1178</v>
      </c>
      <c r="C52" t="s">
        <v>20</v>
      </c>
      <c r="D52">
        <v>80300</v>
      </c>
      <c r="E52">
        <v>44</v>
      </c>
    </row>
    <row r="53" spans="1:5">
      <c r="A53">
        <v>9</v>
      </c>
      <c r="B53" t="s">
        <v>1178</v>
      </c>
      <c r="C53" t="s">
        <v>26</v>
      </c>
      <c r="D53">
        <v>119900</v>
      </c>
      <c r="E53">
        <v>58</v>
      </c>
    </row>
    <row r="54" spans="1:5">
      <c r="A54">
        <v>9</v>
      </c>
      <c r="B54" t="s">
        <v>1178</v>
      </c>
      <c r="C54" t="s">
        <v>17</v>
      </c>
      <c r="D54">
        <v>83600</v>
      </c>
      <c r="E54">
        <v>74</v>
      </c>
    </row>
    <row r="55" spans="1:5">
      <c r="A55">
        <v>9</v>
      </c>
      <c r="B55" t="s">
        <v>1178</v>
      </c>
      <c r="C55" t="s">
        <v>221</v>
      </c>
      <c r="D55">
        <v>21000</v>
      </c>
      <c r="E55">
        <v>28</v>
      </c>
    </row>
    <row r="56" spans="1:5">
      <c r="A56">
        <v>10</v>
      </c>
      <c r="B56" t="s">
        <v>1319</v>
      </c>
      <c r="C56" t="s">
        <v>14</v>
      </c>
      <c r="D56">
        <v>304200</v>
      </c>
      <c r="E56">
        <v>151</v>
      </c>
    </row>
    <row r="57" spans="1:5">
      <c r="A57">
        <v>10</v>
      </c>
      <c r="B57" t="s">
        <v>1319</v>
      </c>
      <c r="C57" t="s">
        <v>23</v>
      </c>
      <c r="D57">
        <v>57200</v>
      </c>
      <c r="E57">
        <v>75</v>
      </c>
    </row>
    <row r="58" spans="1:5">
      <c r="A58">
        <v>10</v>
      </c>
      <c r="B58" t="s">
        <v>1319</v>
      </c>
      <c r="C58" t="s">
        <v>20</v>
      </c>
      <c r="D58">
        <v>94000</v>
      </c>
      <c r="E58">
        <v>94</v>
      </c>
    </row>
    <row r="59" spans="1:5">
      <c r="A59">
        <v>10</v>
      </c>
      <c r="B59" t="s">
        <v>1319</v>
      </c>
      <c r="C59" t="s">
        <v>26</v>
      </c>
      <c r="D59">
        <v>95100</v>
      </c>
      <c r="E59">
        <v>80</v>
      </c>
    </row>
    <row r="60" spans="1:5">
      <c r="A60">
        <v>10</v>
      </c>
      <c r="B60" t="s">
        <v>1319</v>
      </c>
      <c r="C60" t="s">
        <v>17</v>
      </c>
      <c r="D60">
        <v>124900</v>
      </c>
      <c r="E60">
        <v>64</v>
      </c>
    </row>
    <row r="61" spans="1:5">
      <c r="A61">
        <v>10</v>
      </c>
      <c r="B61" t="s">
        <v>1319</v>
      </c>
      <c r="C61" t="s">
        <v>221</v>
      </c>
      <c r="D61">
        <v>28000</v>
      </c>
      <c r="E61">
        <v>51</v>
      </c>
    </row>
    <row r="62" spans="1:5">
      <c r="A62">
        <v>11</v>
      </c>
      <c r="B62" t="s">
        <v>1516</v>
      </c>
      <c r="C62" t="s">
        <v>14</v>
      </c>
      <c r="D62">
        <v>172200</v>
      </c>
      <c r="E62">
        <v>157</v>
      </c>
    </row>
    <row r="63" spans="1:5">
      <c r="A63">
        <v>11</v>
      </c>
      <c r="B63" t="s">
        <v>1516</v>
      </c>
      <c r="C63" t="s">
        <v>23</v>
      </c>
      <c r="D63">
        <v>69400</v>
      </c>
      <c r="E63">
        <v>66</v>
      </c>
    </row>
    <row r="64" spans="1:5">
      <c r="A64">
        <v>11</v>
      </c>
      <c r="B64" t="s">
        <v>1516</v>
      </c>
      <c r="C64" t="s">
        <v>20</v>
      </c>
      <c r="D64">
        <v>200300</v>
      </c>
      <c r="E64">
        <v>131</v>
      </c>
    </row>
    <row r="65" spans="1:5">
      <c r="A65">
        <v>11</v>
      </c>
      <c r="B65" t="s">
        <v>1516</v>
      </c>
      <c r="C65" t="s">
        <v>26</v>
      </c>
      <c r="D65">
        <v>120100</v>
      </c>
      <c r="E65">
        <v>92</v>
      </c>
    </row>
    <row r="66" spans="1:5">
      <c r="A66">
        <v>11</v>
      </c>
      <c r="B66" t="s">
        <v>1516</v>
      </c>
      <c r="C66" t="s">
        <v>17</v>
      </c>
      <c r="D66">
        <v>250700</v>
      </c>
      <c r="E66">
        <v>148</v>
      </c>
    </row>
    <row r="67" spans="1:5">
      <c r="A67">
        <v>11</v>
      </c>
      <c r="B67" t="s">
        <v>1516</v>
      </c>
      <c r="C67" t="s">
        <v>221</v>
      </c>
      <c r="D67">
        <v>1000</v>
      </c>
      <c r="E67">
        <v>5</v>
      </c>
    </row>
    <row r="68" spans="1:5">
      <c r="A68">
        <v>12</v>
      </c>
      <c r="B68" t="s">
        <v>1734</v>
      </c>
      <c r="C68" t="s">
        <v>14</v>
      </c>
      <c r="D68">
        <v>108200</v>
      </c>
      <c r="E68">
        <v>92</v>
      </c>
    </row>
    <row r="69" spans="1:5">
      <c r="A69">
        <v>12</v>
      </c>
      <c r="B69" t="s">
        <v>1734</v>
      </c>
      <c r="C69" t="s">
        <v>23</v>
      </c>
      <c r="D69">
        <v>54600</v>
      </c>
      <c r="E69">
        <v>52</v>
      </c>
    </row>
    <row r="70" spans="1:5">
      <c r="A70">
        <v>12</v>
      </c>
      <c r="B70" t="s">
        <v>1734</v>
      </c>
      <c r="C70" t="s">
        <v>20</v>
      </c>
      <c r="D70">
        <v>97800</v>
      </c>
      <c r="E70">
        <v>72</v>
      </c>
    </row>
    <row r="71" spans="1:5">
      <c r="A71">
        <v>12</v>
      </c>
      <c r="B71" t="s">
        <v>1734</v>
      </c>
      <c r="C71" t="s">
        <v>26</v>
      </c>
      <c r="D71">
        <v>134100</v>
      </c>
      <c r="E71">
        <v>112</v>
      </c>
    </row>
    <row r="72" spans="1:5">
      <c r="A72">
        <v>12</v>
      </c>
      <c r="B72" t="s">
        <v>1734</v>
      </c>
      <c r="C72" t="s">
        <v>17</v>
      </c>
      <c r="D72">
        <v>227600</v>
      </c>
      <c r="E72">
        <v>145</v>
      </c>
    </row>
    <row r="73" spans="1:5">
      <c r="A73">
        <v>12</v>
      </c>
      <c r="B73" t="s">
        <v>1734</v>
      </c>
      <c r="C73" t="s">
        <v>221</v>
      </c>
      <c r="D73">
        <v>1800</v>
      </c>
      <c r="E73">
        <v>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5"/>
  <sheetViews>
    <sheetView workbookViewId="0">
      <selection activeCell="I22" sqref="I22"/>
    </sheetView>
  </sheetViews>
  <sheetFormatPr defaultRowHeight="14.4"/>
  <cols>
    <col min="1" max="1" width="11.6640625" bestFit="1" customWidth="1"/>
    <col min="2" max="2" width="9.44140625" bestFit="1" customWidth="1"/>
    <col min="3" max="3" width="10.33203125" bestFit="1" customWidth="1"/>
    <col min="4" max="4" width="12.6640625" bestFit="1" customWidth="1"/>
    <col min="5" max="6" width="16.44140625" bestFit="1" customWidth="1"/>
    <col min="7" max="7" width="15.5546875" bestFit="1" customWidth="1"/>
  </cols>
  <sheetData>
    <row r="1" spans="1:7">
      <c r="A1" t="s">
        <v>1952</v>
      </c>
      <c r="B1" t="s">
        <v>0</v>
      </c>
      <c r="C1" t="s">
        <v>1</v>
      </c>
      <c r="D1" t="s">
        <v>5</v>
      </c>
      <c r="E1" t="s">
        <v>6</v>
      </c>
      <c r="F1" t="s">
        <v>1953</v>
      </c>
      <c r="G1" t="s">
        <v>1954</v>
      </c>
    </row>
    <row r="2" spans="1:7">
      <c r="A2" t="s">
        <v>1955</v>
      </c>
      <c r="B2" t="s">
        <v>1464</v>
      </c>
      <c r="C2" t="s">
        <v>1502</v>
      </c>
      <c r="D2" t="s">
        <v>64</v>
      </c>
      <c r="E2" t="s">
        <v>14</v>
      </c>
      <c r="F2">
        <v>2</v>
      </c>
      <c r="G2" t="s">
        <v>1956</v>
      </c>
    </row>
    <row r="3" spans="1:7">
      <c r="A3" t="s">
        <v>1957</v>
      </c>
      <c r="B3" t="s">
        <v>1759</v>
      </c>
      <c r="C3" t="s">
        <v>1802</v>
      </c>
      <c r="D3" t="s">
        <v>35</v>
      </c>
      <c r="E3" t="s">
        <v>17</v>
      </c>
      <c r="F3">
        <v>2</v>
      </c>
      <c r="G3" t="s">
        <v>1958</v>
      </c>
    </row>
    <row r="4" spans="1:7">
      <c r="A4" t="s">
        <v>1959</v>
      </c>
      <c r="B4" t="s">
        <v>584</v>
      </c>
      <c r="C4" t="s">
        <v>619</v>
      </c>
      <c r="D4" t="s">
        <v>187</v>
      </c>
      <c r="E4" t="s">
        <v>14</v>
      </c>
      <c r="F4">
        <v>5</v>
      </c>
      <c r="G4" t="s">
        <v>1960</v>
      </c>
    </row>
    <row r="5" spans="1:7">
      <c r="A5" t="s">
        <v>1961</v>
      </c>
      <c r="B5" t="s">
        <v>574</v>
      </c>
      <c r="C5" t="s">
        <v>602</v>
      </c>
      <c r="D5" t="s">
        <v>51</v>
      </c>
      <c r="E5" t="s">
        <v>26</v>
      </c>
      <c r="F5">
        <v>1</v>
      </c>
      <c r="G5" t="s">
        <v>1962</v>
      </c>
    </row>
    <row r="6" spans="1:7">
      <c r="A6" t="s">
        <v>1963</v>
      </c>
      <c r="B6" t="s">
        <v>620</v>
      </c>
      <c r="C6" t="s">
        <v>667</v>
      </c>
      <c r="D6" t="s">
        <v>31</v>
      </c>
      <c r="E6" t="s">
        <v>23</v>
      </c>
      <c r="F6">
        <v>4</v>
      </c>
      <c r="G6" t="s">
        <v>1958</v>
      </c>
    </row>
    <row r="7" spans="1:7">
      <c r="A7" t="s">
        <v>1964</v>
      </c>
      <c r="B7" t="s">
        <v>1146</v>
      </c>
      <c r="C7" t="s">
        <v>1168</v>
      </c>
      <c r="D7" t="s">
        <v>97</v>
      </c>
      <c r="E7" t="s">
        <v>20</v>
      </c>
      <c r="F7">
        <v>2</v>
      </c>
      <c r="G7" t="s">
        <v>1960</v>
      </c>
    </row>
    <row r="8" spans="1:7">
      <c r="A8" t="s">
        <v>1965</v>
      </c>
      <c r="B8" t="s">
        <v>1401</v>
      </c>
      <c r="C8" t="s">
        <v>1410</v>
      </c>
      <c r="D8" t="s">
        <v>82</v>
      </c>
      <c r="E8" t="s">
        <v>20</v>
      </c>
      <c r="F8">
        <v>3</v>
      </c>
      <c r="G8" t="s">
        <v>1966</v>
      </c>
    </row>
    <row r="9" spans="1:7">
      <c r="A9" t="s">
        <v>1967</v>
      </c>
      <c r="B9" t="s">
        <v>987</v>
      </c>
      <c r="C9" t="s">
        <v>1001</v>
      </c>
      <c r="D9" t="s">
        <v>364</v>
      </c>
      <c r="E9" t="s">
        <v>221</v>
      </c>
      <c r="F9">
        <v>4</v>
      </c>
      <c r="G9" t="s">
        <v>1960</v>
      </c>
    </row>
    <row r="10" spans="1:7">
      <c r="A10" t="s">
        <v>1968</v>
      </c>
      <c r="B10" t="s">
        <v>1644</v>
      </c>
      <c r="C10" t="s">
        <v>1696</v>
      </c>
      <c r="D10" t="s">
        <v>119</v>
      </c>
      <c r="E10" t="s">
        <v>14</v>
      </c>
      <c r="F10">
        <v>1</v>
      </c>
      <c r="G10" t="s">
        <v>1956</v>
      </c>
    </row>
    <row r="11" spans="1:7">
      <c r="A11" t="s">
        <v>1969</v>
      </c>
      <c r="B11" t="s">
        <v>378</v>
      </c>
      <c r="C11" t="s">
        <v>409</v>
      </c>
      <c r="D11" t="s">
        <v>51</v>
      </c>
      <c r="E11" t="s">
        <v>26</v>
      </c>
      <c r="F11">
        <v>2</v>
      </c>
      <c r="G11" t="s">
        <v>1962</v>
      </c>
    </row>
    <row r="12" spans="1:7">
      <c r="A12" t="s">
        <v>1970</v>
      </c>
      <c r="B12" t="s">
        <v>1182</v>
      </c>
      <c r="C12" t="s">
        <v>1210</v>
      </c>
      <c r="D12" t="s">
        <v>19</v>
      </c>
      <c r="E12" t="s">
        <v>20</v>
      </c>
      <c r="F12">
        <v>1</v>
      </c>
      <c r="G12" t="s">
        <v>1966</v>
      </c>
    </row>
    <row r="13" spans="1:7">
      <c r="A13" t="s">
        <v>1971</v>
      </c>
      <c r="B13" t="s">
        <v>1835</v>
      </c>
      <c r="C13" t="s">
        <v>1893</v>
      </c>
      <c r="D13" t="s">
        <v>39</v>
      </c>
      <c r="E13" t="s">
        <v>14</v>
      </c>
      <c r="F13">
        <v>3</v>
      </c>
      <c r="G13" t="s">
        <v>1962</v>
      </c>
    </row>
    <row r="14" spans="1:7">
      <c r="A14" t="s">
        <v>1972</v>
      </c>
      <c r="B14" t="s">
        <v>948</v>
      </c>
      <c r="C14" t="s">
        <v>960</v>
      </c>
      <c r="D14" t="s">
        <v>187</v>
      </c>
      <c r="E14" t="s">
        <v>14</v>
      </c>
      <c r="F14">
        <v>1</v>
      </c>
      <c r="G14" t="s">
        <v>1966</v>
      </c>
    </row>
    <row r="15" spans="1:7">
      <c r="A15" t="s">
        <v>1973</v>
      </c>
      <c r="B15" t="s">
        <v>1777</v>
      </c>
      <c r="C15" t="s">
        <v>1837</v>
      </c>
      <c r="D15" t="s">
        <v>31</v>
      </c>
      <c r="E15" t="s">
        <v>23</v>
      </c>
      <c r="F15">
        <v>2</v>
      </c>
      <c r="G15" t="s">
        <v>1956</v>
      </c>
    </row>
    <row r="16" spans="1:7">
      <c r="A16" t="s">
        <v>1974</v>
      </c>
      <c r="B16" t="s">
        <v>124</v>
      </c>
      <c r="C16" t="s">
        <v>131</v>
      </c>
      <c r="D16" t="s">
        <v>42</v>
      </c>
      <c r="E16" t="s">
        <v>23</v>
      </c>
      <c r="F16">
        <v>1</v>
      </c>
      <c r="G16" t="s">
        <v>1958</v>
      </c>
    </row>
    <row r="17" spans="1:7">
      <c r="A17" t="s">
        <v>1975</v>
      </c>
      <c r="B17" t="s">
        <v>1640</v>
      </c>
      <c r="C17" t="s">
        <v>1675</v>
      </c>
      <c r="D17" t="s">
        <v>119</v>
      </c>
      <c r="E17" t="s">
        <v>14</v>
      </c>
      <c r="F17">
        <v>4</v>
      </c>
      <c r="G17" t="s">
        <v>1966</v>
      </c>
    </row>
    <row r="18" spans="1:7">
      <c r="A18" t="s">
        <v>1976</v>
      </c>
      <c r="B18" t="s">
        <v>816</v>
      </c>
      <c r="C18" t="s">
        <v>822</v>
      </c>
      <c r="D18" t="s">
        <v>22</v>
      </c>
      <c r="E18" t="s">
        <v>23</v>
      </c>
      <c r="F18">
        <v>1</v>
      </c>
      <c r="G18" t="s">
        <v>1958</v>
      </c>
    </row>
    <row r="19" spans="1:7">
      <c r="A19" t="s">
        <v>1977</v>
      </c>
      <c r="B19" t="s">
        <v>598</v>
      </c>
      <c r="C19" t="s">
        <v>635</v>
      </c>
      <c r="D19" t="s">
        <v>45</v>
      </c>
      <c r="E19" t="s">
        <v>26</v>
      </c>
      <c r="F19">
        <v>2</v>
      </c>
      <c r="G19" t="s">
        <v>1956</v>
      </c>
    </row>
    <row r="20" spans="1:7">
      <c r="A20" t="s">
        <v>1978</v>
      </c>
      <c r="B20" t="s">
        <v>99</v>
      </c>
      <c r="C20" t="s">
        <v>125</v>
      </c>
      <c r="D20" t="s">
        <v>66</v>
      </c>
      <c r="E20" t="s">
        <v>17</v>
      </c>
      <c r="F20">
        <v>2</v>
      </c>
      <c r="G20" t="s">
        <v>1960</v>
      </c>
    </row>
    <row r="21" spans="1:7">
      <c r="A21" t="s">
        <v>1979</v>
      </c>
      <c r="B21" t="s">
        <v>1560</v>
      </c>
      <c r="C21" t="s">
        <v>1567</v>
      </c>
      <c r="D21" t="s">
        <v>58</v>
      </c>
      <c r="E21" t="s">
        <v>23</v>
      </c>
      <c r="F21">
        <v>1</v>
      </c>
      <c r="G21" t="s">
        <v>1962</v>
      </c>
    </row>
    <row r="22" spans="1:7">
      <c r="A22" t="s">
        <v>1980</v>
      </c>
      <c r="B22" t="s">
        <v>1477</v>
      </c>
      <c r="C22" t="s">
        <v>1502</v>
      </c>
      <c r="D22" t="s">
        <v>25</v>
      </c>
      <c r="E22" t="s">
        <v>26</v>
      </c>
      <c r="F22">
        <v>3</v>
      </c>
      <c r="G22" t="s">
        <v>1966</v>
      </c>
    </row>
    <row r="23" spans="1:7">
      <c r="A23" t="s">
        <v>1981</v>
      </c>
      <c r="B23" t="s">
        <v>1550</v>
      </c>
      <c r="C23" t="s">
        <v>1567</v>
      </c>
      <c r="D23" t="s">
        <v>31</v>
      </c>
      <c r="E23" t="s">
        <v>23</v>
      </c>
      <c r="F23">
        <v>4</v>
      </c>
      <c r="G23" t="s">
        <v>1956</v>
      </c>
    </row>
    <row r="24" spans="1:7">
      <c r="A24" t="s">
        <v>1982</v>
      </c>
      <c r="B24" t="s">
        <v>1618</v>
      </c>
      <c r="C24" t="s">
        <v>1620</v>
      </c>
      <c r="D24" t="s">
        <v>35</v>
      </c>
      <c r="E24" t="s">
        <v>17</v>
      </c>
      <c r="F24">
        <v>4</v>
      </c>
      <c r="G24" t="s">
        <v>1958</v>
      </c>
    </row>
    <row r="25" spans="1:7">
      <c r="A25" t="s">
        <v>1983</v>
      </c>
      <c r="B25" t="s">
        <v>1821</v>
      </c>
      <c r="C25" t="s">
        <v>1843</v>
      </c>
      <c r="D25" t="s">
        <v>35</v>
      </c>
      <c r="E25" t="s">
        <v>17</v>
      </c>
      <c r="F25">
        <v>3</v>
      </c>
      <c r="G25" t="s">
        <v>1960</v>
      </c>
    </row>
    <row r="26" spans="1:7">
      <c r="A26" t="s">
        <v>1984</v>
      </c>
      <c r="B26" t="s">
        <v>597</v>
      </c>
      <c r="C26" t="s">
        <v>602</v>
      </c>
      <c r="D26" t="s">
        <v>13</v>
      </c>
      <c r="E26" t="s">
        <v>14</v>
      </c>
      <c r="F26">
        <v>1</v>
      </c>
      <c r="G26" t="s">
        <v>1960</v>
      </c>
    </row>
    <row r="27" spans="1:7">
      <c r="A27" t="s">
        <v>1985</v>
      </c>
      <c r="B27" t="s">
        <v>1859</v>
      </c>
      <c r="C27" t="s">
        <v>1912</v>
      </c>
      <c r="D27" t="s">
        <v>68</v>
      </c>
      <c r="E27" t="s">
        <v>26</v>
      </c>
      <c r="F27">
        <v>3</v>
      </c>
      <c r="G27" t="s">
        <v>1966</v>
      </c>
    </row>
    <row r="28" spans="1:7">
      <c r="A28" t="s">
        <v>1986</v>
      </c>
      <c r="B28" t="s">
        <v>1880</v>
      </c>
      <c r="C28" t="s">
        <v>1912</v>
      </c>
      <c r="D28" t="s">
        <v>82</v>
      </c>
      <c r="E28" t="s">
        <v>20</v>
      </c>
      <c r="F28">
        <v>3</v>
      </c>
      <c r="G28" t="s">
        <v>1958</v>
      </c>
    </row>
    <row r="29" spans="1:7">
      <c r="A29" t="s">
        <v>1987</v>
      </c>
      <c r="B29" t="s">
        <v>1601</v>
      </c>
      <c r="C29" t="s">
        <v>1661</v>
      </c>
      <c r="D29" t="s">
        <v>115</v>
      </c>
      <c r="E29" t="s">
        <v>23</v>
      </c>
      <c r="F29">
        <v>4</v>
      </c>
      <c r="G29" t="s">
        <v>1956</v>
      </c>
    </row>
    <row r="30" spans="1:7">
      <c r="A30" t="s">
        <v>1988</v>
      </c>
      <c r="B30" t="s">
        <v>1656</v>
      </c>
      <c r="C30" t="s">
        <v>1717</v>
      </c>
      <c r="D30" t="s">
        <v>58</v>
      </c>
      <c r="E30" t="s">
        <v>23</v>
      </c>
      <c r="F30">
        <v>1</v>
      </c>
      <c r="G30" t="s">
        <v>1960</v>
      </c>
    </row>
    <row r="31" spans="1:7">
      <c r="A31" t="s">
        <v>1989</v>
      </c>
      <c r="B31" t="s">
        <v>1426</v>
      </c>
      <c r="C31" t="s">
        <v>1446</v>
      </c>
      <c r="D31" t="s">
        <v>39</v>
      </c>
      <c r="E31" t="s">
        <v>14</v>
      </c>
      <c r="F31">
        <v>1</v>
      </c>
      <c r="G31" t="s">
        <v>1960</v>
      </c>
    </row>
    <row r="32" spans="1:7">
      <c r="A32" t="s">
        <v>1990</v>
      </c>
      <c r="B32" t="s">
        <v>820</v>
      </c>
      <c r="C32" t="s">
        <v>833</v>
      </c>
      <c r="D32" t="s">
        <v>364</v>
      </c>
      <c r="E32" t="s">
        <v>221</v>
      </c>
      <c r="F32">
        <v>3</v>
      </c>
      <c r="G32" t="s">
        <v>1958</v>
      </c>
    </row>
    <row r="33" spans="1:7">
      <c r="A33" t="s">
        <v>1991</v>
      </c>
      <c r="B33" t="s">
        <v>1659</v>
      </c>
      <c r="C33" t="s">
        <v>1687</v>
      </c>
      <c r="D33" t="s">
        <v>66</v>
      </c>
      <c r="E33" t="s">
        <v>17</v>
      </c>
      <c r="F33">
        <v>1</v>
      </c>
      <c r="G33" t="s">
        <v>1966</v>
      </c>
    </row>
    <row r="34" spans="1:7">
      <c r="A34" t="s">
        <v>1992</v>
      </c>
      <c r="B34" t="s">
        <v>1374</v>
      </c>
      <c r="C34" t="s">
        <v>1410</v>
      </c>
      <c r="D34" t="s">
        <v>364</v>
      </c>
      <c r="E34" t="s">
        <v>221</v>
      </c>
      <c r="F34">
        <v>1</v>
      </c>
      <c r="G34" t="s">
        <v>1962</v>
      </c>
    </row>
    <row r="35" spans="1:7">
      <c r="A35" t="s">
        <v>1993</v>
      </c>
      <c r="B35" t="s">
        <v>321</v>
      </c>
      <c r="C35" t="s">
        <v>337</v>
      </c>
      <c r="D35" t="s">
        <v>39</v>
      </c>
      <c r="E35" t="s">
        <v>14</v>
      </c>
      <c r="F35">
        <v>1</v>
      </c>
      <c r="G35" t="s">
        <v>1962</v>
      </c>
    </row>
    <row r="36" spans="1:7">
      <c r="A36" t="s">
        <v>1994</v>
      </c>
      <c r="B36" t="s">
        <v>482</v>
      </c>
      <c r="C36" t="s">
        <v>515</v>
      </c>
      <c r="D36" t="s">
        <v>349</v>
      </c>
      <c r="E36" t="s">
        <v>221</v>
      </c>
      <c r="F36">
        <v>4</v>
      </c>
      <c r="G36" t="s">
        <v>1962</v>
      </c>
    </row>
    <row r="37" spans="1:7">
      <c r="A37" t="s">
        <v>1995</v>
      </c>
      <c r="B37" t="s">
        <v>586</v>
      </c>
      <c r="C37" t="s">
        <v>619</v>
      </c>
      <c r="D37" t="s">
        <v>220</v>
      </c>
      <c r="E37" t="s">
        <v>221</v>
      </c>
      <c r="F37">
        <v>1</v>
      </c>
      <c r="G37" t="s">
        <v>1958</v>
      </c>
    </row>
    <row r="38" spans="1:7">
      <c r="A38" t="s">
        <v>1996</v>
      </c>
      <c r="B38" t="s">
        <v>592</v>
      </c>
      <c r="C38" t="s">
        <v>602</v>
      </c>
      <c r="D38" t="s">
        <v>45</v>
      </c>
      <c r="E38" t="s">
        <v>26</v>
      </c>
      <c r="F38">
        <v>1</v>
      </c>
      <c r="G38" t="s">
        <v>1956</v>
      </c>
    </row>
    <row r="39" spans="1:7">
      <c r="A39" t="s">
        <v>1997</v>
      </c>
      <c r="B39" t="s">
        <v>1450</v>
      </c>
      <c r="C39" t="s">
        <v>1502</v>
      </c>
      <c r="D39" t="s">
        <v>31</v>
      </c>
      <c r="E39" t="s">
        <v>23</v>
      </c>
      <c r="F39">
        <v>3</v>
      </c>
      <c r="G39" t="s">
        <v>1956</v>
      </c>
    </row>
    <row r="40" spans="1:7">
      <c r="A40" t="s">
        <v>1998</v>
      </c>
      <c r="B40" t="s">
        <v>132</v>
      </c>
      <c r="C40" t="s">
        <v>135</v>
      </c>
      <c r="D40" t="s">
        <v>25</v>
      </c>
      <c r="E40" t="s">
        <v>26</v>
      </c>
      <c r="F40">
        <v>2</v>
      </c>
      <c r="G40" t="s">
        <v>1958</v>
      </c>
    </row>
    <row r="41" spans="1:7">
      <c r="A41" t="s">
        <v>1999</v>
      </c>
      <c r="B41" t="s">
        <v>1788</v>
      </c>
      <c r="C41" t="s">
        <v>1814</v>
      </c>
      <c r="D41" t="s">
        <v>45</v>
      </c>
      <c r="E41" t="s">
        <v>26</v>
      </c>
      <c r="F41">
        <v>2</v>
      </c>
      <c r="G41" t="s">
        <v>1960</v>
      </c>
    </row>
    <row r="42" spans="1:7">
      <c r="A42" t="s">
        <v>2000</v>
      </c>
      <c r="B42" t="s">
        <v>605</v>
      </c>
      <c r="C42" t="s">
        <v>629</v>
      </c>
      <c r="D42" t="s">
        <v>86</v>
      </c>
      <c r="E42" t="s">
        <v>17</v>
      </c>
      <c r="F42">
        <v>1</v>
      </c>
      <c r="G42" t="s">
        <v>1962</v>
      </c>
    </row>
    <row r="43" spans="1:7">
      <c r="A43" t="s">
        <v>2001</v>
      </c>
      <c r="B43" t="s">
        <v>1720</v>
      </c>
      <c r="C43" t="s">
        <v>1774</v>
      </c>
      <c r="D43" t="s">
        <v>119</v>
      </c>
      <c r="E43" t="s">
        <v>14</v>
      </c>
      <c r="F43">
        <v>1</v>
      </c>
      <c r="G43" t="s">
        <v>1960</v>
      </c>
    </row>
    <row r="44" spans="1:7">
      <c r="A44" t="s">
        <v>2002</v>
      </c>
      <c r="B44" t="s">
        <v>1150</v>
      </c>
      <c r="C44" t="s">
        <v>1177</v>
      </c>
      <c r="D44" t="s">
        <v>37</v>
      </c>
      <c r="E44" t="s">
        <v>20</v>
      </c>
      <c r="F44">
        <v>1</v>
      </c>
      <c r="G44" t="s">
        <v>1966</v>
      </c>
    </row>
    <row r="45" spans="1:7">
      <c r="A45" t="s">
        <v>2003</v>
      </c>
      <c r="B45" t="s">
        <v>1420</v>
      </c>
      <c r="C45" t="s">
        <v>1428</v>
      </c>
      <c r="D45" t="s">
        <v>119</v>
      </c>
      <c r="E45" t="s">
        <v>14</v>
      </c>
      <c r="F45">
        <v>4</v>
      </c>
      <c r="G45" t="s">
        <v>1960</v>
      </c>
    </row>
    <row r="46" spans="1:7">
      <c r="A46" t="s">
        <v>2004</v>
      </c>
      <c r="B46" t="s">
        <v>502</v>
      </c>
      <c r="C46" t="s">
        <v>518</v>
      </c>
      <c r="D46" t="s">
        <v>16</v>
      </c>
      <c r="E46" t="s">
        <v>17</v>
      </c>
      <c r="F46">
        <v>2</v>
      </c>
      <c r="G46" t="s">
        <v>1962</v>
      </c>
    </row>
    <row r="47" spans="1:7">
      <c r="A47" t="s">
        <v>2005</v>
      </c>
      <c r="B47" t="s">
        <v>514</v>
      </c>
      <c r="C47" t="s">
        <v>537</v>
      </c>
      <c r="D47" t="s">
        <v>13</v>
      </c>
      <c r="E47" t="s">
        <v>14</v>
      </c>
      <c r="F47">
        <v>3</v>
      </c>
      <c r="G47" t="s">
        <v>1966</v>
      </c>
    </row>
    <row r="48" spans="1:7">
      <c r="A48" t="s">
        <v>2006</v>
      </c>
      <c r="B48" t="s">
        <v>443</v>
      </c>
      <c r="C48" t="s">
        <v>470</v>
      </c>
      <c r="D48" t="s">
        <v>369</v>
      </c>
      <c r="E48" t="s">
        <v>221</v>
      </c>
      <c r="F48">
        <v>3</v>
      </c>
      <c r="G48" t="s">
        <v>1962</v>
      </c>
    </row>
    <row r="49" spans="1:7">
      <c r="A49" t="s">
        <v>2007</v>
      </c>
      <c r="B49" t="s">
        <v>981</v>
      </c>
      <c r="C49" t="s">
        <v>2008</v>
      </c>
      <c r="D49" t="s">
        <v>364</v>
      </c>
      <c r="E49" t="s">
        <v>221</v>
      </c>
      <c r="F49">
        <v>1</v>
      </c>
      <c r="G49" t="s">
        <v>1956</v>
      </c>
    </row>
    <row r="50" spans="1:7">
      <c r="A50" t="s">
        <v>2009</v>
      </c>
      <c r="B50" t="s">
        <v>1322</v>
      </c>
      <c r="C50" t="s">
        <v>1370</v>
      </c>
      <c r="D50" t="s">
        <v>35</v>
      </c>
      <c r="E50" t="s">
        <v>17</v>
      </c>
      <c r="F50">
        <v>1</v>
      </c>
      <c r="G50" t="s">
        <v>1958</v>
      </c>
    </row>
    <row r="51" spans="1:7">
      <c r="A51" t="s">
        <v>2010</v>
      </c>
      <c r="B51" t="s">
        <v>834</v>
      </c>
      <c r="C51" t="s">
        <v>888</v>
      </c>
      <c r="D51" t="s">
        <v>369</v>
      </c>
      <c r="E51" t="s">
        <v>221</v>
      </c>
      <c r="F51">
        <v>1</v>
      </c>
      <c r="G51" t="s">
        <v>1958</v>
      </c>
    </row>
    <row r="52" spans="1:7">
      <c r="A52" t="s">
        <v>2011</v>
      </c>
      <c r="B52" t="s">
        <v>734</v>
      </c>
      <c r="C52" t="s">
        <v>778</v>
      </c>
      <c r="D52" t="s">
        <v>220</v>
      </c>
      <c r="E52" t="s">
        <v>221</v>
      </c>
      <c r="F52">
        <v>2</v>
      </c>
      <c r="G52" t="s">
        <v>1962</v>
      </c>
    </row>
    <row r="53" spans="1:7">
      <c r="A53" t="s">
        <v>2012</v>
      </c>
      <c r="B53" t="s">
        <v>1491</v>
      </c>
      <c r="C53" t="s">
        <v>1515</v>
      </c>
      <c r="D53" t="s">
        <v>97</v>
      </c>
      <c r="E53" t="s">
        <v>20</v>
      </c>
      <c r="F53">
        <v>2</v>
      </c>
      <c r="G53" t="s">
        <v>1962</v>
      </c>
    </row>
    <row r="54" spans="1:7">
      <c r="A54" t="s">
        <v>2013</v>
      </c>
      <c r="B54" t="s">
        <v>1673</v>
      </c>
      <c r="C54" t="s">
        <v>1681</v>
      </c>
      <c r="D54" t="s">
        <v>28</v>
      </c>
      <c r="E54" t="s">
        <v>26</v>
      </c>
      <c r="F54">
        <v>1</v>
      </c>
      <c r="G54" t="s">
        <v>1962</v>
      </c>
    </row>
    <row r="55" spans="1:7">
      <c r="A55" t="s">
        <v>2014</v>
      </c>
      <c r="B55" t="s">
        <v>748</v>
      </c>
      <c r="C55" t="s">
        <v>775</v>
      </c>
      <c r="D55" t="s">
        <v>45</v>
      </c>
      <c r="E55" t="s">
        <v>26</v>
      </c>
      <c r="F55">
        <v>1</v>
      </c>
      <c r="G55" t="s">
        <v>1962</v>
      </c>
    </row>
    <row r="56" spans="1:7">
      <c r="A56" t="s">
        <v>2015</v>
      </c>
      <c r="B56" t="s">
        <v>906</v>
      </c>
      <c r="C56" t="s">
        <v>914</v>
      </c>
      <c r="D56" t="s">
        <v>187</v>
      </c>
      <c r="E56" t="s">
        <v>14</v>
      </c>
      <c r="F56">
        <v>1</v>
      </c>
      <c r="G56" t="s">
        <v>1962</v>
      </c>
    </row>
    <row r="57" spans="1:7">
      <c r="A57" t="s">
        <v>2016</v>
      </c>
      <c r="B57" t="s">
        <v>95</v>
      </c>
      <c r="C57" t="s">
        <v>148</v>
      </c>
      <c r="D57" t="s">
        <v>97</v>
      </c>
      <c r="E57" t="s">
        <v>20</v>
      </c>
      <c r="F57">
        <v>1</v>
      </c>
      <c r="G57" t="s">
        <v>1962</v>
      </c>
    </row>
    <row r="58" spans="1:7">
      <c r="A58" t="s">
        <v>2017</v>
      </c>
      <c r="B58" t="s">
        <v>670</v>
      </c>
      <c r="C58" t="s">
        <v>717</v>
      </c>
      <c r="D58" t="s">
        <v>13</v>
      </c>
      <c r="E58" t="s">
        <v>14</v>
      </c>
      <c r="F58">
        <v>2</v>
      </c>
      <c r="G58" t="s">
        <v>1956</v>
      </c>
    </row>
    <row r="59" spans="1:7">
      <c r="A59" t="s">
        <v>2018</v>
      </c>
      <c r="B59" t="s">
        <v>452</v>
      </c>
      <c r="C59" t="s">
        <v>480</v>
      </c>
      <c r="D59" t="s">
        <v>364</v>
      </c>
      <c r="E59" t="s">
        <v>221</v>
      </c>
      <c r="F59">
        <v>2</v>
      </c>
      <c r="G59" t="s">
        <v>1966</v>
      </c>
    </row>
    <row r="60" spans="1:7">
      <c r="A60" t="s">
        <v>2019</v>
      </c>
      <c r="B60" t="s">
        <v>1201</v>
      </c>
      <c r="C60" t="s">
        <v>1217</v>
      </c>
      <c r="D60" t="s">
        <v>115</v>
      </c>
      <c r="E60" t="s">
        <v>23</v>
      </c>
      <c r="F60">
        <v>4</v>
      </c>
      <c r="G60" t="s">
        <v>1966</v>
      </c>
    </row>
    <row r="61" spans="1:7">
      <c r="A61" t="s">
        <v>2020</v>
      </c>
      <c r="B61" t="s">
        <v>853</v>
      </c>
      <c r="C61" t="s">
        <v>902</v>
      </c>
      <c r="D61" t="s">
        <v>13</v>
      </c>
      <c r="E61" t="s">
        <v>14</v>
      </c>
      <c r="F61">
        <v>4</v>
      </c>
      <c r="G61" t="s">
        <v>1966</v>
      </c>
    </row>
    <row r="62" spans="1:7">
      <c r="A62" t="s">
        <v>2021</v>
      </c>
      <c r="B62" t="s">
        <v>755</v>
      </c>
      <c r="C62" t="s">
        <v>791</v>
      </c>
      <c r="D62" t="s">
        <v>13</v>
      </c>
      <c r="E62" t="s">
        <v>14</v>
      </c>
      <c r="F62">
        <v>1</v>
      </c>
      <c r="G62" t="s">
        <v>1962</v>
      </c>
    </row>
    <row r="63" spans="1:7">
      <c r="A63" t="s">
        <v>2022</v>
      </c>
      <c r="B63" t="s">
        <v>665</v>
      </c>
      <c r="C63" t="s">
        <v>700</v>
      </c>
      <c r="D63" t="s">
        <v>31</v>
      </c>
      <c r="E63" t="s">
        <v>23</v>
      </c>
      <c r="F63">
        <v>2</v>
      </c>
      <c r="G63" t="s">
        <v>1962</v>
      </c>
    </row>
    <row r="64" spans="1:7">
      <c r="A64" t="s">
        <v>2023</v>
      </c>
      <c r="B64" t="s">
        <v>120</v>
      </c>
      <c r="C64" t="s">
        <v>125</v>
      </c>
      <c r="D64" t="s">
        <v>37</v>
      </c>
      <c r="E64" t="s">
        <v>20</v>
      </c>
      <c r="F64">
        <v>3</v>
      </c>
      <c r="G64" t="s">
        <v>1958</v>
      </c>
    </row>
    <row r="65" spans="1:7">
      <c r="A65" t="s">
        <v>2024</v>
      </c>
      <c r="B65" t="s">
        <v>1079</v>
      </c>
      <c r="C65" t="s">
        <v>1098</v>
      </c>
      <c r="D65" t="s">
        <v>37</v>
      </c>
      <c r="E65" t="s">
        <v>20</v>
      </c>
      <c r="F65">
        <v>1</v>
      </c>
      <c r="G65" t="s">
        <v>1958</v>
      </c>
    </row>
    <row r="66" spans="1:7">
      <c r="A66" t="s">
        <v>2025</v>
      </c>
      <c r="B66" t="s">
        <v>673</v>
      </c>
      <c r="C66" t="s">
        <v>696</v>
      </c>
      <c r="D66" t="s">
        <v>349</v>
      </c>
      <c r="E66" t="s">
        <v>221</v>
      </c>
      <c r="F66">
        <v>1</v>
      </c>
      <c r="G66" t="s">
        <v>1956</v>
      </c>
    </row>
    <row r="67" spans="1:7">
      <c r="A67" t="s">
        <v>2026</v>
      </c>
      <c r="B67" t="s">
        <v>445</v>
      </c>
      <c r="C67" t="s">
        <v>492</v>
      </c>
      <c r="D67" t="s">
        <v>68</v>
      </c>
      <c r="E67" t="s">
        <v>26</v>
      </c>
      <c r="F67">
        <v>1</v>
      </c>
      <c r="G67" t="s">
        <v>1966</v>
      </c>
    </row>
    <row r="68" spans="1:7">
      <c r="A68" t="s">
        <v>2027</v>
      </c>
      <c r="B68" t="s">
        <v>1439</v>
      </c>
      <c r="C68" t="s">
        <v>1488</v>
      </c>
      <c r="D68" t="s">
        <v>39</v>
      </c>
      <c r="E68" t="s">
        <v>14</v>
      </c>
      <c r="F68">
        <v>2</v>
      </c>
      <c r="G68" t="s">
        <v>1966</v>
      </c>
    </row>
    <row r="69" spans="1:7">
      <c r="A69" t="s">
        <v>2028</v>
      </c>
      <c r="B69" t="s">
        <v>1616</v>
      </c>
      <c r="C69" t="s">
        <v>1675</v>
      </c>
      <c r="D69" t="s">
        <v>146</v>
      </c>
      <c r="E69" t="s">
        <v>20</v>
      </c>
      <c r="F69">
        <v>1</v>
      </c>
      <c r="G69" t="s">
        <v>1966</v>
      </c>
    </row>
    <row r="70" spans="1:7">
      <c r="A70" t="s">
        <v>2029</v>
      </c>
      <c r="B70" t="s">
        <v>273</v>
      </c>
      <c r="C70" t="s">
        <v>310</v>
      </c>
      <c r="D70" t="s">
        <v>28</v>
      </c>
      <c r="E70" t="s">
        <v>26</v>
      </c>
      <c r="F70">
        <v>1</v>
      </c>
      <c r="G70" t="s">
        <v>1960</v>
      </c>
    </row>
    <row r="71" spans="1:7">
      <c r="A71" t="s">
        <v>2030</v>
      </c>
      <c r="B71" t="s">
        <v>440</v>
      </c>
      <c r="C71" t="s">
        <v>474</v>
      </c>
      <c r="D71" t="s">
        <v>64</v>
      </c>
      <c r="E71" t="s">
        <v>14</v>
      </c>
      <c r="F71">
        <v>2</v>
      </c>
      <c r="G71" t="s">
        <v>1956</v>
      </c>
    </row>
    <row r="72" spans="1:7">
      <c r="A72" t="s">
        <v>2031</v>
      </c>
      <c r="B72" t="s">
        <v>1132</v>
      </c>
      <c r="C72" t="s">
        <v>1155</v>
      </c>
      <c r="D72" t="s">
        <v>97</v>
      </c>
      <c r="E72" t="s">
        <v>20</v>
      </c>
      <c r="F72">
        <v>3</v>
      </c>
      <c r="G72" t="s">
        <v>1958</v>
      </c>
    </row>
    <row r="73" spans="1:7">
      <c r="A73" t="s">
        <v>2032</v>
      </c>
      <c r="B73" t="s">
        <v>1054</v>
      </c>
      <c r="C73" t="s">
        <v>1095</v>
      </c>
      <c r="D73" t="s">
        <v>13</v>
      </c>
      <c r="E73" t="s">
        <v>14</v>
      </c>
      <c r="F73">
        <v>2</v>
      </c>
      <c r="G73" t="s">
        <v>1958</v>
      </c>
    </row>
    <row r="74" spans="1:7">
      <c r="A74" t="s">
        <v>2033</v>
      </c>
      <c r="B74" t="s">
        <v>419</v>
      </c>
      <c r="C74" t="s">
        <v>430</v>
      </c>
      <c r="D74" t="s">
        <v>97</v>
      </c>
      <c r="E74" t="s">
        <v>20</v>
      </c>
      <c r="F74">
        <v>1</v>
      </c>
      <c r="G74" t="s">
        <v>1960</v>
      </c>
    </row>
    <row r="75" spans="1:7">
      <c r="A75" t="s">
        <v>2034</v>
      </c>
      <c r="B75" t="s">
        <v>940</v>
      </c>
      <c r="C75" t="s">
        <v>950</v>
      </c>
      <c r="D75" t="s">
        <v>349</v>
      </c>
      <c r="E75" t="s">
        <v>221</v>
      </c>
      <c r="F75">
        <v>1</v>
      </c>
      <c r="G75" t="s">
        <v>1962</v>
      </c>
    </row>
    <row r="76" spans="1:7">
      <c r="A76" t="s">
        <v>2035</v>
      </c>
      <c r="B76" t="s">
        <v>1712</v>
      </c>
      <c r="C76" t="s">
        <v>1753</v>
      </c>
      <c r="D76" t="s">
        <v>68</v>
      </c>
      <c r="E76" t="s">
        <v>26</v>
      </c>
      <c r="F76">
        <v>2</v>
      </c>
      <c r="G76" t="s">
        <v>1956</v>
      </c>
    </row>
    <row r="77" spans="1:7">
      <c r="A77" t="s">
        <v>2036</v>
      </c>
      <c r="B77" t="s">
        <v>873</v>
      </c>
      <c r="C77" t="s">
        <v>877</v>
      </c>
      <c r="D77" t="s">
        <v>369</v>
      </c>
      <c r="E77" t="s">
        <v>221</v>
      </c>
      <c r="F77">
        <v>1</v>
      </c>
      <c r="G77" t="s">
        <v>1960</v>
      </c>
    </row>
    <row r="78" spans="1:7">
      <c r="A78" t="s">
        <v>2037</v>
      </c>
      <c r="B78" t="s">
        <v>709</v>
      </c>
      <c r="C78" t="s">
        <v>752</v>
      </c>
      <c r="D78" t="s">
        <v>31</v>
      </c>
      <c r="E78" t="s">
        <v>23</v>
      </c>
      <c r="F78">
        <v>2</v>
      </c>
      <c r="G78" t="s">
        <v>1962</v>
      </c>
    </row>
    <row r="79" spans="1:7">
      <c r="A79" t="s">
        <v>2038</v>
      </c>
      <c r="B79" t="s">
        <v>634</v>
      </c>
      <c r="C79" t="s">
        <v>675</v>
      </c>
      <c r="D79" t="s">
        <v>45</v>
      </c>
      <c r="E79" t="s">
        <v>26</v>
      </c>
      <c r="F79">
        <v>1</v>
      </c>
      <c r="G79" t="s">
        <v>1956</v>
      </c>
    </row>
    <row r="80" spans="1:7">
      <c r="A80" t="s">
        <v>2039</v>
      </c>
      <c r="B80" t="s">
        <v>1235</v>
      </c>
      <c r="C80" t="s">
        <v>1277</v>
      </c>
      <c r="D80" t="s">
        <v>119</v>
      </c>
      <c r="E80" t="s">
        <v>14</v>
      </c>
      <c r="F80">
        <v>2</v>
      </c>
      <c r="G80" t="s">
        <v>1956</v>
      </c>
    </row>
    <row r="81" spans="1:7">
      <c r="A81" t="s">
        <v>2040</v>
      </c>
      <c r="B81" t="s">
        <v>1365</v>
      </c>
      <c r="C81" t="s">
        <v>1390</v>
      </c>
      <c r="D81" t="s">
        <v>187</v>
      </c>
      <c r="E81" t="s">
        <v>14</v>
      </c>
      <c r="F81">
        <v>2</v>
      </c>
      <c r="G81" t="s">
        <v>1966</v>
      </c>
    </row>
    <row r="82" spans="1:7">
      <c r="A82" t="s">
        <v>2041</v>
      </c>
      <c r="B82" t="s">
        <v>67</v>
      </c>
      <c r="C82" t="s">
        <v>70</v>
      </c>
      <c r="D82" t="s">
        <v>68</v>
      </c>
      <c r="E82" t="s">
        <v>26</v>
      </c>
      <c r="F82">
        <v>3</v>
      </c>
      <c r="G82" t="s">
        <v>1958</v>
      </c>
    </row>
    <row r="83" spans="1:7">
      <c r="A83" t="s">
        <v>2042</v>
      </c>
      <c r="B83" t="s">
        <v>351</v>
      </c>
      <c r="C83" t="s">
        <v>397</v>
      </c>
      <c r="D83" t="s">
        <v>119</v>
      </c>
      <c r="E83" t="s">
        <v>14</v>
      </c>
      <c r="F83">
        <v>1</v>
      </c>
      <c r="G83" t="s">
        <v>1956</v>
      </c>
    </row>
    <row r="84" spans="1:7">
      <c r="A84" t="s">
        <v>2043</v>
      </c>
      <c r="B84" t="s">
        <v>1063</v>
      </c>
      <c r="C84" t="s">
        <v>2044</v>
      </c>
      <c r="D84" t="s">
        <v>37</v>
      </c>
      <c r="E84" t="s">
        <v>20</v>
      </c>
      <c r="F84">
        <v>1</v>
      </c>
      <c r="G84" t="s">
        <v>1966</v>
      </c>
    </row>
    <row r="85" spans="1:7">
      <c r="A85" t="s">
        <v>2045</v>
      </c>
      <c r="B85" t="s">
        <v>1086</v>
      </c>
      <c r="C85" t="s">
        <v>1124</v>
      </c>
      <c r="D85" t="s">
        <v>97</v>
      </c>
      <c r="E85" t="s">
        <v>20</v>
      </c>
      <c r="F85">
        <v>1</v>
      </c>
      <c r="G85" t="s">
        <v>1958</v>
      </c>
    </row>
    <row r="86" spans="1:7">
      <c r="A86" t="s">
        <v>2046</v>
      </c>
      <c r="B86" t="s">
        <v>117</v>
      </c>
      <c r="C86" t="s">
        <v>168</v>
      </c>
      <c r="D86" t="s">
        <v>16</v>
      </c>
      <c r="E86" t="s">
        <v>17</v>
      </c>
      <c r="F86">
        <v>1</v>
      </c>
      <c r="G86" t="s">
        <v>1956</v>
      </c>
    </row>
    <row r="87" spans="1:7">
      <c r="A87" t="s">
        <v>2047</v>
      </c>
      <c r="B87" t="s">
        <v>808</v>
      </c>
      <c r="C87" t="s">
        <v>811</v>
      </c>
      <c r="D87" t="s">
        <v>187</v>
      </c>
      <c r="E87" t="s">
        <v>14</v>
      </c>
      <c r="F87">
        <v>4</v>
      </c>
      <c r="G87" t="s">
        <v>1958</v>
      </c>
    </row>
    <row r="88" spans="1:7">
      <c r="A88" t="s">
        <v>2048</v>
      </c>
      <c r="B88" t="s">
        <v>1227</v>
      </c>
      <c r="C88" t="s">
        <v>1249</v>
      </c>
      <c r="D88" t="s">
        <v>13</v>
      </c>
      <c r="E88" t="s">
        <v>14</v>
      </c>
      <c r="F88">
        <v>2</v>
      </c>
      <c r="G88" t="s">
        <v>1966</v>
      </c>
    </row>
    <row r="89" spans="1:7">
      <c r="A89" t="s">
        <v>2049</v>
      </c>
      <c r="B89" t="s">
        <v>1006</v>
      </c>
      <c r="C89" t="s">
        <v>1019</v>
      </c>
      <c r="D89" t="s">
        <v>220</v>
      </c>
      <c r="E89" t="s">
        <v>221</v>
      </c>
      <c r="F89">
        <v>2</v>
      </c>
      <c r="G89" t="s">
        <v>1956</v>
      </c>
    </row>
    <row r="90" spans="1:7">
      <c r="A90" t="s">
        <v>2050</v>
      </c>
      <c r="B90" t="s">
        <v>1230</v>
      </c>
      <c r="C90" t="s">
        <v>1281</v>
      </c>
      <c r="D90" t="s">
        <v>22</v>
      </c>
      <c r="E90" t="s">
        <v>23</v>
      </c>
      <c r="F90">
        <v>3</v>
      </c>
      <c r="G90" t="s">
        <v>1962</v>
      </c>
    </row>
    <row r="91" spans="1:7">
      <c r="A91" t="s">
        <v>2051</v>
      </c>
      <c r="B91" t="s">
        <v>1445</v>
      </c>
      <c r="C91" t="s">
        <v>1515</v>
      </c>
      <c r="D91" t="s">
        <v>22</v>
      </c>
      <c r="E91" t="s">
        <v>23</v>
      </c>
      <c r="F91">
        <v>3</v>
      </c>
      <c r="G91" t="s">
        <v>1960</v>
      </c>
    </row>
    <row r="92" spans="1:7">
      <c r="A92" t="s">
        <v>2052</v>
      </c>
      <c r="B92" t="s">
        <v>361</v>
      </c>
      <c r="C92" t="s">
        <v>380</v>
      </c>
      <c r="D92" t="s">
        <v>80</v>
      </c>
      <c r="E92" t="s">
        <v>14</v>
      </c>
      <c r="F92">
        <v>1</v>
      </c>
      <c r="G92" t="s">
        <v>1956</v>
      </c>
    </row>
    <row r="93" spans="1:7">
      <c r="A93" t="s">
        <v>2053</v>
      </c>
      <c r="B93" t="s">
        <v>402</v>
      </c>
      <c r="C93" t="s">
        <v>437</v>
      </c>
      <c r="D93" t="s">
        <v>119</v>
      </c>
      <c r="E93" t="s">
        <v>14</v>
      </c>
      <c r="F93">
        <v>2</v>
      </c>
      <c r="G93" t="s">
        <v>1958</v>
      </c>
    </row>
    <row r="94" spans="1:7">
      <c r="A94" t="s">
        <v>2054</v>
      </c>
      <c r="B94" t="s">
        <v>1800</v>
      </c>
      <c r="C94" t="s">
        <v>1827</v>
      </c>
      <c r="D94" t="s">
        <v>16</v>
      </c>
      <c r="E94" t="s">
        <v>17</v>
      </c>
      <c r="F94">
        <v>3</v>
      </c>
      <c r="G94" t="s">
        <v>1966</v>
      </c>
    </row>
    <row r="95" spans="1:7">
      <c r="A95" t="s">
        <v>2055</v>
      </c>
      <c r="B95" t="s">
        <v>1404</v>
      </c>
      <c r="C95" t="s">
        <v>1457</v>
      </c>
      <c r="D95" t="s">
        <v>19</v>
      </c>
      <c r="E95" t="s">
        <v>20</v>
      </c>
      <c r="F95">
        <v>2</v>
      </c>
      <c r="G95" t="s">
        <v>1958</v>
      </c>
    </row>
    <row r="96" spans="1:7">
      <c r="A96" t="s">
        <v>2056</v>
      </c>
      <c r="B96" t="s">
        <v>657</v>
      </c>
      <c r="C96" t="s">
        <v>708</v>
      </c>
      <c r="D96" t="s">
        <v>37</v>
      </c>
      <c r="E96" t="s">
        <v>20</v>
      </c>
      <c r="F96">
        <v>4</v>
      </c>
      <c r="G96" t="s">
        <v>1966</v>
      </c>
    </row>
    <row r="97" spans="1:7">
      <c r="A97" t="s">
        <v>2057</v>
      </c>
      <c r="B97" t="s">
        <v>589</v>
      </c>
      <c r="C97" t="s">
        <v>621</v>
      </c>
      <c r="D97" t="s">
        <v>187</v>
      </c>
      <c r="E97" t="s">
        <v>14</v>
      </c>
      <c r="F97">
        <v>4</v>
      </c>
      <c r="G97" t="s">
        <v>1962</v>
      </c>
    </row>
    <row r="98" spans="1:7">
      <c r="A98" t="s">
        <v>2058</v>
      </c>
      <c r="B98" t="s">
        <v>191</v>
      </c>
      <c r="C98" t="s">
        <v>217</v>
      </c>
      <c r="D98" t="s">
        <v>45</v>
      </c>
      <c r="E98" t="s">
        <v>26</v>
      </c>
      <c r="F98">
        <v>4</v>
      </c>
      <c r="G98" t="s">
        <v>1958</v>
      </c>
    </row>
    <row r="99" spans="1:7">
      <c r="A99" t="s">
        <v>2059</v>
      </c>
      <c r="B99" t="s">
        <v>1526</v>
      </c>
      <c r="C99" t="s">
        <v>1547</v>
      </c>
      <c r="D99" t="s">
        <v>45</v>
      </c>
      <c r="E99" t="s">
        <v>26</v>
      </c>
      <c r="F99">
        <v>3</v>
      </c>
      <c r="G99" t="s">
        <v>1958</v>
      </c>
    </row>
    <row r="100" spans="1:7">
      <c r="A100" t="s">
        <v>2060</v>
      </c>
      <c r="B100" t="s">
        <v>549</v>
      </c>
      <c r="C100" t="s">
        <v>561</v>
      </c>
      <c r="D100" t="s">
        <v>31</v>
      </c>
      <c r="E100" t="s">
        <v>23</v>
      </c>
      <c r="F100">
        <v>3</v>
      </c>
      <c r="G100" t="s">
        <v>1958</v>
      </c>
    </row>
    <row r="101" spans="1:7">
      <c r="A101" t="s">
        <v>2061</v>
      </c>
      <c r="B101" t="s">
        <v>1304</v>
      </c>
      <c r="C101" t="s">
        <v>1318</v>
      </c>
      <c r="D101" t="s">
        <v>13</v>
      </c>
      <c r="E101" t="s">
        <v>14</v>
      </c>
      <c r="F101">
        <v>1</v>
      </c>
      <c r="G101" t="s">
        <v>1960</v>
      </c>
    </row>
    <row r="102" spans="1:7">
      <c r="A102" t="s">
        <v>2062</v>
      </c>
      <c r="B102" t="s">
        <v>952</v>
      </c>
      <c r="C102" t="s">
        <v>964</v>
      </c>
      <c r="D102" t="s">
        <v>42</v>
      </c>
      <c r="E102" t="s">
        <v>23</v>
      </c>
      <c r="F102">
        <v>2</v>
      </c>
      <c r="G102" t="s">
        <v>1966</v>
      </c>
    </row>
    <row r="103" spans="1:7">
      <c r="A103" t="s">
        <v>2063</v>
      </c>
      <c r="B103" t="s">
        <v>1484</v>
      </c>
      <c r="C103" t="s">
        <v>1547</v>
      </c>
      <c r="D103" t="s">
        <v>42</v>
      </c>
      <c r="E103" t="s">
        <v>23</v>
      </c>
      <c r="F103">
        <v>4</v>
      </c>
      <c r="G103" t="s">
        <v>1958</v>
      </c>
    </row>
    <row r="104" spans="1:7">
      <c r="A104" t="s">
        <v>2064</v>
      </c>
      <c r="B104" t="s">
        <v>1425</v>
      </c>
      <c r="C104" t="s">
        <v>1480</v>
      </c>
      <c r="D104" t="s">
        <v>25</v>
      </c>
      <c r="E104" t="s">
        <v>26</v>
      </c>
      <c r="F104">
        <v>2</v>
      </c>
      <c r="G104" t="s">
        <v>1958</v>
      </c>
    </row>
    <row r="105" spans="1:7">
      <c r="A105" t="s">
        <v>2065</v>
      </c>
      <c r="B105" t="s">
        <v>678</v>
      </c>
      <c r="C105" t="s">
        <v>696</v>
      </c>
      <c r="D105" t="s">
        <v>115</v>
      </c>
      <c r="E105" t="s">
        <v>23</v>
      </c>
      <c r="F105">
        <v>2</v>
      </c>
      <c r="G105" t="s">
        <v>1956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0176C-647B-4FDB-8D7B-64D9AE3DFDC6}">
  <sheetPr>
    <tabColor rgb="FFF35035"/>
  </sheetPr>
  <dimension ref="A1:T1501"/>
  <sheetViews>
    <sheetView topLeftCell="A4" zoomScale="88" zoomScaleNormal="55" workbookViewId="0">
      <selection activeCell="R27" sqref="R27"/>
    </sheetView>
  </sheetViews>
  <sheetFormatPr defaultRowHeight="14.4"/>
  <cols>
    <col min="1" max="1" width="9.6640625" bestFit="1" customWidth="1"/>
    <col min="2" max="2" width="10.33203125" bestFit="1" customWidth="1"/>
    <col min="3" max="3" width="16.5546875" bestFit="1" customWidth="1"/>
    <col min="4" max="4" width="9.33203125" bestFit="1" customWidth="1"/>
    <col min="5" max="5" width="15.44140625" bestFit="1" customWidth="1"/>
    <col min="6" max="6" width="13.109375" bestFit="1" customWidth="1"/>
    <col min="7" max="7" width="16.44140625" bestFit="1" customWidth="1"/>
    <col min="8" max="8" width="12.6640625" bestFit="1" customWidth="1"/>
    <col min="9" max="9" width="12.21875" bestFit="1" customWidth="1"/>
    <col min="10" max="10" width="13.44140625" bestFit="1" customWidth="1"/>
    <col min="11" max="11" width="19.6640625" bestFit="1" customWidth="1"/>
    <col min="12" max="12" width="8.109375" bestFit="1" customWidth="1"/>
    <col min="13" max="13" width="14.88671875" bestFit="1" customWidth="1"/>
    <col min="14" max="14" width="13.44140625" bestFit="1" customWidth="1"/>
    <col min="15" max="15" width="14" bestFit="1" customWidth="1"/>
    <col min="16" max="16" width="17.88671875" bestFit="1" customWidth="1"/>
    <col min="17" max="17" width="17" bestFit="1" customWidth="1"/>
    <col min="18" max="18" width="22.88671875" bestFit="1" customWidth="1"/>
    <col min="19" max="19" width="16.88671875" bestFit="1" customWidth="1"/>
    <col min="20" max="20" width="19.21875" bestFit="1" customWidth="1"/>
    <col min="21" max="21" width="18.6640625" customWidth="1"/>
  </cols>
  <sheetData>
    <row r="1" spans="1:20">
      <c r="A1" t="s">
        <v>0</v>
      </c>
      <c r="B1" t="s">
        <v>1</v>
      </c>
      <c r="C1" t="s">
        <v>2</v>
      </c>
      <c r="D1" t="s">
        <v>3</v>
      </c>
      <c r="E1" t="s">
        <v>4</v>
      </c>
      <c r="F1" t="s">
        <v>5</v>
      </c>
      <c r="G1" t="s">
        <v>6</v>
      </c>
      <c r="H1" t="s">
        <v>7</v>
      </c>
      <c r="I1" t="s">
        <v>8</v>
      </c>
      <c r="J1" t="s">
        <v>9</v>
      </c>
      <c r="K1" t="s">
        <v>1917</v>
      </c>
      <c r="L1" t="s">
        <v>1918</v>
      </c>
      <c r="M1" t="s">
        <v>2066</v>
      </c>
      <c r="N1" t="s">
        <v>2067</v>
      </c>
      <c r="O1" t="s">
        <v>2068</v>
      </c>
      <c r="P1" t="s">
        <v>2069</v>
      </c>
      <c r="Q1" t="s">
        <v>1953</v>
      </c>
      <c r="R1" t="s">
        <v>2070</v>
      </c>
      <c r="S1" t="s">
        <v>2071</v>
      </c>
      <c r="T1" t="s">
        <v>2072</v>
      </c>
    </row>
    <row r="2" spans="1:20">
      <c r="A2" t="s">
        <v>10</v>
      </c>
      <c r="B2" s="1">
        <v>45292</v>
      </c>
      <c r="C2">
        <v>1</v>
      </c>
      <c r="D2">
        <v>1</v>
      </c>
      <c r="E2" t="s">
        <v>12</v>
      </c>
      <c r="F2" t="s">
        <v>13</v>
      </c>
      <c r="G2" t="s">
        <v>14</v>
      </c>
      <c r="H2">
        <v>5</v>
      </c>
      <c r="I2">
        <v>408</v>
      </c>
      <c r="J2">
        <v>15</v>
      </c>
      <c r="K2" t="s">
        <v>1925</v>
      </c>
      <c r="L2">
        <v>220</v>
      </c>
      <c r="M2">
        <v>2040</v>
      </c>
      <c r="N2">
        <v>1100</v>
      </c>
      <c r="O2">
        <v>940</v>
      </c>
      <c r="P2">
        <v>0.46078431372549</v>
      </c>
      <c r="Q2">
        <v>0</v>
      </c>
      <c r="R2">
        <v>0</v>
      </c>
      <c r="S2">
        <v>5</v>
      </c>
      <c r="T2">
        <v>2040</v>
      </c>
    </row>
    <row r="3" spans="1:20">
      <c r="A3" t="s">
        <v>56</v>
      </c>
      <c r="B3" s="1">
        <v>45296</v>
      </c>
      <c r="C3">
        <v>1</v>
      </c>
      <c r="D3">
        <v>1</v>
      </c>
      <c r="E3" t="s">
        <v>12</v>
      </c>
      <c r="F3" t="s">
        <v>13</v>
      </c>
      <c r="G3" t="s">
        <v>14</v>
      </c>
      <c r="H3">
        <v>3</v>
      </c>
      <c r="I3">
        <v>408</v>
      </c>
      <c r="J3">
        <v>15</v>
      </c>
      <c r="K3" t="s">
        <v>1925</v>
      </c>
      <c r="L3">
        <v>220</v>
      </c>
      <c r="M3">
        <v>1224</v>
      </c>
      <c r="N3">
        <v>660</v>
      </c>
      <c r="O3">
        <v>564</v>
      </c>
      <c r="P3">
        <v>0.46078431372549</v>
      </c>
      <c r="Q3">
        <v>0</v>
      </c>
      <c r="R3">
        <v>0</v>
      </c>
      <c r="S3">
        <v>3</v>
      </c>
      <c r="T3">
        <v>1224</v>
      </c>
    </row>
    <row r="4" spans="1:20">
      <c r="A4" t="s">
        <v>15</v>
      </c>
      <c r="B4" s="1">
        <v>45292</v>
      </c>
      <c r="C4">
        <v>1</v>
      </c>
      <c r="D4">
        <v>1</v>
      </c>
      <c r="E4" t="s">
        <v>12</v>
      </c>
      <c r="F4" t="s">
        <v>16</v>
      </c>
      <c r="G4" t="s">
        <v>17</v>
      </c>
      <c r="H4">
        <v>1</v>
      </c>
      <c r="I4">
        <v>468</v>
      </c>
      <c r="J4">
        <v>10</v>
      </c>
      <c r="K4" t="s">
        <v>1945</v>
      </c>
      <c r="L4">
        <v>250</v>
      </c>
      <c r="M4">
        <v>468</v>
      </c>
      <c r="N4">
        <v>250</v>
      </c>
      <c r="O4">
        <v>218</v>
      </c>
      <c r="P4">
        <v>0.46581196581196599</v>
      </c>
      <c r="Q4">
        <v>0</v>
      </c>
      <c r="R4">
        <v>0</v>
      </c>
      <c r="S4">
        <v>1</v>
      </c>
      <c r="T4">
        <v>468</v>
      </c>
    </row>
    <row r="5" spans="1:20">
      <c r="A5" t="s">
        <v>53</v>
      </c>
      <c r="B5" s="1">
        <v>45295</v>
      </c>
      <c r="C5">
        <v>1</v>
      </c>
      <c r="D5">
        <v>1</v>
      </c>
      <c r="E5" t="s">
        <v>12</v>
      </c>
      <c r="F5" t="s">
        <v>16</v>
      </c>
      <c r="G5" t="s">
        <v>17</v>
      </c>
      <c r="H5">
        <v>4</v>
      </c>
      <c r="I5">
        <v>520</v>
      </c>
      <c r="J5">
        <v>0</v>
      </c>
      <c r="K5" t="s">
        <v>1945</v>
      </c>
      <c r="L5">
        <v>250</v>
      </c>
      <c r="M5">
        <v>2080</v>
      </c>
      <c r="N5">
        <v>1000</v>
      </c>
      <c r="O5">
        <v>1080</v>
      </c>
      <c r="P5">
        <v>0.51923076923076905</v>
      </c>
      <c r="Q5">
        <v>0</v>
      </c>
      <c r="R5">
        <v>0</v>
      </c>
      <c r="S5">
        <v>4</v>
      </c>
      <c r="T5">
        <v>2080</v>
      </c>
    </row>
    <row r="6" spans="1:20">
      <c r="A6" t="s">
        <v>38</v>
      </c>
      <c r="B6" s="1">
        <v>45294</v>
      </c>
      <c r="C6">
        <v>1</v>
      </c>
      <c r="D6">
        <v>1</v>
      </c>
      <c r="E6" t="s">
        <v>12</v>
      </c>
      <c r="F6" t="s">
        <v>39</v>
      </c>
      <c r="G6" t="s">
        <v>14</v>
      </c>
      <c r="H6">
        <v>5</v>
      </c>
      <c r="I6">
        <v>792</v>
      </c>
      <c r="J6">
        <v>10</v>
      </c>
      <c r="K6" t="s">
        <v>1921</v>
      </c>
      <c r="L6">
        <v>400</v>
      </c>
      <c r="M6">
        <v>3960</v>
      </c>
      <c r="N6">
        <v>2000</v>
      </c>
      <c r="O6">
        <v>1960</v>
      </c>
      <c r="P6">
        <v>0.49494949494949497</v>
      </c>
      <c r="Q6">
        <v>0</v>
      </c>
      <c r="R6">
        <v>0</v>
      </c>
      <c r="S6">
        <v>5</v>
      </c>
      <c r="T6">
        <v>3960</v>
      </c>
    </row>
    <row r="7" spans="1:20">
      <c r="A7" t="s">
        <v>69</v>
      </c>
      <c r="B7" s="1">
        <v>45298</v>
      </c>
      <c r="C7">
        <v>1</v>
      </c>
      <c r="D7">
        <v>1</v>
      </c>
      <c r="E7" t="s">
        <v>12</v>
      </c>
      <c r="F7" t="s">
        <v>39</v>
      </c>
      <c r="G7" t="s">
        <v>14</v>
      </c>
      <c r="H7">
        <v>4</v>
      </c>
      <c r="I7">
        <v>748</v>
      </c>
      <c r="J7">
        <v>15</v>
      </c>
      <c r="K7" t="s">
        <v>1921</v>
      </c>
      <c r="L7">
        <v>400</v>
      </c>
      <c r="M7">
        <v>2992</v>
      </c>
      <c r="N7">
        <v>1600</v>
      </c>
      <c r="O7">
        <v>1392</v>
      </c>
      <c r="P7">
        <v>0.46524064171122997</v>
      </c>
      <c r="Q7">
        <v>0</v>
      </c>
      <c r="R7">
        <v>0</v>
      </c>
      <c r="S7">
        <v>4</v>
      </c>
      <c r="T7">
        <v>2992</v>
      </c>
    </row>
    <row r="8" spans="1:20">
      <c r="A8" t="s">
        <v>18</v>
      </c>
      <c r="B8" s="1">
        <v>45292</v>
      </c>
      <c r="C8">
        <v>1</v>
      </c>
      <c r="D8">
        <v>1</v>
      </c>
      <c r="E8" t="s">
        <v>12</v>
      </c>
      <c r="F8" t="s">
        <v>19</v>
      </c>
      <c r="G8" t="s">
        <v>20</v>
      </c>
      <c r="H8">
        <v>4</v>
      </c>
      <c r="I8">
        <v>1377</v>
      </c>
      <c r="J8">
        <v>15</v>
      </c>
      <c r="K8" t="s">
        <v>1931</v>
      </c>
      <c r="L8">
        <v>900</v>
      </c>
      <c r="M8">
        <v>5508</v>
      </c>
      <c r="N8">
        <v>3600</v>
      </c>
      <c r="O8">
        <v>1908</v>
      </c>
      <c r="P8">
        <v>0.34640522875816998</v>
      </c>
      <c r="Q8">
        <v>0</v>
      </c>
      <c r="R8">
        <v>0</v>
      </c>
      <c r="S8">
        <v>4</v>
      </c>
      <c r="T8">
        <v>5508</v>
      </c>
    </row>
    <row r="9" spans="1:20">
      <c r="A9" t="s">
        <v>47</v>
      </c>
      <c r="B9" s="1">
        <v>45294</v>
      </c>
      <c r="C9">
        <v>1</v>
      </c>
      <c r="D9">
        <v>1</v>
      </c>
      <c r="E9" t="s">
        <v>12</v>
      </c>
      <c r="F9" t="s">
        <v>19</v>
      </c>
      <c r="G9" t="s">
        <v>20</v>
      </c>
      <c r="H9">
        <v>1</v>
      </c>
      <c r="I9">
        <v>1539</v>
      </c>
      <c r="J9">
        <v>5</v>
      </c>
      <c r="K9" t="s">
        <v>1931</v>
      </c>
      <c r="L9">
        <v>900</v>
      </c>
      <c r="M9">
        <v>1539</v>
      </c>
      <c r="N9">
        <v>900</v>
      </c>
      <c r="O9">
        <v>639</v>
      </c>
      <c r="P9">
        <v>0.41520467836257302</v>
      </c>
      <c r="Q9">
        <v>0</v>
      </c>
      <c r="R9">
        <v>0</v>
      </c>
      <c r="S9">
        <v>1</v>
      </c>
      <c r="T9">
        <v>1539</v>
      </c>
    </row>
    <row r="10" spans="1:20">
      <c r="A10" t="s">
        <v>21</v>
      </c>
      <c r="B10" s="1">
        <v>45292</v>
      </c>
      <c r="C10">
        <v>1</v>
      </c>
      <c r="D10">
        <v>1</v>
      </c>
      <c r="E10" t="s">
        <v>12</v>
      </c>
      <c r="F10" t="s">
        <v>22</v>
      </c>
      <c r="G10" t="s">
        <v>23</v>
      </c>
      <c r="H10">
        <v>5</v>
      </c>
      <c r="I10">
        <v>500</v>
      </c>
      <c r="J10">
        <v>0</v>
      </c>
      <c r="K10" t="s">
        <v>1929</v>
      </c>
      <c r="L10">
        <v>250</v>
      </c>
      <c r="M10">
        <v>2500</v>
      </c>
      <c r="N10">
        <v>1250</v>
      </c>
      <c r="O10">
        <v>1250</v>
      </c>
      <c r="P10">
        <v>0.5</v>
      </c>
      <c r="Q10">
        <v>0</v>
      </c>
      <c r="R10">
        <v>0</v>
      </c>
      <c r="S10">
        <v>5</v>
      </c>
      <c r="T10">
        <v>2500</v>
      </c>
    </row>
    <row r="11" spans="1:20">
      <c r="A11" t="s">
        <v>32</v>
      </c>
      <c r="B11" s="1">
        <v>45293</v>
      </c>
      <c r="C11">
        <v>1</v>
      </c>
      <c r="D11">
        <v>1</v>
      </c>
      <c r="E11" t="s">
        <v>12</v>
      </c>
      <c r="F11" t="s">
        <v>22</v>
      </c>
      <c r="G11" t="s">
        <v>23</v>
      </c>
      <c r="H11">
        <v>5</v>
      </c>
      <c r="I11">
        <v>425</v>
      </c>
      <c r="J11">
        <v>15</v>
      </c>
      <c r="K11" t="s">
        <v>1929</v>
      </c>
      <c r="L11">
        <v>250</v>
      </c>
      <c r="M11">
        <v>2125</v>
      </c>
      <c r="N11">
        <v>1250</v>
      </c>
      <c r="O11">
        <v>875</v>
      </c>
      <c r="P11">
        <v>0.41176470588235298</v>
      </c>
      <c r="Q11">
        <v>0</v>
      </c>
      <c r="R11">
        <v>0</v>
      </c>
      <c r="S11">
        <v>5</v>
      </c>
      <c r="T11">
        <v>2125</v>
      </c>
    </row>
    <row r="12" spans="1:20">
      <c r="A12" t="s">
        <v>40</v>
      </c>
      <c r="B12" s="1">
        <v>45294</v>
      </c>
      <c r="C12">
        <v>1</v>
      </c>
      <c r="D12">
        <v>1</v>
      </c>
      <c r="E12" t="s">
        <v>12</v>
      </c>
      <c r="F12" t="s">
        <v>22</v>
      </c>
      <c r="G12" t="s">
        <v>23</v>
      </c>
      <c r="H12">
        <v>5</v>
      </c>
      <c r="I12">
        <v>500</v>
      </c>
      <c r="J12">
        <v>0</v>
      </c>
      <c r="K12" t="s">
        <v>1929</v>
      </c>
      <c r="L12">
        <v>250</v>
      </c>
      <c r="M12">
        <v>2500</v>
      </c>
      <c r="N12">
        <v>1250</v>
      </c>
      <c r="O12">
        <v>1250</v>
      </c>
      <c r="P12">
        <v>0.5</v>
      </c>
      <c r="Q12">
        <v>0</v>
      </c>
      <c r="R12">
        <v>0</v>
      </c>
      <c r="S12">
        <v>5</v>
      </c>
      <c r="T12">
        <v>2500</v>
      </c>
    </row>
    <row r="13" spans="1:20">
      <c r="A13" t="s">
        <v>54</v>
      </c>
      <c r="B13" s="1">
        <v>45296</v>
      </c>
      <c r="C13">
        <v>1</v>
      </c>
      <c r="D13">
        <v>1</v>
      </c>
      <c r="E13" t="s">
        <v>12</v>
      </c>
      <c r="F13" t="s">
        <v>22</v>
      </c>
      <c r="G13" t="s">
        <v>23</v>
      </c>
      <c r="H13">
        <v>1</v>
      </c>
      <c r="I13">
        <v>425</v>
      </c>
      <c r="J13">
        <v>15</v>
      </c>
      <c r="K13" t="s">
        <v>1929</v>
      </c>
      <c r="L13">
        <v>250</v>
      </c>
      <c r="M13">
        <v>425</v>
      </c>
      <c r="N13">
        <v>250</v>
      </c>
      <c r="O13">
        <v>175</v>
      </c>
      <c r="P13">
        <v>0.41176470588235298</v>
      </c>
      <c r="Q13">
        <v>0</v>
      </c>
      <c r="R13">
        <v>0</v>
      </c>
      <c r="S13">
        <v>1</v>
      </c>
      <c r="T13">
        <v>425</v>
      </c>
    </row>
    <row r="14" spans="1:20">
      <c r="A14" t="s">
        <v>63</v>
      </c>
      <c r="B14" s="1">
        <v>45297</v>
      </c>
      <c r="C14">
        <v>1</v>
      </c>
      <c r="D14">
        <v>1</v>
      </c>
      <c r="E14" t="s">
        <v>12</v>
      </c>
      <c r="F14" t="s">
        <v>64</v>
      </c>
      <c r="G14" t="s">
        <v>14</v>
      </c>
      <c r="H14">
        <v>1</v>
      </c>
      <c r="I14">
        <v>2640</v>
      </c>
      <c r="J14">
        <v>0</v>
      </c>
      <c r="K14" t="s">
        <v>1923</v>
      </c>
      <c r="L14">
        <v>1200</v>
      </c>
      <c r="M14">
        <v>2640</v>
      </c>
      <c r="N14">
        <v>1200</v>
      </c>
      <c r="O14">
        <v>1440</v>
      </c>
      <c r="P14">
        <v>0.54545454545454497</v>
      </c>
      <c r="Q14">
        <v>0</v>
      </c>
      <c r="R14">
        <v>0</v>
      </c>
      <c r="S14">
        <v>1</v>
      </c>
      <c r="T14">
        <v>2640</v>
      </c>
    </row>
    <row r="15" spans="1:20">
      <c r="A15" t="s">
        <v>24</v>
      </c>
      <c r="B15" s="1">
        <v>45292</v>
      </c>
      <c r="C15">
        <v>1</v>
      </c>
      <c r="D15">
        <v>1</v>
      </c>
      <c r="E15" t="s">
        <v>12</v>
      </c>
      <c r="F15" t="s">
        <v>25</v>
      </c>
      <c r="G15" t="s">
        <v>26</v>
      </c>
      <c r="H15">
        <v>2</v>
      </c>
      <c r="I15">
        <v>1000</v>
      </c>
      <c r="J15">
        <v>0</v>
      </c>
      <c r="K15" t="s">
        <v>1940</v>
      </c>
      <c r="L15">
        <v>400</v>
      </c>
      <c r="M15">
        <v>2000</v>
      </c>
      <c r="N15">
        <v>800</v>
      </c>
      <c r="O15">
        <v>1200</v>
      </c>
      <c r="P15">
        <v>0.6</v>
      </c>
      <c r="Q15">
        <v>0</v>
      </c>
      <c r="R15">
        <v>0</v>
      </c>
      <c r="S15">
        <v>2</v>
      </c>
      <c r="T15">
        <v>2000</v>
      </c>
    </row>
    <row r="16" spans="1:20">
      <c r="A16" t="s">
        <v>52</v>
      </c>
      <c r="B16" s="1">
        <v>45295</v>
      </c>
      <c r="C16">
        <v>1</v>
      </c>
      <c r="D16">
        <v>1</v>
      </c>
      <c r="E16" t="s">
        <v>12</v>
      </c>
      <c r="F16" t="s">
        <v>25</v>
      </c>
      <c r="G16" t="s">
        <v>26</v>
      </c>
      <c r="H16">
        <v>3</v>
      </c>
      <c r="I16">
        <v>850</v>
      </c>
      <c r="J16">
        <v>15</v>
      </c>
      <c r="K16" t="s">
        <v>1940</v>
      </c>
      <c r="L16">
        <v>400</v>
      </c>
      <c r="M16">
        <v>2550</v>
      </c>
      <c r="N16">
        <v>1200</v>
      </c>
      <c r="O16">
        <v>1350</v>
      </c>
      <c r="P16">
        <v>0.52941176470588203</v>
      </c>
      <c r="Q16">
        <v>0</v>
      </c>
      <c r="R16">
        <v>0</v>
      </c>
      <c r="S16">
        <v>3</v>
      </c>
      <c r="T16">
        <v>2550</v>
      </c>
    </row>
    <row r="17" spans="1:20">
      <c r="A17" t="s">
        <v>124</v>
      </c>
      <c r="B17" s="1">
        <v>45306</v>
      </c>
      <c r="C17">
        <v>3</v>
      </c>
      <c r="D17">
        <v>1</v>
      </c>
      <c r="E17" t="s">
        <v>12</v>
      </c>
      <c r="F17" t="s">
        <v>42</v>
      </c>
      <c r="G17" t="s">
        <v>23</v>
      </c>
      <c r="H17">
        <v>3</v>
      </c>
      <c r="I17">
        <v>600</v>
      </c>
      <c r="J17">
        <v>0</v>
      </c>
      <c r="K17" t="s">
        <v>1928</v>
      </c>
      <c r="L17">
        <v>300</v>
      </c>
      <c r="M17">
        <v>1800</v>
      </c>
      <c r="N17">
        <v>900</v>
      </c>
      <c r="O17">
        <v>900</v>
      </c>
      <c r="P17">
        <v>0.5</v>
      </c>
      <c r="Q17">
        <v>1</v>
      </c>
      <c r="R17">
        <v>1</v>
      </c>
      <c r="S17">
        <v>2</v>
      </c>
      <c r="T17">
        <v>1200</v>
      </c>
    </row>
    <row r="18" spans="1:20">
      <c r="A18" t="s">
        <v>27</v>
      </c>
      <c r="B18" s="1">
        <v>45292</v>
      </c>
      <c r="C18">
        <v>1</v>
      </c>
      <c r="D18">
        <v>1</v>
      </c>
      <c r="E18" t="s">
        <v>12</v>
      </c>
      <c r="F18" t="s">
        <v>28</v>
      </c>
      <c r="G18" t="s">
        <v>26</v>
      </c>
      <c r="H18">
        <v>2</v>
      </c>
      <c r="I18">
        <v>1350</v>
      </c>
      <c r="J18">
        <v>10</v>
      </c>
      <c r="K18" t="s">
        <v>1939</v>
      </c>
      <c r="L18">
        <v>600</v>
      </c>
      <c r="M18">
        <v>2700</v>
      </c>
      <c r="N18">
        <v>1200</v>
      </c>
      <c r="O18">
        <v>1500</v>
      </c>
      <c r="P18">
        <v>0.55555555555555602</v>
      </c>
      <c r="Q18">
        <v>0</v>
      </c>
      <c r="R18">
        <v>0</v>
      </c>
      <c r="S18">
        <v>2</v>
      </c>
      <c r="T18">
        <v>2700</v>
      </c>
    </row>
    <row r="19" spans="1:20">
      <c r="A19" t="s">
        <v>46</v>
      </c>
      <c r="B19" s="1">
        <v>45294</v>
      </c>
      <c r="C19">
        <v>1</v>
      </c>
      <c r="D19">
        <v>1</v>
      </c>
      <c r="E19" t="s">
        <v>12</v>
      </c>
      <c r="F19" t="s">
        <v>28</v>
      </c>
      <c r="G19" t="s">
        <v>26</v>
      </c>
      <c r="H19">
        <v>2</v>
      </c>
      <c r="I19">
        <v>1350</v>
      </c>
      <c r="J19">
        <v>10</v>
      </c>
      <c r="K19" t="s">
        <v>1939</v>
      </c>
      <c r="L19">
        <v>600</v>
      </c>
      <c r="M19">
        <v>2700</v>
      </c>
      <c r="N19">
        <v>1200</v>
      </c>
      <c r="O19">
        <v>1500</v>
      </c>
      <c r="P19">
        <v>0.55555555555555602</v>
      </c>
      <c r="Q19">
        <v>0</v>
      </c>
      <c r="R19">
        <v>0</v>
      </c>
      <c r="S19">
        <v>2</v>
      </c>
      <c r="T19">
        <v>2700</v>
      </c>
    </row>
    <row r="20" spans="1:20">
      <c r="A20" t="s">
        <v>29</v>
      </c>
      <c r="B20" s="1">
        <v>45293</v>
      </c>
      <c r="C20">
        <v>1</v>
      </c>
      <c r="D20">
        <v>1</v>
      </c>
      <c r="E20" t="s">
        <v>12</v>
      </c>
      <c r="F20" t="s">
        <v>31</v>
      </c>
      <c r="G20" t="s">
        <v>23</v>
      </c>
      <c r="H20">
        <v>2</v>
      </c>
      <c r="I20">
        <v>1400</v>
      </c>
      <c r="J20">
        <v>0</v>
      </c>
      <c r="K20" t="s">
        <v>1930</v>
      </c>
      <c r="L20">
        <v>700</v>
      </c>
      <c r="M20">
        <v>2800</v>
      </c>
      <c r="N20">
        <v>1400</v>
      </c>
      <c r="O20">
        <v>1400</v>
      </c>
      <c r="P20">
        <v>0.5</v>
      </c>
      <c r="Q20">
        <v>0</v>
      </c>
      <c r="R20">
        <v>0</v>
      </c>
      <c r="S20">
        <v>2</v>
      </c>
      <c r="T20">
        <v>2800</v>
      </c>
    </row>
    <row r="21" spans="1:20">
      <c r="A21" t="s">
        <v>57</v>
      </c>
      <c r="B21" s="1">
        <v>45296</v>
      </c>
      <c r="C21">
        <v>1</v>
      </c>
      <c r="D21">
        <v>1</v>
      </c>
      <c r="E21" t="s">
        <v>12</v>
      </c>
      <c r="F21" t="s">
        <v>58</v>
      </c>
      <c r="G21" t="s">
        <v>23</v>
      </c>
      <c r="H21">
        <v>4</v>
      </c>
      <c r="I21">
        <v>1000</v>
      </c>
      <c r="J21">
        <v>0</v>
      </c>
      <c r="K21" t="s">
        <v>1927</v>
      </c>
      <c r="L21">
        <v>500</v>
      </c>
      <c r="M21">
        <v>4000</v>
      </c>
      <c r="N21">
        <v>2000</v>
      </c>
      <c r="O21">
        <v>2000</v>
      </c>
      <c r="P21">
        <v>0.5</v>
      </c>
      <c r="Q21">
        <v>0</v>
      </c>
      <c r="R21">
        <v>0</v>
      </c>
      <c r="S21">
        <v>4</v>
      </c>
      <c r="T21">
        <v>4000</v>
      </c>
    </row>
    <row r="22" spans="1:20">
      <c r="A22" t="s">
        <v>99</v>
      </c>
      <c r="B22" s="1">
        <v>45301</v>
      </c>
      <c r="C22">
        <v>2</v>
      </c>
      <c r="D22">
        <v>1</v>
      </c>
      <c r="E22" t="s">
        <v>12</v>
      </c>
      <c r="F22" t="s">
        <v>66</v>
      </c>
      <c r="G22" t="s">
        <v>17</v>
      </c>
      <c r="H22">
        <v>3</v>
      </c>
      <c r="I22">
        <v>1396.5</v>
      </c>
      <c r="J22">
        <v>5</v>
      </c>
      <c r="K22" t="s">
        <v>1941</v>
      </c>
      <c r="L22">
        <v>700</v>
      </c>
      <c r="M22">
        <v>4189.5</v>
      </c>
      <c r="N22">
        <v>2100</v>
      </c>
      <c r="O22">
        <v>2089.5</v>
      </c>
      <c r="P22">
        <v>0.49874686716791999</v>
      </c>
      <c r="Q22">
        <v>2</v>
      </c>
      <c r="R22">
        <v>2</v>
      </c>
      <c r="S22">
        <v>1</v>
      </c>
      <c r="T22">
        <v>1396.5</v>
      </c>
    </row>
    <row r="23" spans="1:20">
      <c r="A23" t="s">
        <v>33</v>
      </c>
      <c r="B23" s="1">
        <v>45294</v>
      </c>
      <c r="C23">
        <v>1</v>
      </c>
      <c r="D23">
        <v>1</v>
      </c>
      <c r="E23" t="s">
        <v>12</v>
      </c>
      <c r="F23" t="s">
        <v>35</v>
      </c>
      <c r="G23" t="s">
        <v>17</v>
      </c>
      <c r="H23">
        <v>4</v>
      </c>
      <c r="I23">
        <v>3150</v>
      </c>
      <c r="J23">
        <v>0</v>
      </c>
      <c r="K23" t="s">
        <v>1942</v>
      </c>
      <c r="L23">
        <v>1500</v>
      </c>
      <c r="M23">
        <v>12600</v>
      </c>
      <c r="N23">
        <v>6000</v>
      </c>
      <c r="O23">
        <v>6600</v>
      </c>
      <c r="P23">
        <v>0.52380952380952395</v>
      </c>
      <c r="Q23">
        <v>0</v>
      </c>
      <c r="R23">
        <v>0</v>
      </c>
      <c r="S23">
        <v>4</v>
      </c>
      <c r="T23">
        <v>12600</v>
      </c>
    </row>
    <row r="24" spans="1:20">
      <c r="A24" t="s">
        <v>43</v>
      </c>
      <c r="B24" s="1">
        <v>45294</v>
      </c>
      <c r="C24">
        <v>1</v>
      </c>
      <c r="D24">
        <v>1</v>
      </c>
      <c r="E24" t="s">
        <v>12</v>
      </c>
      <c r="F24" t="s">
        <v>35</v>
      </c>
      <c r="G24" t="s">
        <v>17</v>
      </c>
      <c r="H24">
        <v>2</v>
      </c>
      <c r="I24">
        <v>2835</v>
      </c>
      <c r="J24">
        <v>10</v>
      </c>
      <c r="K24" t="s">
        <v>1942</v>
      </c>
      <c r="L24">
        <v>1500</v>
      </c>
      <c r="M24">
        <v>5670</v>
      </c>
      <c r="N24">
        <v>3000</v>
      </c>
      <c r="O24">
        <v>2670</v>
      </c>
      <c r="P24">
        <v>0.47089947089947098</v>
      </c>
      <c r="Q24">
        <v>0</v>
      </c>
      <c r="R24">
        <v>0</v>
      </c>
      <c r="S24">
        <v>2</v>
      </c>
      <c r="T24">
        <v>5670</v>
      </c>
    </row>
    <row r="25" spans="1:20">
      <c r="A25" t="s">
        <v>48</v>
      </c>
      <c r="B25" s="1">
        <v>45294</v>
      </c>
      <c r="C25">
        <v>1</v>
      </c>
      <c r="D25">
        <v>1</v>
      </c>
      <c r="E25" t="s">
        <v>12</v>
      </c>
      <c r="F25" t="s">
        <v>35</v>
      </c>
      <c r="G25" t="s">
        <v>17</v>
      </c>
      <c r="H25">
        <v>5</v>
      </c>
      <c r="I25">
        <v>3150</v>
      </c>
      <c r="J25">
        <v>0</v>
      </c>
      <c r="K25" t="s">
        <v>1942</v>
      </c>
      <c r="L25">
        <v>1500</v>
      </c>
      <c r="M25">
        <v>15750</v>
      </c>
      <c r="N25">
        <v>7500</v>
      </c>
      <c r="O25">
        <v>8250</v>
      </c>
      <c r="P25">
        <v>0.52380952380952395</v>
      </c>
      <c r="Q25">
        <v>0</v>
      </c>
      <c r="R25">
        <v>0</v>
      </c>
      <c r="S25">
        <v>5</v>
      </c>
      <c r="T25">
        <v>15750</v>
      </c>
    </row>
    <row r="26" spans="1:20">
      <c r="A26" t="s">
        <v>62</v>
      </c>
      <c r="B26" s="1">
        <v>45297</v>
      </c>
      <c r="C26">
        <v>1</v>
      </c>
      <c r="D26">
        <v>1</v>
      </c>
      <c r="E26" t="s">
        <v>12</v>
      </c>
      <c r="F26" t="s">
        <v>35</v>
      </c>
      <c r="G26" t="s">
        <v>17</v>
      </c>
      <c r="H26">
        <v>2</v>
      </c>
      <c r="I26">
        <v>2835</v>
      </c>
      <c r="J26">
        <v>10</v>
      </c>
      <c r="K26" t="s">
        <v>1942</v>
      </c>
      <c r="L26">
        <v>1500</v>
      </c>
      <c r="M26">
        <v>5670</v>
      </c>
      <c r="N26">
        <v>3000</v>
      </c>
      <c r="O26">
        <v>2670</v>
      </c>
      <c r="P26">
        <v>0.47089947089947098</v>
      </c>
      <c r="Q26">
        <v>0</v>
      </c>
      <c r="R26">
        <v>0</v>
      </c>
      <c r="S26">
        <v>2</v>
      </c>
      <c r="T26">
        <v>5670</v>
      </c>
    </row>
    <row r="27" spans="1:20">
      <c r="A27" t="s">
        <v>41</v>
      </c>
      <c r="B27" s="1">
        <v>45294</v>
      </c>
      <c r="C27">
        <v>1</v>
      </c>
      <c r="D27">
        <v>1</v>
      </c>
      <c r="E27" t="s">
        <v>12</v>
      </c>
      <c r="F27" t="s">
        <v>42</v>
      </c>
      <c r="G27" t="s">
        <v>23</v>
      </c>
      <c r="H27">
        <v>2</v>
      </c>
      <c r="I27">
        <v>600</v>
      </c>
      <c r="J27">
        <v>0</v>
      </c>
      <c r="K27" t="s">
        <v>1928</v>
      </c>
      <c r="L27">
        <v>300</v>
      </c>
      <c r="M27">
        <v>1200</v>
      </c>
      <c r="N27">
        <v>600</v>
      </c>
      <c r="O27">
        <v>600</v>
      </c>
      <c r="P27">
        <v>0.5</v>
      </c>
      <c r="Q27">
        <v>0</v>
      </c>
      <c r="R27">
        <v>0</v>
      </c>
      <c r="S27">
        <v>2</v>
      </c>
      <c r="T27">
        <v>1200</v>
      </c>
    </row>
    <row r="28" spans="1:20">
      <c r="A28" t="s">
        <v>59</v>
      </c>
      <c r="B28" s="1">
        <v>45297</v>
      </c>
      <c r="C28">
        <v>1</v>
      </c>
      <c r="D28">
        <v>1</v>
      </c>
      <c r="E28" t="s">
        <v>12</v>
      </c>
      <c r="F28" t="s">
        <v>42</v>
      </c>
      <c r="G28" t="s">
        <v>23</v>
      </c>
      <c r="H28">
        <v>2</v>
      </c>
      <c r="I28">
        <v>510</v>
      </c>
      <c r="J28">
        <v>15</v>
      </c>
      <c r="K28" t="s">
        <v>1928</v>
      </c>
      <c r="L28">
        <v>300</v>
      </c>
      <c r="M28">
        <v>1020</v>
      </c>
      <c r="N28">
        <v>600</v>
      </c>
      <c r="O28">
        <v>420</v>
      </c>
      <c r="P28">
        <v>0.41176470588235298</v>
      </c>
      <c r="Q28">
        <v>0</v>
      </c>
      <c r="R28">
        <v>0</v>
      </c>
      <c r="S28">
        <v>2</v>
      </c>
      <c r="T28">
        <v>1020</v>
      </c>
    </row>
    <row r="29" spans="1:20">
      <c r="A29" t="s">
        <v>36</v>
      </c>
      <c r="B29" s="1">
        <v>45294</v>
      </c>
      <c r="C29">
        <v>1</v>
      </c>
      <c r="D29">
        <v>1</v>
      </c>
      <c r="E29" t="s">
        <v>12</v>
      </c>
      <c r="F29" t="s">
        <v>37</v>
      </c>
      <c r="G29" t="s">
        <v>20</v>
      </c>
      <c r="H29">
        <v>3</v>
      </c>
      <c r="I29">
        <v>1989</v>
      </c>
      <c r="J29">
        <v>15</v>
      </c>
      <c r="K29" t="s">
        <v>1935</v>
      </c>
      <c r="L29">
        <v>1300</v>
      </c>
      <c r="M29">
        <v>5967</v>
      </c>
      <c r="N29">
        <v>3900</v>
      </c>
      <c r="O29">
        <v>2067</v>
      </c>
      <c r="P29">
        <v>0.34640522875816998</v>
      </c>
      <c r="Q29">
        <v>0</v>
      </c>
      <c r="R29">
        <v>0</v>
      </c>
      <c r="S29">
        <v>3</v>
      </c>
      <c r="T29">
        <v>5967</v>
      </c>
    </row>
    <row r="30" spans="1:20">
      <c r="A30" t="s">
        <v>44</v>
      </c>
      <c r="B30" s="1">
        <v>45294</v>
      </c>
      <c r="C30">
        <v>1</v>
      </c>
      <c r="D30">
        <v>1</v>
      </c>
      <c r="E30" t="s">
        <v>12</v>
      </c>
      <c r="F30" t="s">
        <v>45</v>
      </c>
      <c r="G30" t="s">
        <v>26</v>
      </c>
      <c r="H30">
        <v>2</v>
      </c>
      <c r="I30">
        <v>4500</v>
      </c>
      <c r="J30">
        <v>0</v>
      </c>
      <c r="K30" t="s">
        <v>1938</v>
      </c>
      <c r="L30">
        <v>1800</v>
      </c>
      <c r="M30">
        <v>9000</v>
      </c>
      <c r="N30">
        <v>3600</v>
      </c>
      <c r="O30">
        <v>5400</v>
      </c>
      <c r="P30">
        <v>0.6</v>
      </c>
      <c r="Q30">
        <v>0</v>
      </c>
      <c r="R30">
        <v>0</v>
      </c>
      <c r="S30">
        <v>2</v>
      </c>
      <c r="T30">
        <v>9000</v>
      </c>
    </row>
    <row r="31" spans="1:20">
      <c r="A31" t="s">
        <v>49</v>
      </c>
      <c r="B31" s="1">
        <v>45295</v>
      </c>
      <c r="C31">
        <v>1</v>
      </c>
      <c r="D31">
        <v>1</v>
      </c>
      <c r="E31" t="s">
        <v>12</v>
      </c>
      <c r="F31" t="s">
        <v>51</v>
      </c>
      <c r="G31" t="s">
        <v>26</v>
      </c>
      <c r="H31">
        <v>3</v>
      </c>
      <c r="I31">
        <v>500</v>
      </c>
      <c r="J31">
        <v>0</v>
      </c>
      <c r="K31" t="s">
        <v>1936</v>
      </c>
      <c r="L31">
        <v>200</v>
      </c>
      <c r="M31">
        <v>1500</v>
      </c>
      <c r="N31">
        <v>600</v>
      </c>
      <c r="O31">
        <v>900</v>
      </c>
      <c r="P31">
        <v>0.6</v>
      </c>
      <c r="Q31">
        <v>0</v>
      </c>
      <c r="R31">
        <v>0</v>
      </c>
      <c r="S31">
        <v>3</v>
      </c>
      <c r="T31">
        <v>1500</v>
      </c>
    </row>
    <row r="32" spans="1:20">
      <c r="A32" t="s">
        <v>61</v>
      </c>
      <c r="B32" s="1">
        <v>45297</v>
      </c>
      <c r="C32">
        <v>1</v>
      </c>
      <c r="D32">
        <v>1</v>
      </c>
      <c r="E32" t="s">
        <v>12</v>
      </c>
      <c r="F32" t="s">
        <v>51</v>
      </c>
      <c r="G32" t="s">
        <v>26</v>
      </c>
      <c r="H32">
        <v>2</v>
      </c>
      <c r="I32">
        <v>475</v>
      </c>
      <c r="J32">
        <v>5</v>
      </c>
      <c r="K32" t="s">
        <v>1936</v>
      </c>
      <c r="L32">
        <v>200</v>
      </c>
      <c r="M32">
        <v>950</v>
      </c>
      <c r="N32">
        <v>400</v>
      </c>
      <c r="O32">
        <v>550</v>
      </c>
      <c r="P32">
        <v>0.57894736842105299</v>
      </c>
      <c r="Q32">
        <v>0</v>
      </c>
      <c r="R32">
        <v>0</v>
      </c>
      <c r="S32">
        <v>2</v>
      </c>
      <c r="T32">
        <v>950</v>
      </c>
    </row>
    <row r="33" spans="1:20">
      <c r="A33" t="s">
        <v>67</v>
      </c>
      <c r="B33" s="1">
        <v>45297</v>
      </c>
      <c r="C33">
        <v>1</v>
      </c>
      <c r="D33">
        <v>1</v>
      </c>
      <c r="E33" t="s">
        <v>12</v>
      </c>
      <c r="F33" t="s">
        <v>68</v>
      </c>
      <c r="G33" t="s">
        <v>26</v>
      </c>
      <c r="H33">
        <v>3</v>
      </c>
      <c r="I33">
        <v>380</v>
      </c>
      <c r="J33">
        <v>0</v>
      </c>
      <c r="K33" t="s">
        <v>1937</v>
      </c>
      <c r="L33">
        <v>150</v>
      </c>
      <c r="M33">
        <v>1140</v>
      </c>
      <c r="N33">
        <v>450</v>
      </c>
      <c r="O33">
        <v>690</v>
      </c>
      <c r="P33">
        <v>0.60526315789473695</v>
      </c>
      <c r="Q33">
        <v>3</v>
      </c>
      <c r="R33">
        <v>3</v>
      </c>
      <c r="S33">
        <v>0</v>
      </c>
      <c r="T33">
        <v>0</v>
      </c>
    </row>
    <row r="34" spans="1:20">
      <c r="A34" t="s">
        <v>65</v>
      </c>
      <c r="B34" s="1">
        <v>45297</v>
      </c>
      <c r="C34">
        <v>1</v>
      </c>
      <c r="D34">
        <v>1</v>
      </c>
      <c r="E34" t="s">
        <v>12</v>
      </c>
      <c r="F34" t="s">
        <v>66</v>
      </c>
      <c r="G34" t="s">
        <v>17</v>
      </c>
      <c r="H34">
        <v>3</v>
      </c>
      <c r="I34">
        <v>1396.5</v>
      </c>
      <c r="J34">
        <v>5</v>
      </c>
      <c r="K34" t="s">
        <v>1941</v>
      </c>
      <c r="L34">
        <v>700</v>
      </c>
      <c r="M34">
        <v>4189.5</v>
      </c>
      <c r="N34">
        <v>2100</v>
      </c>
      <c r="O34">
        <v>2089.5</v>
      </c>
      <c r="P34">
        <v>0.49874686716791999</v>
      </c>
      <c r="Q34">
        <v>0</v>
      </c>
      <c r="R34">
        <v>0</v>
      </c>
      <c r="S34">
        <v>3</v>
      </c>
      <c r="T34">
        <v>4189.5</v>
      </c>
    </row>
    <row r="35" spans="1:20">
      <c r="A35" t="s">
        <v>71</v>
      </c>
      <c r="B35" s="1">
        <v>45298</v>
      </c>
      <c r="C35">
        <v>1</v>
      </c>
      <c r="D35">
        <v>1</v>
      </c>
      <c r="E35" t="s">
        <v>12</v>
      </c>
      <c r="F35" t="s">
        <v>58</v>
      </c>
      <c r="G35" t="s">
        <v>23</v>
      </c>
      <c r="H35">
        <v>4</v>
      </c>
      <c r="I35">
        <v>1000</v>
      </c>
      <c r="J35">
        <v>0</v>
      </c>
      <c r="K35" t="s">
        <v>1927</v>
      </c>
      <c r="L35">
        <v>500</v>
      </c>
      <c r="M35">
        <v>4000</v>
      </c>
      <c r="N35">
        <v>2000</v>
      </c>
      <c r="O35">
        <v>2000</v>
      </c>
      <c r="P35">
        <v>0.5</v>
      </c>
      <c r="Q35">
        <v>0</v>
      </c>
      <c r="R35">
        <v>0</v>
      </c>
      <c r="S35">
        <v>4</v>
      </c>
      <c r="T35">
        <v>4000</v>
      </c>
    </row>
    <row r="36" spans="1:20">
      <c r="A36" t="s">
        <v>72</v>
      </c>
      <c r="B36" s="1">
        <v>45298</v>
      </c>
      <c r="C36">
        <v>1</v>
      </c>
      <c r="D36">
        <v>1</v>
      </c>
      <c r="E36" t="s">
        <v>12</v>
      </c>
      <c r="F36" t="s">
        <v>68</v>
      </c>
      <c r="G36" t="s">
        <v>26</v>
      </c>
      <c r="H36">
        <v>4</v>
      </c>
      <c r="I36">
        <v>380</v>
      </c>
      <c r="J36">
        <v>0</v>
      </c>
      <c r="K36" t="s">
        <v>1937</v>
      </c>
      <c r="L36">
        <v>150</v>
      </c>
      <c r="M36">
        <v>1520</v>
      </c>
      <c r="N36">
        <v>600</v>
      </c>
      <c r="O36">
        <v>920</v>
      </c>
      <c r="P36">
        <v>0.60526315789473695</v>
      </c>
      <c r="Q36">
        <v>0</v>
      </c>
      <c r="R36">
        <v>0</v>
      </c>
      <c r="S36">
        <v>4</v>
      </c>
      <c r="T36">
        <v>1520</v>
      </c>
    </row>
    <row r="37" spans="1:20">
      <c r="A37" t="s">
        <v>73</v>
      </c>
      <c r="B37" s="1">
        <v>45299</v>
      </c>
      <c r="C37">
        <v>2</v>
      </c>
      <c r="D37">
        <v>1</v>
      </c>
      <c r="E37" t="s">
        <v>12</v>
      </c>
      <c r="F37" t="s">
        <v>45</v>
      </c>
      <c r="G37" t="s">
        <v>26</v>
      </c>
      <c r="H37">
        <v>1</v>
      </c>
      <c r="I37">
        <v>4500</v>
      </c>
      <c r="J37">
        <v>0</v>
      </c>
      <c r="K37" t="s">
        <v>1938</v>
      </c>
      <c r="L37">
        <v>1800</v>
      </c>
      <c r="M37">
        <v>4500</v>
      </c>
      <c r="N37">
        <v>1800</v>
      </c>
      <c r="O37">
        <v>2700</v>
      </c>
      <c r="P37">
        <v>0.6</v>
      </c>
      <c r="Q37">
        <v>0</v>
      </c>
      <c r="R37">
        <v>0</v>
      </c>
      <c r="S37">
        <v>1</v>
      </c>
      <c r="T37">
        <v>4500</v>
      </c>
    </row>
    <row r="38" spans="1:20">
      <c r="A38" t="s">
        <v>75</v>
      </c>
      <c r="B38" s="1">
        <v>45299</v>
      </c>
      <c r="C38">
        <v>2</v>
      </c>
      <c r="D38">
        <v>1</v>
      </c>
      <c r="E38" t="s">
        <v>12</v>
      </c>
      <c r="F38" t="s">
        <v>58</v>
      </c>
      <c r="G38" t="s">
        <v>23</v>
      </c>
      <c r="H38">
        <v>3</v>
      </c>
      <c r="I38">
        <v>1000</v>
      </c>
      <c r="J38">
        <v>0</v>
      </c>
      <c r="K38" t="s">
        <v>1927</v>
      </c>
      <c r="L38">
        <v>500</v>
      </c>
      <c r="M38">
        <v>3000</v>
      </c>
      <c r="N38">
        <v>1500</v>
      </c>
      <c r="O38">
        <v>1500</v>
      </c>
      <c r="P38">
        <v>0.5</v>
      </c>
      <c r="Q38">
        <v>0</v>
      </c>
      <c r="R38">
        <v>0</v>
      </c>
      <c r="S38">
        <v>3</v>
      </c>
      <c r="T38">
        <v>3000</v>
      </c>
    </row>
    <row r="39" spans="1:20">
      <c r="A39" t="s">
        <v>76</v>
      </c>
      <c r="B39" s="1">
        <v>45299</v>
      </c>
      <c r="C39">
        <v>2</v>
      </c>
      <c r="D39">
        <v>1</v>
      </c>
      <c r="E39" t="s">
        <v>12</v>
      </c>
      <c r="F39" t="s">
        <v>66</v>
      </c>
      <c r="G39" t="s">
        <v>17</v>
      </c>
      <c r="H39">
        <v>5</v>
      </c>
      <c r="I39">
        <v>1323</v>
      </c>
      <c r="J39">
        <v>10</v>
      </c>
      <c r="K39" t="s">
        <v>1941</v>
      </c>
      <c r="L39">
        <v>700</v>
      </c>
      <c r="M39">
        <v>6615</v>
      </c>
      <c r="N39">
        <v>3500</v>
      </c>
      <c r="O39">
        <v>3115</v>
      </c>
      <c r="P39">
        <v>0.47089947089947098</v>
      </c>
      <c r="Q39">
        <v>0</v>
      </c>
      <c r="R39">
        <v>0</v>
      </c>
      <c r="S39">
        <v>5</v>
      </c>
      <c r="T39">
        <v>6615</v>
      </c>
    </row>
    <row r="40" spans="1:20">
      <c r="A40" t="s">
        <v>77</v>
      </c>
      <c r="B40" s="1">
        <v>45299</v>
      </c>
      <c r="C40">
        <v>2</v>
      </c>
      <c r="D40">
        <v>1</v>
      </c>
      <c r="E40" t="s">
        <v>12</v>
      </c>
      <c r="F40" t="s">
        <v>22</v>
      </c>
      <c r="G40" t="s">
        <v>23</v>
      </c>
      <c r="H40">
        <v>3</v>
      </c>
      <c r="I40">
        <v>500</v>
      </c>
      <c r="J40">
        <v>0</v>
      </c>
      <c r="K40" t="s">
        <v>1929</v>
      </c>
      <c r="L40">
        <v>250</v>
      </c>
      <c r="M40">
        <v>1500</v>
      </c>
      <c r="N40">
        <v>750</v>
      </c>
      <c r="O40">
        <v>750</v>
      </c>
      <c r="P40">
        <v>0.5</v>
      </c>
      <c r="Q40">
        <v>0</v>
      </c>
      <c r="R40">
        <v>0</v>
      </c>
      <c r="S40">
        <v>3</v>
      </c>
      <c r="T40">
        <v>1500</v>
      </c>
    </row>
    <row r="41" spans="1:20">
      <c r="A41" t="s">
        <v>78</v>
      </c>
      <c r="B41" s="1">
        <v>45299</v>
      </c>
      <c r="C41">
        <v>2</v>
      </c>
      <c r="D41">
        <v>1</v>
      </c>
      <c r="E41" t="s">
        <v>12</v>
      </c>
      <c r="F41" t="s">
        <v>19</v>
      </c>
      <c r="G41" t="s">
        <v>20</v>
      </c>
      <c r="H41">
        <v>3</v>
      </c>
      <c r="I41">
        <v>1377</v>
      </c>
      <c r="J41">
        <v>15</v>
      </c>
      <c r="K41" t="s">
        <v>1931</v>
      </c>
      <c r="L41">
        <v>900</v>
      </c>
      <c r="M41">
        <v>4131</v>
      </c>
      <c r="N41">
        <v>2700</v>
      </c>
      <c r="O41">
        <v>1431</v>
      </c>
      <c r="P41">
        <v>0.34640522875816998</v>
      </c>
      <c r="Q41">
        <v>0</v>
      </c>
      <c r="R41">
        <v>0</v>
      </c>
      <c r="S41">
        <v>3</v>
      </c>
      <c r="T41">
        <v>4131</v>
      </c>
    </row>
    <row r="42" spans="1:20">
      <c r="A42" t="s">
        <v>79</v>
      </c>
      <c r="B42" s="1">
        <v>45299</v>
      </c>
      <c r="C42">
        <v>2</v>
      </c>
      <c r="D42">
        <v>1</v>
      </c>
      <c r="E42" t="s">
        <v>12</v>
      </c>
      <c r="F42" t="s">
        <v>80</v>
      </c>
      <c r="G42" t="s">
        <v>14</v>
      </c>
      <c r="H42">
        <v>1</v>
      </c>
      <c r="I42">
        <v>400</v>
      </c>
      <c r="J42">
        <v>0</v>
      </c>
      <c r="K42" t="s">
        <v>1922</v>
      </c>
      <c r="L42">
        <v>180</v>
      </c>
      <c r="M42">
        <v>400</v>
      </c>
      <c r="N42">
        <v>180</v>
      </c>
      <c r="O42">
        <v>220</v>
      </c>
      <c r="P42">
        <v>0.55000000000000004</v>
      </c>
      <c r="Q42">
        <v>0</v>
      </c>
      <c r="R42">
        <v>0</v>
      </c>
      <c r="S42">
        <v>1</v>
      </c>
      <c r="T42">
        <v>400</v>
      </c>
    </row>
    <row r="43" spans="1:20">
      <c r="A43" t="s">
        <v>132</v>
      </c>
      <c r="B43" s="1">
        <v>45307</v>
      </c>
      <c r="C43">
        <v>3</v>
      </c>
      <c r="D43">
        <v>1</v>
      </c>
      <c r="E43" t="s">
        <v>12</v>
      </c>
      <c r="F43" t="s">
        <v>25</v>
      </c>
      <c r="G43" t="s">
        <v>26</v>
      </c>
      <c r="H43">
        <v>3</v>
      </c>
      <c r="I43">
        <v>1000</v>
      </c>
      <c r="J43">
        <v>0</v>
      </c>
      <c r="K43" t="s">
        <v>1940</v>
      </c>
      <c r="L43">
        <v>400</v>
      </c>
      <c r="M43">
        <v>3000</v>
      </c>
      <c r="N43">
        <v>1200</v>
      </c>
      <c r="O43">
        <v>1800</v>
      </c>
      <c r="P43">
        <v>0.6</v>
      </c>
      <c r="Q43">
        <v>2</v>
      </c>
      <c r="R43">
        <v>2</v>
      </c>
      <c r="S43">
        <v>1</v>
      </c>
      <c r="T43">
        <v>1000</v>
      </c>
    </row>
    <row r="44" spans="1:20">
      <c r="A44" t="s">
        <v>81</v>
      </c>
      <c r="B44" s="1">
        <v>45299</v>
      </c>
      <c r="C44">
        <v>2</v>
      </c>
      <c r="D44">
        <v>1</v>
      </c>
      <c r="E44" t="s">
        <v>12</v>
      </c>
      <c r="F44" t="s">
        <v>82</v>
      </c>
      <c r="G44" t="s">
        <v>20</v>
      </c>
      <c r="H44">
        <v>1</v>
      </c>
      <c r="I44">
        <v>900</v>
      </c>
      <c r="J44">
        <v>0</v>
      </c>
      <c r="K44" t="s">
        <v>1933</v>
      </c>
      <c r="L44">
        <v>500</v>
      </c>
      <c r="M44">
        <v>900</v>
      </c>
      <c r="N44">
        <v>500</v>
      </c>
      <c r="O44">
        <v>400</v>
      </c>
      <c r="P44">
        <v>0.44444444444444398</v>
      </c>
      <c r="Q44">
        <v>0</v>
      </c>
      <c r="R44">
        <v>0</v>
      </c>
      <c r="S44">
        <v>1</v>
      </c>
      <c r="T44">
        <v>900</v>
      </c>
    </row>
    <row r="45" spans="1:20">
      <c r="A45" t="s">
        <v>83</v>
      </c>
      <c r="B45" s="1">
        <v>45299</v>
      </c>
      <c r="C45">
        <v>2</v>
      </c>
      <c r="D45">
        <v>1</v>
      </c>
      <c r="E45" t="s">
        <v>12</v>
      </c>
      <c r="F45" t="s">
        <v>42</v>
      </c>
      <c r="G45" t="s">
        <v>23</v>
      </c>
      <c r="H45">
        <v>2</v>
      </c>
      <c r="I45">
        <v>600</v>
      </c>
      <c r="J45">
        <v>0</v>
      </c>
      <c r="K45" t="s">
        <v>1928</v>
      </c>
      <c r="L45">
        <v>300</v>
      </c>
      <c r="M45">
        <v>1200</v>
      </c>
      <c r="N45">
        <v>600</v>
      </c>
      <c r="O45">
        <v>600</v>
      </c>
      <c r="P45">
        <v>0.5</v>
      </c>
      <c r="Q45">
        <v>0</v>
      </c>
      <c r="R45">
        <v>0</v>
      </c>
      <c r="S45">
        <v>2</v>
      </c>
      <c r="T45">
        <v>1200</v>
      </c>
    </row>
    <row r="46" spans="1:20">
      <c r="A46" t="s">
        <v>84</v>
      </c>
      <c r="B46" s="1">
        <v>45299</v>
      </c>
      <c r="C46">
        <v>2</v>
      </c>
      <c r="D46">
        <v>1</v>
      </c>
      <c r="E46" t="s">
        <v>12</v>
      </c>
      <c r="F46" t="s">
        <v>13</v>
      </c>
      <c r="G46" t="s">
        <v>14</v>
      </c>
      <c r="H46">
        <v>3</v>
      </c>
      <c r="I46">
        <v>480</v>
      </c>
      <c r="J46">
        <v>0</v>
      </c>
      <c r="K46" t="s">
        <v>1925</v>
      </c>
      <c r="L46">
        <v>220</v>
      </c>
      <c r="M46">
        <v>1440</v>
      </c>
      <c r="N46">
        <v>660</v>
      </c>
      <c r="O46">
        <v>780</v>
      </c>
      <c r="P46">
        <v>0.54166666666666696</v>
      </c>
      <c r="Q46">
        <v>0</v>
      </c>
      <c r="R46">
        <v>0</v>
      </c>
      <c r="S46">
        <v>3</v>
      </c>
      <c r="T46">
        <v>1440</v>
      </c>
    </row>
    <row r="47" spans="1:20">
      <c r="A47" t="s">
        <v>85</v>
      </c>
      <c r="B47" s="1">
        <v>45299</v>
      </c>
      <c r="C47">
        <v>2</v>
      </c>
      <c r="D47">
        <v>1</v>
      </c>
      <c r="E47" t="s">
        <v>12</v>
      </c>
      <c r="F47" t="s">
        <v>86</v>
      </c>
      <c r="G47" t="s">
        <v>17</v>
      </c>
      <c r="H47">
        <v>5</v>
      </c>
      <c r="I47">
        <v>799</v>
      </c>
      <c r="J47">
        <v>15</v>
      </c>
      <c r="K47" t="s">
        <v>1944</v>
      </c>
      <c r="L47">
        <v>450</v>
      </c>
      <c r="M47">
        <v>3995</v>
      </c>
      <c r="N47">
        <v>2250</v>
      </c>
      <c r="O47">
        <v>1745</v>
      </c>
      <c r="P47">
        <v>0.436795994993742</v>
      </c>
      <c r="Q47">
        <v>0</v>
      </c>
      <c r="R47">
        <v>0</v>
      </c>
      <c r="S47">
        <v>5</v>
      </c>
      <c r="T47">
        <v>3995</v>
      </c>
    </row>
    <row r="48" spans="1:20">
      <c r="A48" t="s">
        <v>87</v>
      </c>
      <c r="B48" s="1">
        <v>45299</v>
      </c>
      <c r="C48">
        <v>2</v>
      </c>
      <c r="D48">
        <v>1</v>
      </c>
      <c r="E48" t="s">
        <v>12</v>
      </c>
      <c r="F48" t="s">
        <v>28</v>
      </c>
      <c r="G48" t="s">
        <v>26</v>
      </c>
      <c r="H48">
        <v>3</v>
      </c>
      <c r="I48">
        <v>1425</v>
      </c>
      <c r="J48">
        <v>5</v>
      </c>
      <c r="K48" t="s">
        <v>1939</v>
      </c>
      <c r="L48">
        <v>600</v>
      </c>
      <c r="M48">
        <v>4275</v>
      </c>
      <c r="N48">
        <v>1800</v>
      </c>
      <c r="O48">
        <v>2475</v>
      </c>
      <c r="P48">
        <v>0.57894736842105299</v>
      </c>
      <c r="Q48">
        <v>0</v>
      </c>
      <c r="R48">
        <v>0</v>
      </c>
      <c r="S48">
        <v>3</v>
      </c>
      <c r="T48">
        <v>4275</v>
      </c>
    </row>
    <row r="49" spans="1:20">
      <c r="A49" t="s">
        <v>88</v>
      </c>
      <c r="B49" s="1">
        <v>45300</v>
      </c>
      <c r="C49">
        <v>2</v>
      </c>
      <c r="D49">
        <v>1</v>
      </c>
      <c r="E49" t="s">
        <v>12</v>
      </c>
      <c r="F49" t="s">
        <v>82</v>
      </c>
      <c r="G49" t="s">
        <v>20</v>
      </c>
      <c r="H49">
        <v>5</v>
      </c>
      <c r="I49">
        <v>765</v>
      </c>
      <c r="J49">
        <v>15</v>
      </c>
      <c r="K49" t="s">
        <v>1933</v>
      </c>
      <c r="L49">
        <v>500</v>
      </c>
      <c r="M49">
        <v>3825</v>
      </c>
      <c r="N49">
        <v>2500</v>
      </c>
      <c r="O49">
        <v>1325</v>
      </c>
      <c r="P49">
        <v>0.34640522875816998</v>
      </c>
      <c r="Q49">
        <v>0</v>
      </c>
      <c r="R49">
        <v>0</v>
      </c>
      <c r="S49">
        <v>5</v>
      </c>
      <c r="T49">
        <v>3825</v>
      </c>
    </row>
    <row r="50" spans="1:20">
      <c r="A50" t="s">
        <v>90</v>
      </c>
      <c r="B50" s="1">
        <v>45300</v>
      </c>
      <c r="C50">
        <v>2</v>
      </c>
      <c r="D50">
        <v>1</v>
      </c>
      <c r="E50" t="s">
        <v>12</v>
      </c>
      <c r="F50" t="s">
        <v>82</v>
      </c>
      <c r="G50" t="s">
        <v>20</v>
      </c>
      <c r="H50">
        <v>4</v>
      </c>
      <c r="I50">
        <v>900</v>
      </c>
      <c r="J50">
        <v>0</v>
      </c>
      <c r="K50" t="s">
        <v>1933</v>
      </c>
      <c r="L50">
        <v>500</v>
      </c>
      <c r="M50">
        <v>3600</v>
      </c>
      <c r="N50">
        <v>2000</v>
      </c>
      <c r="O50">
        <v>1600</v>
      </c>
      <c r="P50">
        <v>0.44444444444444398</v>
      </c>
      <c r="Q50">
        <v>0</v>
      </c>
      <c r="R50">
        <v>0</v>
      </c>
      <c r="S50">
        <v>4</v>
      </c>
      <c r="T50">
        <v>3600</v>
      </c>
    </row>
    <row r="51" spans="1:20">
      <c r="A51" t="s">
        <v>91</v>
      </c>
      <c r="B51" s="1">
        <v>45300</v>
      </c>
      <c r="C51">
        <v>2</v>
      </c>
      <c r="D51">
        <v>1</v>
      </c>
      <c r="E51" t="s">
        <v>12</v>
      </c>
      <c r="F51" t="s">
        <v>16</v>
      </c>
      <c r="G51" t="s">
        <v>17</v>
      </c>
      <c r="H51">
        <v>4</v>
      </c>
      <c r="I51">
        <v>468</v>
      </c>
      <c r="J51">
        <v>10</v>
      </c>
      <c r="K51" t="s">
        <v>1945</v>
      </c>
      <c r="L51">
        <v>250</v>
      </c>
      <c r="M51">
        <v>1872</v>
      </c>
      <c r="N51">
        <v>1000</v>
      </c>
      <c r="O51">
        <v>872</v>
      </c>
      <c r="P51">
        <v>0.46581196581196599</v>
      </c>
      <c r="Q51">
        <v>0</v>
      </c>
      <c r="R51">
        <v>0</v>
      </c>
      <c r="S51">
        <v>4</v>
      </c>
      <c r="T51">
        <v>1872</v>
      </c>
    </row>
    <row r="52" spans="1:20">
      <c r="A52" t="s">
        <v>92</v>
      </c>
      <c r="B52" s="1">
        <v>45300</v>
      </c>
      <c r="C52">
        <v>2</v>
      </c>
      <c r="D52">
        <v>1</v>
      </c>
      <c r="E52" t="s">
        <v>12</v>
      </c>
      <c r="F52" t="s">
        <v>28</v>
      </c>
      <c r="G52" t="s">
        <v>26</v>
      </c>
      <c r="H52">
        <v>2</v>
      </c>
      <c r="I52">
        <v>1500</v>
      </c>
      <c r="J52">
        <v>0</v>
      </c>
      <c r="K52" t="s">
        <v>1939</v>
      </c>
      <c r="L52">
        <v>600</v>
      </c>
      <c r="M52">
        <v>3000</v>
      </c>
      <c r="N52">
        <v>1200</v>
      </c>
      <c r="O52">
        <v>1800</v>
      </c>
      <c r="P52">
        <v>0.6</v>
      </c>
      <c r="Q52">
        <v>0</v>
      </c>
      <c r="R52">
        <v>0</v>
      </c>
      <c r="S52">
        <v>2</v>
      </c>
      <c r="T52">
        <v>3000</v>
      </c>
    </row>
    <row r="53" spans="1:20">
      <c r="A53" t="s">
        <v>93</v>
      </c>
      <c r="B53" s="1">
        <v>45300</v>
      </c>
      <c r="C53">
        <v>2</v>
      </c>
      <c r="D53">
        <v>1</v>
      </c>
      <c r="E53" t="s">
        <v>12</v>
      </c>
      <c r="F53" t="s">
        <v>94</v>
      </c>
      <c r="G53" t="s">
        <v>17</v>
      </c>
      <c r="H53">
        <v>3</v>
      </c>
      <c r="I53">
        <v>1512</v>
      </c>
      <c r="J53">
        <v>10</v>
      </c>
      <c r="K53" t="s">
        <v>1943</v>
      </c>
      <c r="L53">
        <v>800</v>
      </c>
      <c r="M53">
        <v>4536</v>
      </c>
      <c r="N53">
        <v>2400</v>
      </c>
      <c r="O53">
        <v>2136</v>
      </c>
      <c r="P53">
        <v>0.47089947089947098</v>
      </c>
      <c r="Q53">
        <v>0</v>
      </c>
      <c r="R53">
        <v>0</v>
      </c>
      <c r="S53">
        <v>3</v>
      </c>
      <c r="T53">
        <v>4536</v>
      </c>
    </row>
    <row r="54" spans="1:20">
      <c r="A54" t="s">
        <v>95</v>
      </c>
      <c r="B54" s="1">
        <v>45301</v>
      </c>
      <c r="C54">
        <v>2</v>
      </c>
      <c r="D54">
        <v>1</v>
      </c>
      <c r="E54" t="s">
        <v>12</v>
      </c>
      <c r="F54" t="s">
        <v>97</v>
      </c>
      <c r="G54" t="s">
        <v>20</v>
      </c>
      <c r="H54">
        <v>2</v>
      </c>
      <c r="I54">
        <v>1683</v>
      </c>
      <c r="J54">
        <v>15</v>
      </c>
      <c r="K54" t="s">
        <v>1932</v>
      </c>
      <c r="L54">
        <v>1100</v>
      </c>
      <c r="M54">
        <v>3366</v>
      </c>
      <c r="N54">
        <v>2200</v>
      </c>
      <c r="O54">
        <v>1166</v>
      </c>
      <c r="P54">
        <v>0.34640522875816998</v>
      </c>
      <c r="Q54">
        <v>1</v>
      </c>
      <c r="R54">
        <v>1</v>
      </c>
      <c r="S54">
        <v>1</v>
      </c>
      <c r="T54">
        <v>1683</v>
      </c>
    </row>
    <row r="55" spans="1:20">
      <c r="A55" t="s">
        <v>98</v>
      </c>
      <c r="B55" s="1">
        <v>45301</v>
      </c>
      <c r="C55">
        <v>2</v>
      </c>
      <c r="D55">
        <v>1</v>
      </c>
      <c r="E55" t="s">
        <v>12</v>
      </c>
      <c r="F55" t="s">
        <v>13</v>
      </c>
      <c r="G55" t="s">
        <v>14</v>
      </c>
      <c r="H55">
        <v>1</v>
      </c>
      <c r="I55">
        <v>408</v>
      </c>
      <c r="J55">
        <v>15</v>
      </c>
      <c r="K55" t="s">
        <v>1925</v>
      </c>
      <c r="L55">
        <v>220</v>
      </c>
      <c r="M55">
        <v>408</v>
      </c>
      <c r="N55">
        <v>220</v>
      </c>
      <c r="O55">
        <v>188</v>
      </c>
      <c r="P55">
        <v>0.46078431372549</v>
      </c>
      <c r="Q55">
        <v>0</v>
      </c>
      <c r="R55">
        <v>0</v>
      </c>
      <c r="S55">
        <v>1</v>
      </c>
      <c r="T55">
        <v>408</v>
      </c>
    </row>
    <row r="56" spans="1:20">
      <c r="A56" t="s">
        <v>100</v>
      </c>
      <c r="B56" s="1">
        <v>45302</v>
      </c>
      <c r="C56">
        <v>2</v>
      </c>
      <c r="D56">
        <v>1</v>
      </c>
      <c r="E56" t="s">
        <v>12</v>
      </c>
      <c r="F56" t="s">
        <v>86</v>
      </c>
      <c r="G56" t="s">
        <v>17</v>
      </c>
      <c r="H56">
        <v>4</v>
      </c>
      <c r="I56">
        <v>940</v>
      </c>
      <c r="J56">
        <v>0</v>
      </c>
      <c r="K56" t="s">
        <v>1944</v>
      </c>
      <c r="L56">
        <v>450</v>
      </c>
      <c r="M56">
        <v>3760</v>
      </c>
      <c r="N56">
        <v>1800</v>
      </c>
      <c r="O56">
        <v>1960</v>
      </c>
      <c r="P56">
        <v>0.52127659574468099</v>
      </c>
      <c r="Q56">
        <v>0</v>
      </c>
      <c r="R56">
        <v>0</v>
      </c>
      <c r="S56">
        <v>4</v>
      </c>
      <c r="T56">
        <v>3760</v>
      </c>
    </row>
    <row r="57" spans="1:20">
      <c r="A57" t="s">
        <v>102</v>
      </c>
      <c r="B57" s="1">
        <v>45302</v>
      </c>
      <c r="C57">
        <v>2</v>
      </c>
      <c r="D57">
        <v>1</v>
      </c>
      <c r="E57" t="s">
        <v>12</v>
      </c>
      <c r="F57" t="s">
        <v>68</v>
      </c>
      <c r="G57" t="s">
        <v>26</v>
      </c>
      <c r="H57">
        <v>5</v>
      </c>
      <c r="I57">
        <v>380</v>
      </c>
      <c r="J57">
        <v>0</v>
      </c>
      <c r="K57" t="s">
        <v>1937</v>
      </c>
      <c r="L57">
        <v>150</v>
      </c>
      <c r="M57">
        <v>1900</v>
      </c>
      <c r="N57">
        <v>750</v>
      </c>
      <c r="O57">
        <v>1150</v>
      </c>
      <c r="P57">
        <v>0.60526315789473695</v>
      </c>
      <c r="Q57">
        <v>0</v>
      </c>
      <c r="R57">
        <v>0</v>
      </c>
      <c r="S57">
        <v>5</v>
      </c>
      <c r="T57">
        <v>1900</v>
      </c>
    </row>
    <row r="58" spans="1:20">
      <c r="A58" t="s">
        <v>103</v>
      </c>
      <c r="B58" s="1">
        <v>45302</v>
      </c>
      <c r="C58">
        <v>2</v>
      </c>
      <c r="D58">
        <v>1</v>
      </c>
      <c r="E58" t="s">
        <v>12</v>
      </c>
      <c r="F58" t="s">
        <v>22</v>
      </c>
      <c r="G58" t="s">
        <v>23</v>
      </c>
      <c r="H58">
        <v>5</v>
      </c>
      <c r="I58">
        <v>500</v>
      </c>
      <c r="J58">
        <v>0</v>
      </c>
      <c r="K58" t="s">
        <v>1929</v>
      </c>
      <c r="L58">
        <v>250</v>
      </c>
      <c r="M58">
        <v>2500</v>
      </c>
      <c r="N58">
        <v>1250</v>
      </c>
      <c r="O58">
        <v>1250</v>
      </c>
      <c r="P58">
        <v>0.5</v>
      </c>
      <c r="Q58">
        <v>0</v>
      </c>
      <c r="R58">
        <v>0</v>
      </c>
      <c r="S58">
        <v>5</v>
      </c>
      <c r="T58">
        <v>2500</v>
      </c>
    </row>
    <row r="59" spans="1:20">
      <c r="A59" t="s">
        <v>104</v>
      </c>
      <c r="B59" s="1">
        <v>45302</v>
      </c>
      <c r="C59">
        <v>2</v>
      </c>
      <c r="D59">
        <v>1</v>
      </c>
      <c r="E59" t="s">
        <v>12</v>
      </c>
      <c r="F59" t="s">
        <v>86</v>
      </c>
      <c r="G59" t="s">
        <v>17</v>
      </c>
      <c r="H59">
        <v>3</v>
      </c>
      <c r="I59">
        <v>940</v>
      </c>
      <c r="J59">
        <v>0</v>
      </c>
      <c r="K59" t="s">
        <v>1944</v>
      </c>
      <c r="L59">
        <v>450</v>
      </c>
      <c r="M59">
        <v>2820</v>
      </c>
      <c r="N59">
        <v>1350</v>
      </c>
      <c r="O59">
        <v>1470</v>
      </c>
      <c r="P59">
        <v>0.52127659574468099</v>
      </c>
      <c r="Q59">
        <v>0</v>
      </c>
      <c r="R59">
        <v>0</v>
      </c>
      <c r="S59">
        <v>3</v>
      </c>
      <c r="T59">
        <v>2820</v>
      </c>
    </row>
    <row r="60" spans="1:20">
      <c r="A60" t="s">
        <v>105</v>
      </c>
      <c r="B60" s="1">
        <v>45303</v>
      </c>
      <c r="C60">
        <v>2</v>
      </c>
      <c r="D60">
        <v>1</v>
      </c>
      <c r="E60" t="s">
        <v>12</v>
      </c>
      <c r="F60" t="s">
        <v>13</v>
      </c>
      <c r="G60" t="s">
        <v>14</v>
      </c>
      <c r="H60">
        <v>4</v>
      </c>
      <c r="I60">
        <v>480</v>
      </c>
      <c r="J60">
        <v>0</v>
      </c>
      <c r="K60" t="s">
        <v>1925</v>
      </c>
      <c r="L60">
        <v>220</v>
      </c>
      <c r="M60">
        <v>1920</v>
      </c>
      <c r="N60">
        <v>880</v>
      </c>
      <c r="O60">
        <v>1040</v>
      </c>
      <c r="P60">
        <v>0.54166666666666696</v>
      </c>
      <c r="Q60">
        <v>0</v>
      </c>
      <c r="R60">
        <v>0</v>
      </c>
      <c r="S60">
        <v>4</v>
      </c>
      <c r="T60">
        <v>1920</v>
      </c>
    </row>
    <row r="61" spans="1:20">
      <c r="A61" t="s">
        <v>107</v>
      </c>
      <c r="B61" s="1">
        <v>45303</v>
      </c>
      <c r="C61">
        <v>2</v>
      </c>
      <c r="D61">
        <v>1</v>
      </c>
      <c r="E61" t="s">
        <v>12</v>
      </c>
      <c r="F61" t="s">
        <v>25</v>
      </c>
      <c r="G61" t="s">
        <v>26</v>
      </c>
      <c r="H61">
        <v>2</v>
      </c>
      <c r="I61">
        <v>1000</v>
      </c>
      <c r="J61">
        <v>0</v>
      </c>
      <c r="K61" t="s">
        <v>1940</v>
      </c>
      <c r="L61">
        <v>400</v>
      </c>
      <c r="M61">
        <v>2000</v>
      </c>
      <c r="N61">
        <v>800</v>
      </c>
      <c r="O61">
        <v>1200</v>
      </c>
      <c r="P61">
        <v>0.6</v>
      </c>
      <c r="Q61">
        <v>0</v>
      </c>
      <c r="R61">
        <v>0</v>
      </c>
      <c r="S61">
        <v>2</v>
      </c>
      <c r="T61">
        <v>2000</v>
      </c>
    </row>
    <row r="62" spans="1:20">
      <c r="A62" t="s">
        <v>108</v>
      </c>
      <c r="B62" s="1">
        <v>45303</v>
      </c>
      <c r="C62">
        <v>2</v>
      </c>
      <c r="D62">
        <v>1</v>
      </c>
      <c r="E62" t="s">
        <v>12</v>
      </c>
      <c r="F62" t="s">
        <v>45</v>
      </c>
      <c r="G62" t="s">
        <v>26</v>
      </c>
      <c r="H62">
        <v>3</v>
      </c>
      <c r="I62">
        <v>4500</v>
      </c>
      <c r="J62">
        <v>0</v>
      </c>
      <c r="K62" t="s">
        <v>1938</v>
      </c>
      <c r="L62">
        <v>1800</v>
      </c>
      <c r="M62">
        <v>13500</v>
      </c>
      <c r="N62">
        <v>5400</v>
      </c>
      <c r="O62">
        <v>8100</v>
      </c>
      <c r="P62">
        <v>0.6</v>
      </c>
      <c r="Q62">
        <v>0</v>
      </c>
      <c r="R62">
        <v>0</v>
      </c>
      <c r="S62">
        <v>3</v>
      </c>
      <c r="T62">
        <v>13500</v>
      </c>
    </row>
    <row r="63" spans="1:20">
      <c r="A63" t="s">
        <v>109</v>
      </c>
      <c r="B63" s="1">
        <v>45304</v>
      </c>
      <c r="C63">
        <v>2</v>
      </c>
      <c r="D63">
        <v>1</v>
      </c>
      <c r="E63" t="s">
        <v>12</v>
      </c>
      <c r="F63" t="s">
        <v>58</v>
      </c>
      <c r="G63" t="s">
        <v>23</v>
      </c>
      <c r="H63">
        <v>2</v>
      </c>
      <c r="I63">
        <v>900</v>
      </c>
      <c r="J63">
        <v>10</v>
      </c>
      <c r="K63" t="s">
        <v>1927</v>
      </c>
      <c r="L63">
        <v>500</v>
      </c>
      <c r="M63">
        <v>1800</v>
      </c>
      <c r="N63">
        <v>1000</v>
      </c>
      <c r="O63">
        <v>800</v>
      </c>
      <c r="P63">
        <v>0.44444444444444398</v>
      </c>
      <c r="Q63">
        <v>0</v>
      </c>
      <c r="R63">
        <v>0</v>
      </c>
      <c r="S63">
        <v>2</v>
      </c>
      <c r="T63">
        <v>1800</v>
      </c>
    </row>
    <row r="64" spans="1:20">
      <c r="A64" t="s">
        <v>111</v>
      </c>
      <c r="B64" s="1">
        <v>45304</v>
      </c>
      <c r="C64">
        <v>2</v>
      </c>
      <c r="D64">
        <v>1</v>
      </c>
      <c r="E64" t="s">
        <v>12</v>
      </c>
      <c r="F64" t="s">
        <v>31</v>
      </c>
      <c r="G64" t="s">
        <v>23</v>
      </c>
      <c r="H64">
        <v>1</v>
      </c>
      <c r="I64">
        <v>1400</v>
      </c>
      <c r="J64">
        <v>0</v>
      </c>
      <c r="K64" t="s">
        <v>1930</v>
      </c>
      <c r="L64">
        <v>700</v>
      </c>
      <c r="M64">
        <v>1400</v>
      </c>
      <c r="N64">
        <v>700</v>
      </c>
      <c r="O64">
        <v>700</v>
      </c>
      <c r="P64">
        <v>0.5</v>
      </c>
      <c r="Q64">
        <v>0</v>
      </c>
      <c r="R64">
        <v>0</v>
      </c>
      <c r="S64">
        <v>1</v>
      </c>
      <c r="T64">
        <v>1400</v>
      </c>
    </row>
    <row r="65" spans="1:20">
      <c r="A65" t="s">
        <v>112</v>
      </c>
      <c r="B65" s="1">
        <v>45304</v>
      </c>
      <c r="C65">
        <v>2</v>
      </c>
      <c r="D65">
        <v>1</v>
      </c>
      <c r="E65" t="s">
        <v>12</v>
      </c>
      <c r="F65" t="s">
        <v>86</v>
      </c>
      <c r="G65" t="s">
        <v>17</v>
      </c>
      <c r="H65">
        <v>4</v>
      </c>
      <c r="I65">
        <v>940</v>
      </c>
      <c r="J65">
        <v>0</v>
      </c>
      <c r="K65" t="s">
        <v>1944</v>
      </c>
      <c r="L65">
        <v>450</v>
      </c>
      <c r="M65">
        <v>3760</v>
      </c>
      <c r="N65">
        <v>1800</v>
      </c>
      <c r="O65">
        <v>1960</v>
      </c>
      <c r="P65">
        <v>0.52127659574468099</v>
      </c>
      <c r="Q65">
        <v>0</v>
      </c>
      <c r="R65">
        <v>0</v>
      </c>
      <c r="S65">
        <v>4</v>
      </c>
      <c r="T65">
        <v>3760</v>
      </c>
    </row>
    <row r="66" spans="1:20">
      <c r="A66" t="s">
        <v>113</v>
      </c>
      <c r="B66" s="1">
        <v>45304</v>
      </c>
      <c r="C66">
        <v>2</v>
      </c>
      <c r="D66">
        <v>1</v>
      </c>
      <c r="E66" t="s">
        <v>12</v>
      </c>
      <c r="F66" t="s">
        <v>19</v>
      </c>
      <c r="G66" t="s">
        <v>20</v>
      </c>
      <c r="H66">
        <v>1</v>
      </c>
      <c r="I66">
        <v>1377</v>
      </c>
      <c r="J66">
        <v>15</v>
      </c>
      <c r="K66" t="s">
        <v>1931</v>
      </c>
      <c r="L66">
        <v>900</v>
      </c>
      <c r="M66">
        <v>1377</v>
      </c>
      <c r="N66">
        <v>900</v>
      </c>
      <c r="O66">
        <v>477</v>
      </c>
      <c r="P66">
        <v>0.34640522875816998</v>
      </c>
      <c r="Q66">
        <v>0</v>
      </c>
      <c r="R66">
        <v>0</v>
      </c>
      <c r="S66">
        <v>1</v>
      </c>
      <c r="T66">
        <v>1377</v>
      </c>
    </row>
    <row r="67" spans="1:20">
      <c r="A67" t="s">
        <v>120</v>
      </c>
      <c r="B67" s="1">
        <v>45305</v>
      </c>
      <c r="C67">
        <v>2</v>
      </c>
      <c r="D67">
        <v>1</v>
      </c>
      <c r="E67" t="s">
        <v>12</v>
      </c>
      <c r="F67" t="s">
        <v>37</v>
      </c>
      <c r="G67" t="s">
        <v>20</v>
      </c>
      <c r="H67">
        <v>3</v>
      </c>
      <c r="I67">
        <v>2340</v>
      </c>
      <c r="J67">
        <v>0</v>
      </c>
      <c r="K67" t="s">
        <v>1935</v>
      </c>
      <c r="L67">
        <v>1300</v>
      </c>
      <c r="M67">
        <v>7020</v>
      </c>
      <c r="N67">
        <v>3900</v>
      </c>
      <c r="O67">
        <v>3120</v>
      </c>
      <c r="P67">
        <v>0.44444444444444398</v>
      </c>
      <c r="Q67">
        <v>3</v>
      </c>
      <c r="R67">
        <v>3</v>
      </c>
      <c r="S67">
        <v>0</v>
      </c>
      <c r="T67">
        <v>0</v>
      </c>
    </row>
    <row r="68" spans="1:20">
      <c r="A68" t="s">
        <v>114</v>
      </c>
      <c r="B68" s="1">
        <v>45304</v>
      </c>
      <c r="C68">
        <v>2</v>
      </c>
      <c r="D68">
        <v>1</v>
      </c>
      <c r="E68" t="s">
        <v>12</v>
      </c>
      <c r="F68" t="s">
        <v>115</v>
      </c>
      <c r="G68" t="s">
        <v>23</v>
      </c>
      <c r="H68">
        <v>3</v>
      </c>
      <c r="I68">
        <v>1200</v>
      </c>
      <c r="J68">
        <v>0</v>
      </c>
      <c r="K68" t="s">
        <v>1926</v>
      </c>
      <c r="L68">
        <v>600</v>
      </c>
      <c r="M68">
        <v>3600</v>
      </c>
      <c r="N68">
        <v>1800</v>
      </c>
      <c r="O68">
        <v>1800</v>
      </c>
      <c r="P68">
        <v>0.5</v>
      </c>
      <c r="Q68">
        <v>0</v>
      </c>
      <c r="R68">
        <v>0</v>
      </c>
      <c r="S68">
        <v>3</v>
      </c>
      <c r="T68">
        <v>3600</v>
      </c>
    </row>
    <row r="69" spans="1:20">
      <c r="A69" t="s">
        <v>116</v>
      </c>
      <c r="B69" s="1">
        <v>45304</v>
      </c>
      <c r="C69">
        <v>2</v>
      </c>
      <c r="D69">
        <v>1</v>
      </c>
      <c r="E69" t="s">
        <v>12</v>
      </c>
      <c r="F69" t="s">
        <v>51</v>
      </c>
      <c r="G69" t="s">
        <v>26</v>
      </c>
      <c r="H69">
        <v>4</v>
      </c>
      <c r="I69">
        <v>425</v>
      </c>
      <c r="J69">
        <v>15</v>
      </c>
      <c r="K69" t="s">
        <v>1936</v>
      </c>
      <c r="L69">
        <v>200</v>
      </c>
      <c r="M69">
        <v>1700</v>
      </c>
      <c r="N69">
        <v>800</v>
      </c>
      <c r="O69">
        <v>900</v>
      </c>
      <c r="P69">
        <v>0.52941176470588203</v>
      </c>
      <c r="Q69">
        <v>0</v>
      </c>
      <c r="R69">
        <v>0</v>
      </c>
      <c r="S69">
        <v>4</v>
      </c>
      <c r="T69">
        <v>1700</v>
      </c>
    </row>
    <row r="70" spans="1:20">
      <c r="A70" t="s">
        <v>117</v>
      </c>
      <c r="B70" s="1">
        <v>45304</v>
      </c>
      <c r="C70">
        <v>2</v>
      </c>
      <c r="D70">
        <v>1</v>
      </c>
      <c r="E70" t="s">
        <v>12</v>
      </c>
      <c r="F70" t="s">
        <v>16</v>
      </c>
      <c r="G70" t="s">
        <v>17</v>
      </c>
      <c r="H70">
        <v>5</v>
      </c>
      <c r="I70">
        <v>520</v>
      </c>
      <c r="J70">
        <v>0</v>
      </c>
      <c r="K70" t="s">
        <v>1945</v>
      </c>
      <c r="L70">
        <v>250</v>
      </c>
      <c r="M70">
        <v>2600</v>
      </c>
      <c r="N70">
        <v>1250</v>
      </c>
      <c r="O70">
        <v>1350</v>
      </c>
      <c r="P70">
        <v>0.51923076923076905</v>
      </c>
      <c r="Q70">
        <v>1</v>
      </c>
      <c r="R70">
        <v>1</v>
      </c>
      <c r="S70">
        <v>4</v>
      </c>
      <c r="T70">
        <v>2080</v>
      </c>
    </row>
    <row r="71" spans="1:20">
      <c r="A71" t="s">
        <v>118</v>
      </c>
      <c r="B71" s="1">
        <v>45304</v>
      </c>
      <c r="C71">
        <v>2</v>
      </c>
      <c r="D71">
        <v>1</v>
      </c>
      <c r="E71" t="s">
        <v>12</v>
      </c>
      <c r="F71" t="s">
        <v>119</v>
      </c>
      <c r="G71" t="s">
        <v>14</v>
      </c>
      <c r="H71">
        <v>5</v>
      </c>
      <c r="I71">
        <v>770</v>
      </c>
      <c r="J71">
        <v>0</v>
      </c>
      <c r="K71" t="s">
        <v>1920</v>
      </c>
      <c r="L71">
        <v>350</v>
      </c>
      <c r="M71">
        <v>3850</v>
      </c>
      <c r="N71">
        <v>1750</v>
      </c>
      <c r="O71">
        <v>2100</v>
      </c>
      <c r="P71">
        <v>0.54545454545454497</v>
      </c>
      <c r="Q71">
        <v>0</v>
      </c>
      <c r="R71">
        <v>0</v>
      </c>
      <c r="S71">
        <v>5</v>
      </c>
      <c r="T71">
        <v>3850</v>
      </c>
    </row>
    <row r="72" spans="1:20">
      <c r="A72" t="s">
        <v>122</v>
      </c>
      <c r="B72" s="1">
        <v>45305</v>
      </c>
      <c r="C72">
        <v>2</v>
      </c>
      <c r="D72">
        <v>1</v>
      </c>
      <c r="E72" t="s">
        <v>12</v>
      </c>
      <c r="F72" t="s">
        <v>51</v>
      </c>
      <c r="G72" t="s">
        <v>26</v>
      </c>
      <c r="H72">
        <v>5</v>
      </c>
      <c r="I72">
        <v>450</v>
      </c>
      <c r="J72">
        <v>10</v>
      </c>
      <c r="K72" t="s">
        <v>1936</v>
      </c>
      <c r="L72">
        <v>200</v>
      </c>
      <c r="M72">
        <v>2250</v>
      </c>
      <c r="N72">
        <v>1000</v>
      </c>
      <c r="O72">
        <v>1250</v>
      </c>
      <c r="P72">
        <v>0.55555555555555602</v>
      </c>
      <c r="Q72">
        <v>0</v>
      </c>
      <c r="R72">
        <v>0</v>
      </c>
      <c r="S72">
        <v>5</v>
      </c>
      <c r="T72">
        <v>2250</v>
      </c>
    </row>
    <row r="73" spans="1:20">
      <c r="A73" t="s">
        <v>123</v>
      </c>
      <c r="B73" s="1">
        <v>45305</v>
      </c>
      <c r="C73">
        <v>2</v>
      </c>
      <c r="D73">
        <v>1</v>
      </c>
      <c r="E73" t="s">
        <v>12</v>
      </c>
      <c r="F73" t="s">
        <v>13</v>
      </c>
      <c r="G73" t="s">
        <v>14</v>
      </c>
      <c r="H73">
        <v>5</v>
      </c>
      <c r="I73">
        <v>480</v>
      </c>
      <c r="J73">
        <v>0</v>
      </c>
      <c r="K73" t="s">
        <v>1925</v>
      </c>
      <c r="L73">
        <v>220</v>
      </c>
      <c r="M73">
        <v>2400</v>
      </c>
      <c r="N73">
        <v>1100</v>
      </c>
      <c r="O73">
        <v>1300</v>
      </c>
      <c r="P73">
        <v>0.54166666666666696</v>
      </c>
      <c r="Q73">
        <v>0</v>
      </c>
      <c r="R73">
        <v>0</v>
      </c>
      <c r="S73">
        <v>5</v>
      </c>
      <c r="T73">
        <v>2400</v>
      </c>
    </row>
    <row r="74" spans="1:20">
      <c r="A74" t="s">
        <v>126</v>
      </c>
      <c r="B74" s="1">
        <v>45306</v>
      </c>
      <c r="C74">
        <v>3</v>
      </c>
      <c r="D74">
        <v>1</v>
      </c>
      <c r="E74" t="s">
        <v>12</v>
      </c>
      <c r="F74" t="s">
        <v>68</v>
      </c>
      <c r="G74" t="s">
        <v>26</v>
      </c>
      <c r="H74">
        <v>2</v>
      </c>
      <c r="I74">
        <v>342</v>
      </c>
      <c r="J74">
        <v>10</v>
      </c>
      <c r="K74" t="s">
        <v>1937</v>
      </c>
      <c r="L74">
        <v>150</v>
      </c>
      <c r="M74">
        <v>684</v>
      </c>
      <c r="N74">
        <v>300</v>
      </c>
      <c r="O74">
        <v>384</v>
      </c>
      <c r="P74">
        <v>0.56140350877193002</v>
      </c>
      <c r="Q74">
        <v>0</v>
      </c>
      <c r="R74">
        <v>0</v>
      </c>
      <c r="S74">
        <v>2</v>
      </c>
      <c r="T74">
        <v>684</v>
      </c>
    </row>
    <row r="75" spans="1:20">
      <c r="A75" t="s">
        <v>127</v>
      </c>
      <c r="B75" s="1">
        <v>45306</v>
      </c>
      <c r="C75">
        <v>3</v>
      </c>
      <c r="D75">
        <v>1</v>
      </c>
      <c r="E75" t="s">
        <v>12</v>
      </c>
      <c r="F75" t="s">
        <v>16</v>
      </c>
      <c r="G75" t="s">
        <v>17</v>
      </c>
      <c r="H75">
        <v>5</v>
      </c>
      <c r="I75">
        <v>520</v>
      </c>
      <c r="J75">
        <v>0</v>
      </c>
      <c r="K75" t="s">
        <v>1945</v>
      </c>
      <c r="L75">
        <v>250</v>
      </c>
      <c r="M75">
        <v>2600</v>
      </c>
      <c r="N75">
        <v>1250</v>
      </c>
      <c r="O75">
        <v>1350</v>
      </c>
      <c r="P75">
        <v>0.51923076923076905</v>
      </c>
      <c r="Q75">
        <v>0</v>
      </c>
      <c r="R75">
        <v>0</v>
      </c>
      <c r="S75">
        <v>5</v>
      </c>
      <c r="T75">
        <v>2600</v>
      </c>
    </row>
    <row r="76" spans="1:20">
      <c r="A76" t="s">
        <v>128</v>
      </c>
      <c r="B76" s="1">
        <v>45306</v>
      </c>
      <c r="C76">
        <v>3</v>
      </c>
      <c r="D76">
        <v>1</v>
      </c>
      <c r="E76" t="s">
        <v>12</v>
      </c>
      <c r="F76" t="s">
        <v>94</v>
      </c>
      <c r="G76" t="s">
        <v>17</v>
      </c>
      <c r="H76">
        <v>3</v>
      </c>
      <c r="I76">
        <v>1428</v>
      </c>
      <c r="J76">
        <v>15</v>
      </c>
      <c r="K76" t="s">
        <v>1943</v>
      </c>
      <c r="L76">
        <v>800</v>
      </c>
      <c r="M76">
        <v>4284</v>
      </c>
      <c r="N76">
        <v>2400</v>
      </c>
      <c r="O76">
        <v>1884</v>
      </c>
      <c r="P76">
        <v>0.43977591036414598</v>
      </c>
      <c r="Q76">
        <v>0</v>
      </c>
      <c r="R76">
        <v>0</v>
      </c>
      <c r="S76">
        <v>3</v>
      </c>
      <c r="T76">
        <v>4284</v>
      </c>
    </row>
    <row r="77" spans="1:20">
      <c r="A77" t="s">
        <v>129</v>
      </c>
      <c r="B77" s="1">
        <v>45306</v>
      </c>
      <c r="C77">
        <v>3</v>
      </c>
      <c r="D77">
        <v>1</v>
      </c>
      <c r="E77" t="s">
        <v>12</v>
      </c>
      <c r="F77" t="s">
        <v>39</v>
      </c>
      <c r="G77" t="s">
        <v>14</v>
      </c>
      <c r="H77">
        <v>4</v>
      </c>
      <c r="I77">
        <v>792</v>
      </c>
      <c r="J77">
        <v>10</v>
      </c>
      <c r="K77" t="s">
        <v>1921</v>
      </c>
      <c r="L77">
        <v>400</v>
      </c>
      <c r="M77">
        <v>3168</v>
      </c>
      <c r="N77">
        <v>1600</v>
      </c>
      <c r="O77">
        <v>1568</v>
      </c>
      <c r="P77">
        <v>0.49494949494949497</v>
      </c>
      <c r="Q77">
        <v>0</v>
      </c>
      <c r="R77">
        <v>0</v>
      </c>
      <c r="S77">
        <v>4</v>
      </c>
      <c r="T77">
        <v>3168</v>
      </c>
    </row>
    <row r="78" spans="1:20">
      <c r="A78" t="s">
        <v>130</v>
      </c>
      <c r="B78" s="1">
        <v>45307</v>
      </c>
      <c r="C78">
        <v>3</v>
      </c>
      <c r="D78">
        <v>1</v>
      </c>
      <c r="E78" t="s">
        <v>12</v>
      </c>
      <c r="F78" t="s">
        <v>66</v>
      </c>
      <c r="G78" t="s">
        <v>17</v>
      </c>
      <c r="H78">
        <v>1</v>
      </c>
      <c r="I78">
        <v>1470</v>
      </c>
      <c r="J78">
        <v>0</v>
      </c>
      <c r="K78" t="s">
        <v>1941</v>
      </c>
      <c r="L78">
        <v>700</v>
      </c>
      <c r="M78">
        <v>1470</v>
      </c>
      <c r="N78">
        <v>700</v>
      </c>
      <c r="O78">
        <v>770</v>
      </c>
      <c r="P78">
        <v>0.52380952380952395</v>
      </c>
      <c r="Q78">
        <v>0</v>
      </c>
      <c r="R78">
        <v>0</v>
      </c>
      <c r="S78">
        <v>1</v>
      </c>
      <c r="T78">
        <v>1470</v>
      </c>
    </row>
    <row r="79" spans="1:20">
      <c r="A79" t="s">
        <v>133</v>
      </c>
      <c r="B79" s="1">
        <v>45307</v>
      </c>
      <c r="C79">
        <v>3</v>
      </c>
      <c r="D79">
        <v>1</v>
      </c>
      <c r="E79" t="s">
        <v>12</v>
      </c>
      <c r="F79" t="s">
        <v>66</v>
      </c>
      <c r="G79" t="s">
        <v>17</v>
      </c>
      <c r="H79">
        <v>1</v>
      </c>
      <c r="I79">
        <v>1323</v>
      </c>
      <c r="J79">
        <v>10</v>
      </c>
      <c r="K79" t="s">
        <v>1941</v>
      </c>
      <c r="L79">
        <v>700</v>
      </c>
      <c r="M79">
        <v>1323</v>
      </c>
      <c r="N79">
        <v>700</v>
      </c>
      <c r="O79">
        <v>623</v>
      </c>
      <c r="P79">
        <v>0.47089947089947098</v>
      </c>
      <c r="Q79">
        <v>0</v>
      </c>
      <c r="R79">
        <v>0</v>
      </c>
      <c r="S79">
        <v>1</v>
      </c>
      <c r="T79">
        <v>1323</v>
      </c>
    </row>
    <row r="80" spans="1:20">
      <c r="A80" t="s">
        <v>134</v>
      </c>
      <c r="B80" s="1">
        <v>45308</v>
      </c>
      <c r="C80">
        <v>3</v>
      </c>
      <c r="D80">
        <v>1</v>
      </c>
      <c r="E80" t="s">
        <v>12</v>
      </c>
      <c r="F80" t="s">
        <v>51</v>
      </c>
      <c r="G80" t="s">
        <v>26</v>
      </c>
      <c r="H80">
        <v>1</v>
      </c>
      <c r="I80">
        <v>450</v>
      </c>
      <c r="J80">
        <v>10</v>
      </c>
      <c r="K80" t="s">
        <v>1936</v>
      </c>
      <c r="L80">
        <v>200</v>
      </c>
      <c r="M80">
        <v>450</v>
      </c>
      <c r="N80">
        <v>200</v>
      </c>
      <c r="O80">
        <v>250</v>
      </c>
      <c r="P80">
        <v>0.55555555555555602</v>
      </c>
      <c r="Q80">
        <v>0</v>
      </c>
      <c r="R80">
        <v>0</v>
      </c>
      <c r="S80">
        <v>1</v>
      </c>
      <c r="T80">
        <v>450</v>
      </c>
    </row>
    <row r="81" spans="1:20">
      <c r="A81" t="s">
        <v>136</v>
      </c>
      <c r="B81" s="1">
        <v>45308</v>
      </c>
      <c r="C81">
        <v>3</v>
      </c>
      <c r="D81">
        <v>1</v>
      </c>
      <c r="E81" t="s">
        <v>12</v>
      </c>
      <c r="F81" t="s">
        <v>115</v>
      </c>
      <c r="G81" t="s">
        <v>23</v>
      </c>
      <c r="H81">
        <v>2</v>
      </c>
      <c r="I81">
        <v>1200</v>
      </c>
      <c r="J81">
        <v>0</v>
      </c>
      <c r="K81" t="s">
        <v>1926</v>
      </c>
      <c r="L81">
        <v>600</v>
      </c>
      <c r="M81">
        <v>2400</v>
      </c>
      <c r="N81">
        <v>1200</v>
      </c>
      <c r="O81">
        <v>1200</v>
      </c>
      <c r="P81">
        <v>0.5</v>
      </c>
      <c r="Q81">
        <v>0</v>
      </c>
      <c r="R81">
        <v>0</v>
      </c>
      <c r="S81">
        <v>2</v>
      </c>
      <c r="T81">
        <v>2400</v>
      </c>
    </row>
    <row r="82" spans="1:20">
      <c r="A82" t="s">
        <v>137</v>
      </c>
      <c r="B82" s="1">
        <v>45308</v>
      </c>
      <c r="C82">
        <v>3</v>
      </c>
      <c r="D82">
        <v>1</v>
      </c>
      <c r="E82" t="s">
        <v>12</v>
      </c>
      <c r="F82" t="s">
        <v>119</v>
      </c>
      <c r="G82" t="s">
        <v>14</v>
      </c>
      <c r="H82">
        <v>3</v>
      </c>
      <c r="I82">
        <v>693</v>
      </c>
      <c r="J82">
        <v>10</v>
      </c>
      <c r="K82" t="s">
        <v>1920</v>
      </c>
      <c r="L82">
        <v>350</v>
      </c>
      <c r="M82">
        <v>2079</v>
      </c>
      <c r="N82">
        <v>1050</v>
      </c>
      <c r="O82">
        <v>1029</v>
      </c>
      <c r="P82">
        <v>0.49494949494949497</v>
      </c>
      <c r="Q82">
        <v>0</v>
      </c>
      <c r="R82">
        <v>0</v>
      </c>
      <c r="S82">
        <v>3</v>
      </c>
      <c r="T82">
        <v>2079</v>
      </c>
    </row>
    <row r="83" spans="1:20">
      <c r="A83" t="s">
        <v>138</v>
      </c>
      <c r="B83" s="1">
        <v>45308</v>
      </c>
      <c r="C83">
        <v>3</v>
      </c>
      <c r="D83">
        <v>1</v>
      </c>
      <c r="E83" t="s">
        <v>12</v>
      </c>
      <c r="F83" t="s">
        <v>42</v>
      </c>
      <c r="G83" t="s">
        <v>23</v>
      </c>
      <c r="H83">
        <v>4</v>
      </c>
      <c r="I83">
        <v>570</v>
      </c>
      <c r="J83">
        <v>5</v>
      </c>
      <c r="K83" t="s">
        <v>1928</v>
      </c>
      <c r="L83">
        <v>300</v>
      </c>
      <c r="M83">
        <v>2280</v>
      </c>
      <c r="N83">
        <v>1200</v>
      </c>
      <c r="O83">
        <v>1080</v>
      </c>
      <c r="P83">
        <v>0.47368421052631599</v>
      </c>
      <c r="Q83">
        <v>0</v>
      </c>
      <c r="R83">
        <v>0</v>
      </c>
      <c r="S83">
        <v>4</v>
      </c>
      <c r="T83">
        <v>2280</v>
      </c>
    </row>
    <row r="84" spans="1:20">
      <c r="A84" t="s">
        <v>139</v>
      </c>
      <c r="B84" s="1">
        <v>45308</v>
      </c>
      <c r="C84">
        <v>3</v>
      </c>
      <c r="D84">
        <v>1</v>
      </c>
      <c r="E84" t="s">
        <v>12</v>
      </c>
      <c r="F84" t="s">
        <v>19</v>
      </c>
      <c r="G84" t="s">
        <v>20</v>
      </c>
      <c r="H84">
        <v>5</v>
      </c>
      <c r="I84">
        <v>1458</v>
      </c>
      <c r="J84">
        <v>10</v>
      </c>
      <c r="K84" t="s">
        <v>1931</v>
      </c>
      <c r="L84">
        <v>900</v>
      </c>
      <c r="M84">
        <v>7290</v>
      </c>
      <c r="N84">
        <v>4500</v>
      </c>
      <c r="O84">
        <v>2790</v>
      </c>
      <c r="P84">
        <v>0.38271604938271597</v>
      </c>
      <c r="Q84">
        <v>0</v>
      </c>
      <c r="R84">
        <v>0</v>
      </c>
      <c r="S84">
        <v>5</v>
      </c>
      <c r="T84">
        <v>7290</v>
      </c>
    </row>
    <row r="85" spans="1:20">
      <c r="A85" t="s">
        <v>140</v>
      </c>
      <c r="B85" s="1">
        <v>45309</v>
      </c>
      <c r="C85">
        <v>3</v>
      </c>
      <c r="D85">
        <v>1</v>
      </c>
      <c r="E85" t="s">
        <v>12</v>
      </c>
      <c r="F85" t="s">
        <v>68</v>
      </c>
      <c r="G85" t="s">
        <v>26</v>
      </c>
      <c r="H85">
        <v>3</v>
      </c>
      <c r="I85">
        <v>380</v>
      </c>
      <c r="J85">
        <v>0</v>
      </c>
      <c r="K85" t="s">
        <v>1937</v>
      </c>
      <c r="L85">
        <v>150</v>
      </c>
      <c r="M85">
        <v>1140</v>
      </c>
      <c r="N85">
        <v>450</v>
      </c>
      <c r="O85">
        <v>690</v>
      </c>
      <c r="P85">
        <v>0.60526315789473695</v>
      </c>
      <c r="Q85">
        <v>0</v>
      </c>
      <c r="R85">
        <v>0</v>
      </c>
      <c r="S85">
        <v>3</v>
      </c>
      <c r="T85">
        <v>1140</v>
      </c>
    </row>
    <row r="86" spans="1:20">
      <c r="A86" t="s">
        <v>142</v>
      </c>
      <c r="B86" s="1">
        <v>45309</v>
      </c>
      <c r="C86">
        <v>3</v>
      </c>
      <c r="D86">
        <v>1</v>
      </c>
      <c r="E86" t="s">
        <v>12</v>
      </c>
      <c r="F86" t="s">
        <v>119</v>
      </c>
      <c r="G86" t="s">
        <v>14</v>
      </c>
      <c r="H86">
        <v>3</v>
      </c>
      <c r="I86">
        <v>693</v>
      </c>
      <c r="J86">
        <v>10</v>
      </c>
      <c r="K86" t="s">
        <v>1920</v>
      </c>
      <c r="L86">
        <v>350</v>
      </c>
      <c r="M86">
        <v>2079</v>
      </c>
      <c r="N86">
        <v>1050</v>
      </c>
      <c r="O86">
        <v>1029</v>
      </c>
      <c r="P86">
        <v>0.49494949494949497</v>
      </c>
      <c r="Q86">
        <v>0</v>
      </c>
      <c r="R86">
        <v>0</v>
      </c>
      <c r="S86">
        <v>3</v>
      </c>
      <c r="T86">
        <v>2079</v>
      </c>
    </row>
    <row r="87" spans="1:20">
      <c r="A87" t="s">
        <v>143</v>
      </c>
      <c r="B87" s="1">
        <v>45309</v>
      </c>
      <c r="C87">
        <v>3</v>
      </c>
      <c r="D87">
        <v>1</v>
      </c>
      <c r="E87" t="s">
        <v>12</v>
      </c>
      <c r="F87" t="s">
        <v>97</v>
      </c>
      <c r="G87" t="s">
        <v>20</v>
      </c>
      <c r="H87">
        <v>4</v>
      </c>
      <c r="I87">
        <v>1881</v>
      </c>
      <c r="J87">
        <v>5</v>
      </c>
      <c r="K87" t="s">
        <v>1932</v>
      </c>
      <c r="L87">
        <v>1100</v>
      </c>
      <c r="M87">
        <v>7524</v>
      </c>
      <c r="N87">
        <v>4400</v>
      </c>
      <c r="O87">
        <v>3124</v>
      </c>
      <c r="P87">
        <v>0.41520467836257302</v>
      </c>
      <c r="Q87">
        <v>0</v>
      </c>
      <c r="R87">
        <v>0</v>
      </c>
      <c r="S87">
        <v>4</v>
      </c>
      <c r="T87">
        <v>7524</v>
      </c>
    </row>
    <row r="88" spans="1:20">
      <c r="A88" t="s">
        <v>144</v>
      </c>
      <c r="B88" s="1">
        <v>45309</v>
      </c>
      <c r="C88">
        <v>3</v>
      </c>
      <c r="D88">
        <v>1</v>
      </c>
      <c r="E88" t="s">
        <v>12</v>
      </c>
      <c r="F88" t="s">
        <v>115</v>
      </c>
      <c r="G88" t="s">
        <v>23</v>
      </c>
      <c r="H88">
        <v>1</v>
      </c>
      <c r="I88">
        <v>1080</v>
      </c>
      <c r="J88">
        <v>10</v>
      </c>
      <c r="K88" t="s">
        <v>1926</v>
      </c>
      <c r="L88">
        <v>600</v>
      </c>
      <c r="M88">
        <v>1080</v>
      </c>
      <c r="N88">
        <v>600</v>
      </c>
      <c r="O88">
        <v>480</v>
      </c>
      <c r="P88">
        <v>0.44444444444444398</v>
      </c>
      <c r="Q88">
        <v>0</v>
      </c>
      <c r="R88">
        <v>0</v>
      </c>
      <c r="S88">
        <v>1</v>
      </c>
      <c r="T88">
        <v>1080</v>
      </c>
    </row>
    <row r="89" spans="1:20">
      <c r="A89" t="s">
        <v>145</v>
      </c>
      <c r="B89" s="1">
        <v>45309</v>
      </c>
      <c r="C89">
        <v>3</v>
      </c>
      <c r="D89">
        <v>1</v>
      </c>
      <c r="E89" t="s">
        <v>12</v>
      </c>
      <c r="F89" t="s">
        <v>146</v>
      </c>
      <c r="G89" t="s">
        <v>20</v>
      </c>
      <c r="H89">
        <v>2</v>
      </c>
      <c r="I89">
        <v>630</v>
      </c>
      <c r="J89">
        <v>0</v>
      </c>
      <c r="K89" t="s">
        <v>1934</v>
      </c>
      <c r="L89">
        <v>350</v>
      </c>
      <c r="M89">
        <v>1260</v>
      </c>
      <c r="N89">
        <v>700</v>
      </c>
      <c r="O89">
        <v>560</v>
      </c>
      <c r="P89">
        <v>0.44444444444444398</v>
      </c>
      <c r="Q89">
        <v>0</v>
      </c>
      <c r="R89">
        <v>0</v>
      </c>
      <c r="S89">
        <v>2</v>
      </c>
      <c r="T89">
        <v>1260</v>
      </c>
    </row>
    <row r="90" spans="1:20">
      <c r="A90" t="s">
        <v>147</v>
      </c>
      <c r="B90" s="1">
        <v>45310</v>
      </c>
      <c r="C90">
        <v>3</v>
      </c>
      <c r="D90">
        <v>1</v>
      </c>
      <c r="E90" t="s">
        <v>12</v>
      </c>
      <c r="F90" t="s">
        <v>66</v>
      </c>
      <c r="G90" t="s">
        <v>17</v>
      </c>
      <c r="H90">
        <v>2</v>
      </c>
      <c r="I90">
        <v>1396.5</v>
      </c>
      <c r="J90">
        <v>5</v>
      </c>
      <c r="K90" t="s">
        <v>1941</v>
      </c>
      <c r="L90">
        <v>700</v>
      </c>
      <c r="M90">
        <v>2793</v>
      </c>
      <c r="N90">
        <v>1400</v>
      </c>
      <c r="O90">
        <v>1393</v>
      </c>
      <c r="P90">
        <v>0.49874686716791999</v>
      </c>
      <c r="Q90">
        <v>0</v>
      </c>
      <c r="R90">
        <v>0</v>
      </c>
      <c r="S90">
        <v>2</v>
      </c>
      <c r="T90">
        <v>2793</v>
      </c>
    </row>
    <row r="91" spans="1:20">
      <c r="A91" t="s">
        <v>149</v>
      </c>
      <c r="B91" s="1">
        <v>45310</v>
      </c>
      <c r="C91">
        <v>3</v>
      </c>
      <c r="D91">
        <v>1</v>
      </c>
      <c r="E91" t="s">
        <v>12</v>
      </c>
      <c r="F91" t="s">
        <v>16</v>
      </c>
      <c r="G91" t="s">
        <v>17</v>
      </c>
      <c r="H91">
        <v>4</v>
      </c>
      <c r="I91">
        <v>520</v>
      </c>
      <c r="J91">
        <v>0</v>
      </c>
      <c r="K91" t="s">
        <v>1945</v>
      </c>
      <c r="L91">
        <v>250</v>
      </c>
      <c r="M91">
        <v>2080</v>
      </c>
      <c r="N91">
        <v>1000</v>
      </c>
      <c r="O91">
        <v>1080</v>
      </c>
      <c r="P91">
        <v>0.51923076923076905</v>
      </c>
      <c r="Q91">
        <v>0</v>
      </c>
      <c r="R91">
        <v>0</v>
      </c>
      <c r="S91">
        <v>4</v>
      </c>
      <c r="T91">
        <v>2080</v>
      </c>
    </row>
    <row r="92" spans="1:20">
      <c r="A92" t="s">
        <v>150</v>
      </c>
      <c r="B92" s="1">
        <v>45310</v>
      </c>
      <c r="C92">
        <v>3</v>
      </c>
      <c r="D92">
        <v>1</v>
      </c>
      <c r="E92" t="s">
        <v>12</v>
      </c>
      <c r="F92" t="s">
        <v>86</v>
      </c>
      <c r="G92" t="s">
        <v>17</v>
      </c>
      <c r="H92">
        <v>5</v>
      </c>
      <c r="I92">
        <v>940</v>
      </c>
      <c r="J92">
        <v>0</v>
      </c>
      <c r="K92" t="s">
        <v>1944</v>
      </c>
      <c r="L92">
        <v>450</v>
      </c>
      <c r="M92">
        <v>4700</v>
      </c>
      <c r="N92">
        <v>2250</v>
      </c>
      <c r="O92">
        <v>2450</v>
      </c>
      <c r="P92">
        <v>0.52127659574468099</v>
      </c>
      <c r="Q92">
        <v>0</v>
      </c>
      <c r="R92">
        <v>0</v>
      </c>
      <c r="S92">
        <v>5</v>
      </c>
      <c r="T92">
        <v>4700</v>
      </c>
    </row>
    <row r="93" spans="1:20">
      <c r="A93" t="s">
        <v>151</v>
      </c>
      <c r="B93" s="1">
        <v>45310</v>
      </c>
      <c r="C93">
        <v>3</v>
      </c>
      <c r="D93">
        <v>1</v>
      </c>
      <c r="E93" t="s">
        <v>12</v>
      </c>
      <c r="F93" t="s">
        <v>16</v>
      </c>
      <c r="G93" t="s">
        <v>17</v>
      </c>
      <c r="H93">
        <v>4</v>
      </c>
      <c r="I93">
        <v>520</v>
      </c>
      <c r="J93">
        <v>0</v>
      </c>
      <c r="K93" t="s">
        <v>1945</v>
      </c>
      <c r="L93">
        <v>250</v>
      </c>
      <c r="M93">
        <v>2080</v>
      </c>
      <c r="N93">
        <v>1000</v>
      </c>
      <c r="O93">
        <v>1080</v>
      </c>
      <c r="P93">
        <v>0.51923076923076905</v>
      </c>
      <c r="Q93">
        <v>0</v>
      </c>
      <c r="R93">
        <v>0</v>
      </c>
      <c r="S93">
        <v>4</v>
      </c>
      <c r="T93">
        <v>2080</v>
      </c>
    </row>
    <row r="94" spans="1:20">
      <c r="A94" t="s">
        <v>152</v>
      </c>
      <c r="B94" s="1">
        <v>45311</v>
      </c>
      <c r="C94">
        <v>3</v>
      </c>
      <c r="D94">
        <v>1</v>
      </c>
      <c r="E94" t="s">
        <v>12</v>
      </c>
      <c r="F94" t="s">
        <v>68</v>
      </c>
      <c r="G94" t="s">
        <v>26</v>
      </c>
      <c r="H94">
        <v>2</v>
      </c>
      <c r="I94">
        <v>380</v>
      </c>
      <c r="J94">
        <v>0</v>
      </c>
      <c r="K94" t="s">
        <v>1937</v>
      </c>
      <c r="L94">
        <v>150</v>
      </c>
      <c r="M94">
        <v>760</v>
      </c>
      <c r="N94">
        <v>300</v>
      </c>
      <c r="O94">
        <v>460</v>
      </c>
      <c r="P94">
        <v>0.60526315789473695</v>
      </c>
      <c r="Q94">
        <v>0</v>
      </c>
      <c r="R94">
        <v>0</v>
      </c>
      <c r="S94">
        <v>2</v>
      </c>
      <c r="T94">
        <v>760</v>
      </c>
    </row>
    <row r="95" spans="1:20">
      <c r="A95" t="s">
        <v>154</v>
      </c>
      <c r="B95" s="1">
        <v>45311</v>
      </c>
      <c r="C95">
        <v>3</v>
      </c>
      <c r="D95">
        <v>1</v>
      </c>
      <c r="E95" t="s">
        <v>12</v>
      </c>
      <c r="F95" t="s">
        <v>86</v>
      </c>
      <c r="G95" t="s">
        <v>17</v>
      </c>
      <c r="H95">
        <v>1</v>
      </c>
      <c r="I95">
        <v>940</v>
      </c>
      <c r="J95">
        <v>0</v>
      </c>
      <c r="K95" t="s">
        <v>1944</v>
      </c>
      <c r="L95">
        <v>450</v>
      </c>
      <c r="M95">
        <v>940</v>
      </c>
      <c r="N95">
        <v>450</v>
      </c>
      <c r="O95">
        <v>490</v>
      </c>
      <c r="P95">
        <v>0.52127659574468099</v>
      </c>
      <c r="Q95">
        <v>0</v>
      </c>
      <c r="R95">
        <v>0</v>
      </c>
      <c r="S95">
        <v>1</v>
      </c>
      <c r="T95">
        <v>940</v>
      </c>
    </row>
    <row r="96" spans="1:20">
      <c r="A96" t="s">
        <v>155</v>
      </c>
      <c r="B96" s="1">
        <v>45311</v>
      </c>
      <c r="C96">
        <v>3</v>
      </c>
      <c r="D96">
        <v>1</v>
      </c>
      <c r="E96" t="s">
        <v>12</v>
      </c>
      <c r="F96" t="s">
        <v>31</v>
      </c>
      <c r="G96" t="s">
        <v>23</v>
      </c>
      <c r="H96">
        <v>2</v>
      </c>
      <c r="I96">
        <v>1400</v>
      </c>
      <c r="J96">
        <v>0</v>
      </c>
      <c r="K96" t="s">
        <v>1930</v>
      </c>
      <c r="L96">
        <v>700</v>
      </c>
      <c r="M96">
        <v>2800</v>
      </c>
      <c r="N96">
        <v>1400</v>
      </c>
      <c r="O96">
        <v>1400</v>
      </c>
      <c r="P96">
        <v>0.5</v>
      </c>
      <c r="Q96">
        <v>0</v>
      </c>
      <c r="R96">
        <v>0</v>
      </c>
      <c r="S96">
        <v>2</v>
      </c>
      <c r="T96">
        <v>2800</v>
      </c>
    </row>
    <row r="97" spans="1:20">
      <c r="A97" t="s">
        <v>156</v>
      </c>
      <c r="B97" s="1">
        <v>45311</v>
      </c>
      <c r="C97">
        <v>3</v>
      </c>
      <c r="D97">
        <v>1</v>
      </c>
      <c r="E97" t="s">
        <v>12</v>
      </c>
      <c r="F97" t="s">
        <v>64</v>
      </c>
      <c r="G97" t="s">
        <v>14</v>
      </c>
      <c r="H97">
        <v>3</v>
      </c>
      <c r="I97">
        <v>2244</v>
      </c>
      <c r="J97">
        <v>15</v>
      </c>
      <c r="K97" t="s">
        <v>1923</v>
      </c>
      <c r="L97">
        <v>1200</v>
      </c>
      <c r="M97">
        <v>6732</v>
      </c>
      <c r="N97">
        <v>3600</v>
      </c>
      <c r="O97">
        <v>3132</v>
      </c>
      <c r="P97">
        <v>0.46524064171122997</v>
      </c>
      <c r="Q97">
        <v>0</v>
      </c>
      <c r="R97">
        <v>0</v>
      </c>
      <c r="S97">
        <v>3</v>
      </c>
      <c r="T97">
        <v>6732</v>
      </c>
    </row>
    <row r="98" spans="1:20">
      <c r="A98" t="s">
        <v>157</v>
      </c>
      <c r="B98" s="1">
        <v>45312</v>
      </c>
      <c r="C98">
        <v>3</v>
      </c>
      <c r="D98">
        <v>1</v>
      </c>
      <c r="E98" t="s">
        <v>12</v>
      </c>
      <c r="F98" t="s">
        <v>119</v>
      </c>
      <c r="G98" t="s">
        <v>14</v>
      </c>
      <c r="H98">
        <v>1</v>
      </c>
      <c r="I98">
        <v>770</v>
      </c>
      <c r="J98">
        <v>0</v>
      </c>
      <c r="K98" t="s">
        <v>1920</v>
      </c>
      <c r="L98">
        <v>350</v>
      </c>
      <c r="M98">
        <v>770</v>
      </c>
      <c r="N98">
        <v>350</v>
      </c>
      <c r="O98">
        <v>420</v>
      </c>
      <c r="P98">
        <v>0.54545454545454497</v>
      </c>
      <c r="Q98">
        <v>0</v>
      </c>
      <c r="R98">
        <v>0</v>
      </c>
      <c r="S98">
        <v>1</v>
      </c>
      <c r="T98">
        <v>770</v>
      </c>
    </row>
    <row r="99" spans="1:20">
      <c r="A99" t="s">
        <v>159</v>
      </c>
      <c r="B99" s="1">
        <v>45312</v>
      </c>
      <c r="C99">
        <v>3</v>
      </c>
      <c r="D99">
        <v>1</v>
      </c>
      <c r="E99" t="s">
        <v>12</v>
      </c>
      <c r="F99" t="s">
        <v>97</v>
      </c>
      <c r="G99" t="s">
        <v>20</v>
      </c>
      <c r="H99">
        <v>5</v>
      </c>
      <c r="I99">
        <v>1980</v>
      </c>
      <c r="J99">
        <v>0</v>
      </c>
      <c r="K99" t="s">
        <v>1932</v>
      </c>
      <c r="L99">
        <v>1100</v>
      </c>
      <c r="M99">
        <v>9900</v>
      </c>
      <c r="N99">
        <v>5500</v>
      </c>
      <c r="O99">
        <v>4400</v>
      </c>
      <c r="P99">
        <v>0.44444444444444398</v>
      </c>
      <c r="Q99">
        <v>0</v>
      </c>
      <c r="R99">
        <v>0</v>
      </c>
      <c r="S99">
        <v>5</v>
      </c>
      <c r="T99">
        <v>9900</v>
      </c>
    </row>
    <row r="100" spans="1:20">
      <c r="A100" t="s">
        <v>160</v>
      </c>
      <c r="B100" s="1">
        <v>45312</v>
      </c>
      <c r="C100">
        <v>3</v>
      </c>
      <c r="D100">
        <v>1</v>
      </c>
      <c r="E100" t="s">
        <v>12</v>
      </c>
      <c r="F100" t="s">
        <v>45</v>
      </c>
      <c r="G100" t="s">
        <v>26</v>
      </c>
      <c r="H100">
        <v>3</v>
      </c>
      <c r="I100">
        <v>4500</v>
      </c>
      <c r="J100">
        <v>0</v>
      </c>
      <c r="K100" t="s">
        <v>1938</v>
      </c>
      <c r="L100">
        <v>1800</v>
      </c>
      <c r="M100">
        <v>13500</v>
      </c>
      <c r="N100">
        <v>5400</v>
      </c>
      <c r="O100">
        <v>8100</v>
      </c>
      <c r="P100">
        <v>0.6</v>
      </c>
      <c r="Q100">
        <v>0</v>
      </c>
      <c r="R100">
        <v>0</v>
      </c>
      <c r="S100">
        <v>3</v>
      </c>
      <c r="T100">
        <v>13500</v>
      </c>
    </row>
    <row r="101" spans="1:20">
      <c r="A101" t="s">
        <v>161</v>
      </c>
      <c r="B101" s="1">
        <v>45312</v>
      </c>
      <c r="C101">
        <v>3</v>
      </c>
      <c r="D101">
        <v>1</v>
      </c>
      <c r="E101" t="s">
        <v>12</v>
      </c>
      <c r="F101" t="s">
        <v>19</v>
      </c>
      <c r="G101" t="s">
        <v>20</v>
      </c>
      <c r="H101">
        <v>3</v>
      </c>
      <c r="I101">
        <v>1377</v>
      </c>
      <c r="J101">
        <v>15</v>
      </c>
      <c r="K101" t="s">
        <v>1931</v>
      </c>
      <c r="L101">
        <v>900</v>
      </c>
      <c r="M101">
        <v>4131</v>
      </c>
      <c r="N101">
        <v>2700</v>
      </c>
      <c r="O101">
        <v>1431</v>
      </c>
      <c r="P101">
        <v>0.34640522875816998</v>
      </c>
      <c r="Q101">
        <v>0</v>
      </c>
      <c r="R101">
        <v>0</v>
      </c>
      <c r="S101">
        <v>3</v>
      </c>
      <c r="T101">
        <v>4131</v>
      </c>
    </row>
    <row r="102" spans="1:20">
      <c r="A102" t="s">
        <v>162</v>
      </c>
      <c r="B102" s="1">
        <v>45312</v>
      </c>
      <c r="C102">
        <v>3</v>
      </c>
      <c r="D102">
        <v>1</v>
      </c>
      <c r="E102" t="s">
        <v>12</v>
      </c>
      <c r="F102" t="s">
        <v>31</v>
      </c>
      <c r="G102" t="s">
        <v>23</v>
      </c>
      <c r="H102">
        <v>4</v>
      </c>
      <c r="I102">
        <v>1330</v>
      </c>
      <c r="J102">
        <v>5</v>
      </c>
      <c r="K102" t="s">
        <v>1930</v>
      </c>
      <c r="L102">
        <v>700</v>
      </c>
      <c r="M102">
        <v>5320</v>
      </c>
      <c r="N102">
        <v>2800</v>
      </c>
      <c r="O102">
        <v>2520</v>
      </c>
      <c r="P102">
        <v>0.47368421052631599</v>
      </c>
      <c r="Q102">
        <v>0</v>
      </c>
      <c r="R102">
        <v>0</v>
      </c>
      <c r="S102">
        <v>4</v>
      </c>
      <c r="T102">
        <v>5320</v>
      </c>
    </row>
    <row r="103" spans="1:20">
      <c r="A103" t="s">
        <v>163</v>
      </c>
      <c r="B103" s="1">
        <v>45313</v>
      </c>
      <c r="C103">
        <v>4</v>
      </c>
      <c r="D103">
        <v>1</v>
      </c>
      <c r="E103" t="s">
        <v>12</v>
      </c>
      <c r="F103" t="s">
        <v>28</v>
      </c>
      <c r="G103" t="s">
        <v>26</v>
      </c>
      <c r="H103">
        <v>3</v>
      </c>
      <c r="I103">
        <v>1275</v>
      </c>
      <c r="J103">
        <v>15</v>
      </c>
      <c r="K103" t="s">
        <v>1939</v>
      </c>
      <c r="L103">
        <v>600</v>
      </c>
      <c r="M103">
        <v>3825</v>
      </c>
      <c r="N103">
        <v>1800</v>
      </c>
      <c r="O103">
        <v>2025</v>
      </c>
      <c r="P103">
        <v>0.52941176470588203</v>
      </c>
      <c r="Q103">
        <v>0</v>
      </c>
      <c r="R103">
        <v>0</v>
      </c>
      <c r="S103">
        <v>3</v>
      </c>
      <c r="T103">
        <v>3825</v>
      </c>
    </row>
    <row r="104" spans="1:20">
      <c r="A104" t="s">
        <v>165</v>
      </c>
      <c r="B104" s="1">
        <v>45313</v>
      </c>
      <c r="C104">
        <v>4</v>
      </c>
      <c r="D104">
        <v>1</v>
      </c>
      <c r="E104" t="s">
        <v>12</v>
      </c>
      <c r="F104" t="s">
        <v>58</v>
      </c>
      <c r="G104" t="s">
        <v>23</v>
      </c>
      <c r="H104">
        <v>5</v>
      </c>
      <c r="I104">
        <v>850</v>
      </c>
      <c r="J104">
        <v>15</v>
      </c>
      <c r="K104" t="s">
        <v>1927</v>
      </c>
      <c r="L104">
        <v>500</v>
      </c>
      <c r="M104">
        <v>4250</v>
      </c>
      <c r="N104">
        <v>2500</v>
      </c>
      <c r="O104">
        <v>1750</v>
      </c>
      <c r="P104">
        <v>0.41176470588235298</v>
      </c>
      <c r="Q104">
        <v>0</v>
      </c>
      <c r="R104">
        <v>0</v>
      </c>
      <c r="S104">
        <v>5</v>
      </c>
      <c r="T104">
        <v>4250</v>
      </c>
    </row>
    <row r="105" spans="1:20">
      <c r="A105" t="s">
        <v>166</v>
      </c>
      <c r="B105" s="1">
        <v>45313</v>
      </c>
      <c r="C105">
        <v>4</v>
      </c>
      <c r="D105">
        <v>1</v>
      </c>
      <c r="E105" t="s">
        <v>12</v>
      </c>
      <c r="F105" t="s">
        <v>64</v>
      </c>
      <c r="G105" t="s">
        <v>14</v>
      </c>
      <c r="H105">
        <v>5</v>
      </c>
      <c r="I105">
        <v>2640</v>
      </c>
      <c r="J105">
        <v>0</v>
      </c>
      <c r="K105" t="s">
        <v>1923</v>
      </c>
      <c r="L105">
        <v>1200</v>
      </c>
      <c r="M105">
        <v>13200</v>
      </c>
      <c r="N105">
        <v>6000</v>
      </c>
      <c r="O105">
        <v>7200</v>
      </c>
      <c r="P105">
        <v>0.54545454545454497</v>
      </c>
      <c r="Q105">
        <v>0</v>
      </c>
      <c r="R105">
        <v>0</v>
      </c>
      <c r="S105">
        <v>5</v>
      </c>
      <c r="T105">
        <v>13200</v>
      </c>
    </row>
    <row r="106" spans="1:20">
      <c r="A106" t="s">
        <v>167</v>
      </c>
      <c r="B106" s="1">
        <v>45314</v>
      </c>
      <c r="C106">
        <v>4</v>
      </c>
      <c r="D106">
        <v>1</v>
      </c>
      <c r="E106" t="s">
        <v>12</v>
      </c>
      <c r="F106" t="s">
        <v>115</v>
      </c>
      <c r="G106" t="s">
        <v>23</v>
      </c>
      <c r="H106">
        <v>5</v>
      </c>
      <c r="I106">
        <v>1200</v>
      </c>
      <c r="J106">
        <v>0</v>
      </c>
      <c r="K106" t="s">
        <v>1926</v>
      </c>
      <c r="L106">
        <v>600</v>
      </c>
      <c r="M106">
        <v>6000</v>
      </c>
      <c r="N106">
        <v>3000</v>
      </c>
      <c r="O106">
        <v>3000</v>
      </c>
      <c r="P106">
        <v>0.5</v>
      </c>
      <c r="Q106">
        <v>0</v>
      </c>
      <c r="R106">
        <v>0</v>
      </c>
      <c r="S106">
        <v>5</v>
      </c>
      <c r="T106">
        <v>6000</v>
      </c>
    </row>
    <row r="107" spans="1:20">
      <c r="A107" t="s">
        <v>169</v>
      </c>
      <c r="B107" s="1">
        <v>45314</v>
      </c>
      <c r="C107">
        <v>4</v>
      </c>
      <c r="D107">
        <v>1</v>
      </c>
      <c r="E107" t="s">
        <v>12</v>
      </c>
      <c r="F107" t="s">
        <v>35</v>
      </c>
      <c r="G107" t="s">
        <v>17</v>
      </c>
      <c r="H107">
        <v>3</v>
      </c>
      <c r="I107">
        <v>2677.5</v>
      </c>
      <c r="J107">
        <v>15</v>
      </c>
      <c r="K107" t="s">
        <v>1942</v>
      </c>
      <c r="L107">
        <v>1500</v>
      </c>
      <c r="M107">
        <v>8032.5</v>
      </c>
      <c r="N107">
        <v>4500</v>
      </c>
      <c r="O107">
        <v>3532.5</v>
      </c>
      <c r="P107">
        <v>0.43977591036414598</v>
      </c>
      <c r="Q107">
        <v>0</v>
      </c>
      <c r="R107">
        <v>0</v>
      </c>
      <c r="S107">
        <v>3</v>
      </c>
      <c r="T107">
        <v>8032.5</v>
      </c>
    </row>
    <row r="108" spans="1:20">
      <c r="A108" t="s">
        <v>170</v>
      </c>
      <c r="B108" s="1">
        <v>45314</v>
      </c>
      <c r="C108">
        <v>4</v>
      </c>
      <c r="D108">
        <v>1</v>
      </c>
      <c r="E108" t="s">
        <v>12</v>
      </c>
      <c r="F108" t="s">
        <v>66</v>
      </c>
      <c r="G108" t="s">
        <v>17</v>
      </c>
      <c r="H108">
        <v>1</v>
      </c>
      <c r="I108">
        <v>1470</v>
      </c>
      <c r="J108">
        <v>0</v>
      </c>
      <c r="K108" t="s">
        <v>1941</v>
      </c>
      <c r="L108">
        <v>700</v>
      </c>
      <c r="M108">
        <v>1470</v>
      </c>
      <c r="N108">
        <v>700</v>
      </c>
      <c r="O108">
        <v>770</v>
      </c>
      <c r="P108">
        <v>0.52380952380952395</v>
      </c>
      <c r="Q108">
        <v>0</v>
      </c>
      <c r="R108">
        <v>0</v>
      </c>
      <c r="S108">
        <v>1</v>
      </c>
      <c r="T108">
        <v>1470</v>
      </c>
    </row>
    <row r="109" spans="1:20">
      <c r="A109" t="s">
        <v>171</v>
      </c>
      <c r="B109" s="1">
        <v>45314</v>
      </c>
      <c r="C109">
        <v>4</v>
      </c>
      <c r="D109">
        <v>1</v>
      </c>
      <c r="E109" t="s">
        <v>12</v>
      </c>
      <c r="F109" t="s">
        <v>68</v>
      </c>
      <c r="G109" t="s">
        <v>26</v>
      </c>
      <c r="H109">
        <v>1</v>
      </c>
      <c r="I109">
        <v>380</v>
      </c>
      <c r="J109">
        <v>0</v>
      </c>
      <c r="K109" t="s">
        <v>1937</v>
      </c>
      <c r="L109">
        <v>150</v>
      </c>
      <c r="M109">
        <v>380</v>
      </c>
      <c r="N109">
        <v>150</v>
      </c>
      <c r="O109">
        <v>230</v>
      </c>
      <c r="P109">
        <v>0.60526315789473695</v>
      </c>
      <c r="Q109">
        <v>0</v>
      </c>
      <c r="R109">
        <v>0</v>
      </c>
      <c r="S109">
        <v>1</v>
      </c>
      <c r="T109">
        <v>380</v>
      </c>
    </row>
    <row r="110" spans="1:20">
      <c r="A110" t="s">
        <v>172</v>
      </c>
      <c r="B110" s="1">
        <v>45314</v>
      </c>
      <c r="C110">
        <v>4</v>
      </c>
      <c r="D110">
        <v>1</v>
      </c>
      <c r="E110" t="s">
        <v>12</v>
      </c>
      <c r="F110" t="s">
        <v>45</v>
      </c>
      <c r="G110" t="s">
        <v>26</v>
      </c>
      <c r="H110">
        <v>2</v>
      </c>
      <c r="I110">
        <v>4275</v>
      </c>
      <c r="J110">
        <v>5</v>
      </c>
      <c r="K110" t="s">
        <v>1938</v>
      </c>
      <c r="L110">
        <v>1800</v>
      </c>
      <c r="M110">
        <v>8550</v>
      </c>
      <c r="N110">
        <v>3600</v>
      </c>
      <c r="O110">
        <v>4950</v>
      </c>
      <c r="P110">
        <v>0.57894736842105299</v>
      </c>
      <c r="Q110">
        <v>0</v>
      </c>
      <c r="R110">
        <v>0</v>
      </c>
      <c r="S110">
        <v>2</v>
      </c>
      <c r="T110">
        <v>8550</v>
      </c>
    </row>
    <row r="111" spans="1:20">
      <c r="A111" t="s">
        <v>173</v>
      </c>
      <c r="B111" s="1">
        <v>45314</v>
      </c>
      <c r="C111">
        <v>4</v>
      </c>
      <c r="D111">
        <v>1</v>
      </c>
      <c r="E111" t="s">
        <v>12</v>
      </c>
      <c r="F111" t="s">
        <v>115</v>
      </c>
      <c r="G111" t="s">
        <v>23</v>
      </c>
      <c r="H111">
        <v>1</v>
      </c>
      <c r="I111">
        <v>1020</v>
      </c>
      <c r="J111">
        <v>15</v>
      </c>
      <c r="K111" t="s">
        <v>1926</v>
      </c>
      <c r="L111">
        <v>600</v>
      </c>
      <c r="M111">
        <v>1020</v>
      </c>
      <c r="N111">
        <v>600</v>
      </c>
      <c r="O111">
        <v>420</v>
      </c>
      <c r="P111">
        <v>0.41176470588235298</v>
      </c>
      <c r="Q111">
        <v>0</v>
      </c>
      <c r="R111">
        <v>0</v>
      </c>
      <c r="S111">
        <v>1</v>
      </c>
      <c r="T111">
        <v>1020</v>
      </c>
    </row>
    <row r="112" spans="1:20">
      <c r="A112" t="s">
        <v>174</v>
      </c>
      <c r="B112" s="1">
        <v>45314</v>
      </c>
      <c r="C112">
        <v>4</v>
      </c>
      <c r="D112">
        <v>1</v>
      </c>
      <c r="E112" t="s">
        <v>12</v>
      </c>
      <c r="F112" t="s">
        <v>31</v>
      </c>
      <c r="G112" t="s">
        <v>23</v>
      </c>
      <c r="H112">
        <v>4</v>
      </c>
      <c r="I112">
        <v>1260</v>
      </c>
      <c r="J112">
        <v>10</v>
      </c>
      <c r="K112" t="s">
        <v>1930</v>
      </c>
      <c r="L112">
        <v>700</v>
      </c>
      <c r="M112">
        <v>5040</v>
      </c>
      <c r="N112">
        <v>2800</v>
      </c>
      <c r="O112">
        <v>2240</v>
      </c>
      <c r="P112">
        <v>0.44444444444444398</v>
      </c>
      <c r="Q112">
        <v>0</v>
      </c>
      <c r="R112">
        <v>0</v>
      </c>
      <c r="S112">
        <v>4</v>
      </c>
      <c r="T112">
        <v>5040</v>
      </c>
    </row>
    <row r="113" spans="1:20">
      <c r="A113" t="s">
        <v>175</v>
      </c>
      <c r="B113" s="1">
        <v>45315</v>
      </c>
      <c r="C113">
        <v>4</v>
      </c>
      <c r="D113">
        <v>1</v>
      </c>
      <c r="E113" t="s">
        <v>12</v>
      </c>
      <c r="F113" t="s">
        <v>16</v>
      </c>
      <c r="G113" t="s">
        <v>17</v>
      </c>
      <c r="H113">
        <v>2</v>
      </c>
      <c r="I113">
        <v>494</v>
      </c>
      <c r="J113">
        <v>5</v>
      </c>
      <c r="K113" t="s">
        <v>1945</v>
      </c>
      <c r="L113">
        <v>250</v>
      </c>
      <c r="M113">
        <v>988</v>
      </c>
      <c r="N113">
        <v>500</v>
      </c>
      <c r="O113">
        <v>488</v>
      </c>
      <c r="P113">
        <v>0.49392712550607298</v>
      </c>
      <c r="Q113">
        <v>0</v>
      </c>
      <c r="R113">
        <v>0</v>
      </c>
      <c r="S113">
        <v>2</v>
      </c>
      <c r="T113">
        <v>988</v>
      </c>
    </row>
    <row r="114" spans="1:20">
      <c r="A114" t="s">
        <v>177</v>
      </c>
      <c r="B114" s="1">
        <v>45315</v>
      </c>
      <c r="C114">
        <v>4</v>
      </c>
      <c r="D114">
        <v>1</v>
      </c>
      <c r="E114" t="s">
        <v>12</v>
      </c>
      <c r="F114" t="s">
        <v>146</v>
      </c>
      <c r="G114" t="s">
        <v>20</v>
      </c>
      <c r="H114">
        <v>5</v>
      </c>
      <c r="I114">
        <v>630</v>
      </c>
      <c r="J114">
        <v>0</v>
      </c>
      <c r="K114" t="s">
        <v>1934</v>
      </c>
      <c r="L114">
        <v>350</v>
      </c>
      <c r="M114">
        <v>3150</v>
      </c>
      <c r="N114">
        <v>1750</v>
      </c>
      <c r="O114">
        <v>1400</v>
      </c>
      <c r="P114">
        <v>0.44444444444444398</v>
      </c>
      <c r="Q114">
        <v>0</v>
      </c>
      <c r="R114">
        <v>0</v>
      </c>
      <c r="S114">
        <v>5</v>
      </c>
      <c r="T114">
        <v>3150</v>
      </c>
    </row>
    <row r="115" spans="1:20">
      <c r="A115" t="s">
        <v>178</v>
      </c>
      <c r="B115" s="1">
        <v>45315</v>
      </c>
      <c r="C115">
        <v>4</v>
      </c>
      <c r="D115">
        <v>1</v>
      </c>
      <c r="E115" t="s">
        <v>12</v>
      </c>
      <c r="F115" t="s">
        <v>58</v>
      </c>
      <c r="G115" t="s">
        <v>23</v>
      </c>
      <c r="H115">
        <v>3</v>
      </c>
      <c r="I115">
        <v>1000</v>
      </c>
      <c r="J115">
        <v>0</v>
      </c>
      <c r="K115" t="s">
        <v>1927</v>
      </c>
      <c r="L115">
        <v>500</v>
      </c>
      <c r="M115">
        <v>3000</v>
      </c>
      <c r="N115">
        <v>1500</v>
      </c>
      <c r="O115">
        <v>1500</v>
      </c>
      <c r="P115">
        <v>0.5</v>
      </c>
      <c r="Q115">
        <v>0</v>
      </c>
      <c r="R115">
        <v>0</v>
      </c>
      <c r="S115">
        <v>3</v>
      </c>
      <c r="T115">
        <v>3000</v>
      </c>
    </row>
    <row r="116" spans="1:20">
      <c r="A116" t="s">
        <v>179</v>
      </c>
      <c r="B116" s="1">
        <v>45316</v>
      </c>
      <c r="C116">
        <v>4</v>
      </c>
      <c r="D116">
        <v>1</v>
      </c>
      <c r="E116" t="s">
        <v>12</v>
      </c>
      <c r="F116" t="s">
        <v>51</v>
      </c>
      <c r="G116" t="s">
        <v>26</v>
      </c>
      <c r="H116">
        <v>4</v>
      </c>
      <c r="I116">
        <v>425</v>
      </c>
      <c r="J116">
        <v>15</v>
      </c>
      <c r="K116" t="s">
        <v>1936</v>
      </c>
      <c r="L116">
        <v>200</v>
      </c>
      <c r="M116">
        <v>1700</v>
      </c>
      <c r="N116">
        <v>800</v>
      </c>
      <c r="O116">
        <v>900</v>
      </c>
      <c r="P116">
        <v>0.52941176470588203</v>
      </c>
      <c r="Q116">
        <v>0</v>
      </c>
      <c r="R116">
        <v>0</v>
      </c>
      <c r="S116">
        <v>4</v>
      </c>
      <c r="T116">
        <v>1700</v>
      </c>
    </row>
    <row r="117" spans="1:20">
      <c r="A117" t="s">
        <v>181</v>
      </c>
      <c r="B117" s="1">
        <v>45316</v>
      </c>
      <c r="C117">
        <v>4</v>
      </c>
      <c r="D117">
        <v>1</v>
      </c>
      <c r="E117" t="s">
        <v>12</v>
      </c>
      <c r="F117" t="s">
        <v>16</v>
      </c>
      <c r="G117" t="s">
        <v>17</v>
      </c>
      <c r="H117">
        <v>4</v>
      </c>
      <c r="I117">
        <v>520</v>
      </c>
      <c r="J117">
        <v>0</v>
      </c>
      <c r="K117" t="s">
        <v>1945</v>
      </c>
      <c r="L117">
        <v>250</v>
      </c>
      <c r="M117">
        <v>2080</v>
      </c>
      <c r="N117">
        <v>1000</v>
      </c>
      <c r="O117">
        <v>1080</v>
      </c>
      <c r="P117">
        <v>0.51923076923076905</v>
      </c>
      <c r="Q117">
        <v>0</v>
      </c>
      <c r="R117">
        <v>0</v>
      </c>
      <c r="S117">
        <v>4</v>
      </c>
      <c r="T117">
        <v>2080</v>
      </c>
    </row>
    <row r="118" spans="1:20">
      <c r="A118" t="s">
        <v>182</v>
      </c>
      <c r="B118" s="1">
        <v>45316</v>
      </c>
      <c r="C118">
        <v>4</v>
      </c>
      <c r="D118">
        <v>1</v>
      </c>
      <c r="E118" t="s">
        <v>12</v>
      </c>
      <c r="F118" t="s">
        <v>58</v>
      </c>
      <c r="G118" t="s">
        <v>23</v>
      </c>
      <c r="H118">
        <v>5</v>
      </c>
      <c r="I118">
        <v>1000</v>
      </c>
      <c r="J118">
        <v>0</v>
      </c>
      <c r="K118" t="s">
        <v>1927</v>
      </c>
      <c r="L118">
        <v>500</v>
      </c>
      <c r="M118">
        <v>5000</v>
      </c>
      <c r="N118">
        <v>2500</v>
      </c>
      <c r="O118">
        <v>2500</v>
      </c>
      <c r="P118">
        <v>0.5</v>
      </c>
      <c r="Q118">
        <v>0</v>
      </c>
      <c r="R118">
        <v>0</v>
      </c>
      <c r="S118">
        <v>5</v>
      </c>
      <c r="T118">
        <v>5000</v>
      </c>
    </row>
    <row r="119" spans="1:20">
      <c r="A119" t="s">
        <v>183</v>
      </c>
      <c r="B119" s="1">
        <v>45316</v>
      </c>
      <c r="C119">
        <v>4</v>
      </c>
      <c r="D119">
        <v>1</v>
      </c>
      <c r="E119" t="s">
        <v>12</v>
      </c>
      <c r="F119" t="s">
        <v>19</v>
      </c>
      <c r="G119" t="s">
        <v>20</v>
      </c>
      <c r="H119">
        <v>1</v>
      </c>
      <c r="I119">
        <v>1620</v>
      </c>
      <c r="J119">
        <v>0</v>
      </c>
      <c r="K119" t="s">
        <v>1931</v>
      </c>
      <c r="L119">
        <v>900</v>
      </c>
      <c r="M119">
        <v>1620</v>
      </c>
      <c r="N119">
        <v>900</v>
      </c>
      <c r="O119">
        <v>720</v>
      </c>
      <c r="P119">
        <v>0.44444444444444398</v>
      </c>
      <c r="Q119">
        <v>0</v>
      </c>
      <c r="R119">
        <v>0</v>
      </c>
      <c r="S119">
        <v>1</v>
      </c>
      <c r="T119">
        <v>1620</v>
      </c>
    </row>
    <row r="120" spans="1:20">
      <c r="A120" t="s">
        <v>184</v>
      </c>
      <c r="B120" s="1">
        <v>45316</v>
      </c>
      <c r="C120">
        <v>4</v>
      </c>
      <c r="D120">
        <v>1</v>
      </c>
      <c r="E120" t="s">
        <v>12</v>
      </c>
      <c r="F120" t="s">
        <v>115</v>
      </c>
      <c r="G120" t="s">
        <v>23</v>
      </c>
      <c r="H120">
        <v>5</v>
      </c>
      <c r="I120">
        <v>1020</v>
      </c>
      <c r="J120">
        <v>15</v>
      </c>
      <c r="K120" t="s">
        <v>1926</v>
      </c>
      <c r="L120">
        <v>600</v>
      </c>
      <c r="M120">
        <v>5100</v>
      </c>
      <c r="N120">
        <v>3000</v>
      </c>
      <c r="O120">
        <v>2100</v>
      </c>
      <c r="P120">
        <v>0.41176470588235298</v>
      </c>
      <c r="Q120">
        <v>0</v>
      </c>
      <c r="R120">
        <v>0</v>
      </c>
      <c r="S120">
        <v>5</v>
      </c>
      <c r="T120">
        <v>5100</v>
      </c>
    </row>
    <row r="121" spans="1:20">
      <c r="A121" t="s">
        <v>185</v>
      </c>
      <c r="B121" s="1">
        <v>45316</v>
      </c>
      <c r="C121">
        <v>4</v>
      </c>
      <c r="D121">
        <v>1</v>
      </c>
      <c r="E121" t="s">
        <v>12</v>
      </c>
      <c r="F121" t="s">
        <v>13</v>
      </c>
      <c r="G121" t="s">
        <v>14</v>
      </c>
      <c r="H121">
        <v>4</v>
      </c>
      <c r="I121">
        <v>432</v>
      </c>
      <c r="J121">
        <v>10</v>
      </c>
      <c r="K121" t="s">
        <v>1925</v>
      </c>
      <c r="L121">
        <v>220</v>
      </c>
      <c r="M121">
        <v>1728</v>
      </c>
      <c r="N121">
        <v>880</v>
      </c>
      <c r="O121">
        <v>848</v>
      </c>
      <c r="P121">
        <v>0.49074074074074098</v>
      </c>
      <c r="Q121">
        <v>0</v>
      </c>
      <c r="R121">
        <v>0</v>
      </c>
      <c r="S121">
        <v>4</v>
      </c>
      <c r="T121">
        <v>1728</v>
      </c>
    </row>
    <row r="122" spans="1:20">
      <c r="A122" t="s">
        <v>186</v>
      </c>
      <c r="B122" s="1">
        <v>45316</v>
      </c>
      <c r="C122">
        <v>4</v>
      </c>
      <c r="D122">
        <v>1</v>
      </c>
      <c r="E122" t="s">
        <v>12</v>
      </c>
      <c r="F122" t="s">
        <v>187</v>
      </c>
      <c r="G122" t="s">
        <v>14</v>
      </c>
      <c r="H122">
        <v>3</v>
      </c>
      <c r="I122">
        <v>4400</v>
      </c>
      <c r="J122">
        <v>0</v>
      </c>
      <c r="K122" t="s">
        <v>1924</v>
      </c>
      <c r="L122">
        <v>2000</v>
      </c>
      <c r="M122">
        <v>13200</v>
      </c>
      <c r="N122">
        <v>6000</v>
      </c>
      <c r="O122">
        <v>7200</v>
      </c>
      <c r="P122">
        <v>0.54545454545454497</v>
      </c>
      <c r="Q122">
        <v>0</v>
      </c>
      <c r="R122">
        <v>0</v>
      </c>
      <c r="S122">
        <v>3</v>
      </c>
      <c r="T122">
        <v>13200</v>
      </c>
    </row>
    <row r="123" spans="1:20">
      <c r="A123" t="s">
        <v>188</v>
      </c>
      <c r="B123" s="1">
        <v>45317</v>
      </c>
      <c r="C123">
        <v>4</v>
      </c>
      <c r="D123">
        <v>1</v>
      </c>
      <c r="E123" t="s">
        <v>12</v>
      </c>
      <c r="F123" t="s">
        <v>146</v>
      </c>
      <c r="G123" t="s">
        <v>20</v>
      </c>
      <c r="H123">
        <v>2</v>
      </c>
      <c r="I123">
        <v>630</v>
      </c>
      <c r="J123">
        <v>0</v>
      </c>
      <c r="K123" t="s">
        <v>1934</v>
      </c>
      <c r="L123">
        <v>350</v>
      </c>
      <c r="M123">
        <v>1260</v>
      </c>
      <c r="N123">
        <v>700</v>
      </c>
      <c r="O123">
        <v>560</v>
      </c>
      <c r="P123">
        <v>0.44444444444444398</v>
      </c>
      <c r="Q123">
        <v>0</v>
      </c>
      <c r="R123">
        <v>0</v>
      </c>
      <c r="S123">
        <v>2</v>
      </c>
      <c r="T123">
        <v>1260</v>
      </c>
    </row>
    <row r="124" spans="1:20">
      <c r="A124" t="s">
        <v>190</v>
      </c>
      <c r="B124" s="1">
        <v>45317</v>
      </c>
      <c r="C124">
        <v>4</v>
      </c>
      <c r="D124">
        <v>1</v>
      </c>
      <c r="E124" t="s">
        <v>12</v>
      </c>
      <c r="F124" t="s">
        <v>66</v>
      </c>
      <c r="G124" t="s">
        <v>17</v>
      </c>
      <c r="H124">
        <v>4</v>
      </c>
      <c r="I124">
        <v>1470</v>
      </c>
      <c r="J124">
        <v>0</v>
      </c>
      <c r="K124" t="s">
        <v>1941</v>
      </c>
      <c r="L124">
        <v>700</v>
      </c>
      <c r="M124">
        <v>5880</v>
      </c>
      <c r="N124">
        <v>2800</v>
      </c>
      <c r="O124">
        <v>3080</v>
      </c>
      <c r="P124">
        <v>0.52380952380952395</v>
      </c>
      <c r="Q124">
        <v>0</v>
      </c>
      <c r="R124">
        <v>0</v>
      </c>
      <c r="S124">
        <v>4</v>
      </c>
      <c r="T124">
        <v>5880</v>
      </c>
    </row>
    <row r="125" spans="1:20">
      <c r="A125" t="s">
        <v>191</v>
      </c>
      <c r="B125" s="1">
        <v>45317</v>
      </c>
      <c r="C125">
        <v>4</v>
      </c>
      <c r="D125">
        <v>1</v>
      </c>
      <c r="E125" t="s">
        <v>12</v>
      </c>
      <c r="F125" t="s">
        <v>45</v>
      </c>
      <c r="G125" t="s">
        <v>26</v>
      </c>
      <c r="H125">
        <v>5</v>
      </c>
      <c r="I125">
        <v>4500</v>
      </c>
      <c r="J125">
        <v>0</v>
      </c>
      <c r="K125" t="s">
        <v>1938</v>
      </c>
      <c r="L125">
        <v>1800</v>
      </c>
      <c r="M125">
        <v>22500</v>
      </c>
      <c r="N125">
        <v>9000</v>
      </c>
      <c r="O125">
        <v>13500</v>
      </c>
      <c r="P125">
        <v>0.6</v>
      </c>
      <c r="Q125">
        <v>4</v>
      </c>
      <c r="R125">
        <v>4</v>
      </c>
      <c r="S125">
        <v>1</v>
      </c>
      <c r="T125">
        <v>4500</v>
      </c>
    </row>
    <row r="126" spans="1:20">
      <c r="A126" t="s">
        <v>192</v>
      </c>
      <c r="B126" s="1">
        <v>45318</v>
      </c>
      <c r="C126">
        <v>4</v>
      </c>
      <c r="D126">
        <v>1</v>
      </c>
      <c r="E126" t="s">
        <v>12</v>
      </c>
      <c r="F126" t="s">
        <v>80</v>
      </c>
      <c r="G126" t="s">
        <v>14</v>
      </c>
      <c r="H126">
        <v>2</v>
      </c>
      <c r="I126">
        <v>400</v>
      </c>
      <c r="J126">
        <v>0</v>
      </c>
      <c r="K126" t="s">
        <v>1922</v>
      </c>
      <c r="L126">
        <v>180</v>
      </c>
      <c r="M126">
        <v>800</v>
      </c>
      <c r="N126">
        <v>360</v>
      </c>
      <c r="O126">
        <v>440</v>
      </c>
      <c r="P126">
        <v>0.55000000000000004</v>
      </c>
      <c r="Q126">
        <v>0</v>
      </c>
      <c r="R126">
        <v>0</v>
      </c>
      <c r="S126">
        <v>2</v>
      </c>
      <c r="T126">
        <v>800</v>
      </c>
    </row>
    <row r="127" spans="1:20">
      <c r="A127" t="s">
        <v>194</v>
      </c>
      <c r="B127" s="1">
        <v>45319</v>
      </c>
      <c r="C127">
        <v>4</v>
      </c>
      <c r="D127">
        <v>1</v>
      </c>
      <c r="E127" t="s">
        <v>12</v>
      </c>
      <c r="F127" t="s">
        <v>22</v>
      </c>
      <c r="G127" t="s">
        <v>23</v>
      </c>
      <c r="H127">
        <v>3</v>
      </c>
      <c r="I127">
        <v>500</v>
      </c>
      <c r="J127">
        <v>0</v>
      </c>
      <c r="K127" t="s">
        <v>1929</v>
      </c>
      <c r="L127">
        <v>250</v>
      </c>
      <c r="M127">
        <v>1500</v>
      </c>
      <c r="N127">
        <v>750</v>
      </c>
      <c r="O127">
        <v>750</v>
      </c>
      <c r="P127">
        <v>0.5</v>
      </c>
      <c r="Q127">
        <v>0</v>
      </c>
      <c r="R127">
        <v>0</v>
      </c>
      <c r="S127">
        <v>3</v>
      </c>
      <c r="T127">
        <v>1500</v>
      </c>
    </row>
    <row r="128" spans="1:20">
      <c r="A128" t="s">
        <v>196</v>
      </c>
      <c r="B128" s="1">
        <v>45319</v>
      </c>
      <c r="C128">
        <v>4</v>
      </c>
      <c r="D128">
        <v>1</v>
      </c>
      <c r="E128" t="s">
        <v>12</v>
      </c>
      <c r="F128" t="s">
        <v>80</v>
      </c>
      <c r="G128" t="s">
        <v>14</v>
      </c>
      <c r="H128">
        <v>3</v>
      </c>
      <c r="I128">
        <v>400</v>
      </c>
      <c r="J128">
        <v>0</v>
      </c>
      <c r="K128" t="s">
        <v>1922</v>
      </c>
      <c r="L128">
        <v>180</v>
      </c>
      <c r="M128">
        <v>1200</v>
      </c>
      <c r="N128">
        <v>540</v>
      </c>
      <c r="O128">
        <v>660</v>
      </c>
      <c r="P128">
        <v>0.55000000000000004</v>
      </c>
      <c r="Q128">
        <v>0</v>
      </c>
      <c r="R128">
        <v>0</v>
      </c>
      <c r="S128">
        <v>3</v>
      </c>
      <c r="T128">
        <v>1200</v>
      </c>
    </row>
    <row r="129" spans="1:20">
      <c r="A129" t="s">
        <v>197</v>
      </c>
      <c r="B129" s="1">
        <v>45319</v>
      </c>
      <c r="C129">
        <v>4</v>
      </c>
      <c r="D129">
        <v>1</v>
      </c>
      <c r="E129" t="s">
        <v>12</v>
      </c>
      <c r="F129" t="s">
        <v>16</v>
      </c>
      <c r="G129" t="s">
        <v>17</v>
      </c>
      <c r="H129">
        <v>2</v>
      </c>
      <c r="I129">
        <v>520</v>
      </c>
      <c r="J129">
        <v>0</v>
      </c>
      <c r="K129" t="s">
        <v>1945</v>
      </c>
      <c r="L129">
        <v>250</v>
      </c>
      <c r="M129">
        <v>1040</v>
      </c>
      <c r="N129">
        <v>500</v>
      </c>
      <c r="O129">
        <v>540</v>
      </c>
      <c r="P129">
        <v>0.51923076923076905</v>
      </c>
      <c r="Q129">
        <v>0</v>
      </c>
      <c r="R129">
        <v>0</v>
      </c>
      <c r="S129">
        <v>2</v>
      </c>
      <c r="T129">
        <v>1040</v>
      </c>
    </row>
    <row r="130" spans="1:20">
      <c r="A130" t="s">
        <v>198</v>
      </c>
      <c r="B130" s="1">
        <v>45319</v>
      </c>
      <c r="C130">
        <v>4</v>
      </c>
      <c r="D130">
        <v>1</v>
      </c>
      <c r="E130" t="s">
        <v>12</v>
      </c>
      <c r="F130" t="s">
        <v>42</v>
      </c>
      <c r="G130" t="s">
        <v>23</v>
      </c>
      <c r="H130">
        <v>4</v>
      </c>
      <c r="I130">
        <v>510</v>
      </c>
      <c r="J130">
        <v>15</v>
      </c>
      <c r="K130" t="s">
        <v>1928</v>
      </c>
      <c r="L130">
        <v>300</v>
      </c>
      <c r="M130">
        <v>2040</v>
      </c>
      <c r="N130">
        <v>1200</v>
      </c>
      <c r="O130">
        <v>840</v>
      </c>
      <c r="P130">
        <v>0.41176470588235298</v>
      </c>
      <c r="Q130">
        <v>0</v>
      </c>
      <c r="R130">
        <v>0</v>
      </c>
      <c r="S130">
        <v>4</v>
      </c>
      <c r="T130">
        <v>2040</v>
      </c>
    </row>
    <row r="131" spans="1:20">
      <c r="A131" t="s">
        <v>199</v>
      </c>
      <c r="B131" s="1">
        <v>45319</v>
      </c>
      <c r="C131">
        <v>4</v>
      </c>
      <c r="D131">
        <v>1</v>
      </c>
      <c r="E131" t="s">
        <v>12</v>
      </c>
      <c r="F131" t="s">
        <v>66</v>
      </c>
      <c r="G131" t="s">
        <v>17</v>
      </c>
      <c r="H131">
        <v>5</v>
      </c>
      <c r="I131">
        <v>1470</v>
      </c>
      <c r="J131">
        <v>0</v>
      </c>
      <c r="K131" t="s">
        <v>1941</v>
      </c>
      <c r="L131">
        <v>700</v>
      </c>
      <c r="M131">
        <v>7350</v>
      </c>
      <c r="N131">
        <v>3500</v>
      </c>
      <c r="O131">
        <v>3850</v>
      </c>
      <c r="P131">
        <v>0.52380952380952395</v>
      </c>
      <c r="Q131">
        <v>0</v>
      </c>
      <c r="R131">
        <v>0</v>
      </c>
      <c r="S131">
        <v>5</v>
      </c>
      <c r="T131">
        <v>7350</v>
      </c>
    </row>
    <row r="132" spans="1:20">
      <c r="A132" t="s">
        <v>200</v>
      </c>
      <c r="B132" s="1">
        <v>45320</v>
      </c>
      <c r="C132">
        <v>5</v>
      </c>
      <c r="D132">
        <v>1</v>
      </c>
      <c r="E132" t="s">
        <v>12</v>
      </c>
      <c r="F132" t="s">
        <v>31</v>
      </c>
      <c r="G132" t="s">
        <v>23</v>
      </c>
      <c r="H132">
        <v>3</v>
      </c>
      <c r="I132">
        <v>1260</v>
      </c>
      <c r="J132">
        <v>10</v>
      </c>
      <c r="K132" t="s">
        <v>1930</v>
      </c>
      <c r="L132">
        <v>700</v>
      </c>
      <c r="M132">
        <v>3780</v>
      </c>
      <c r="N132">
        <v>2100</v>
      </c>
      <c r="O132">
        <v>1680</v>
      </c>
      <c r="P132">
        <v>0.44444444444444398</v>
      </c>
      <c r="Q132">
        <v>0</v>
      </c>
      <c r="R132">
        <v>0</v>
      </c>
      <c r="S132">
        <v>3</v>
      </c>
      <c r="T132">
        <v>3780</v>
      </c>
    </row>
    <row r="133" spans="1:20">
      <c r="A133" t="s">
        <v>202</v>
      </c>
      <c r="B133" s="1">
        <v>45320</v>
      </c>
      <c r="C133">
        <v>5</v>
      </c>
      <c r="D133">
        <v>1</v>
      </c>
      <c r="E133" t="s">
        <v>12</v>
      </c>
      <c r="F133" t="s">
        <v>86</v>
      </c>
      <c r="G133" t="s">
        <v>17</v>
      </c>
      <c r="H133">
        <v>4</v>
      </c>
      <c r="I133">
        <v>940</v>
      </c>
      <c r="J133">
        <v>0</v>
      </c>
      <c r="K133" t="s">
        <v>1944</v>
      </c>
      <c r="L133">
        <v>450</v>
      </c>
      <c r="M133">
        <v>3760</v>
      </c>
      <c r="N133">
        <v>1800</v>
      </c>
      <c r="O133">
        <v>1960</v>
      </c>
      <c r="P133">
        <v>0.52127659574468099</v>
      </c>
      <c r="Q133">
        <v>0</v>
      </c>
      <c r="R133">
        <v>0</v>
      </c>
      <c r="S133">
        <v>4</v>
      </c>
      <c r="T133">
        <v>3760</v>
      </c>
    </row>
    <row r="134" spans="1:20">
      <c r="A134" t="s">
        <v>203</v>
      </c>
      <c r="B134" s="1">
        <v>45320</v>
      </c>
      <c r="C134">
        <v>5</v>
      </c>
      <c r="D134">
        <v>1</v>
      </c>
      <c r="E134" t="s">
        <v>12</v>
      </c>
      <c r="F134" t="s">
        <v>119</v>
      </c>
      <c r="G134" t="s">
        <v>14</v>
      </c>
      <c r="H134">
        <v>2</v>
      </c>
      <c r="I134">
        <v>693</v>
      </c>
      <c r="J134">
        <v>10</v>
      </c>
      <c r="K134" t="s">
        <v>1920</v>
      </c>
      <c r="L134">
        <v>350</v>
      </c>
      <c r="M134">
        <v>1386</v>
      </c>
      <c r="N134">
        <v>700</v>
      </c>
      <c r="O134">
        <v>686</v>
      </c>
      <c r="P134">
        <v>0.49494949494949497</v>
      </c>
      <c r="Q134">
        <v>0</v>
      </c>
      <c r="R134">
        <v>0</v>
      </c>
      <c r="S134">
        <v>2</v>
      </c>
      <c r="T134">
        <v>1386</v>
      </c>
    </row>
    <row r="135" spans="1:20">
      <c r="A135" t="s">
        <v>204</v>
      </c>
      <c r="B135" s="1">
        <v>45320</v>
      </c>
      <c r="C135">
        <v>5</v>
      </c>
      <c r="D135">
        <v>1</v>
      </c>
      <c r="E135" t="s">
        <v>12</v>
      </c>
      <c r="F135" t="s">
        <v>94</v>
      </c>
      <c r="G135" t="s">
        <v>17</v>
      </c>
      <c r="H135">
        <v>1</v>
      </c>
      <c r="I135">
        <v>1512</v>
      </c>
      <c r="J135">
        <v>10</v>
      </c>
      <c r="K135" t="s">
        <v>1943</v>
      </c>
      <c r="L135">
        <v>800</v>
      </c>
      <c r="M135">
        <v>1512</v>
      </c>
      <c r="N135">
        <v>800</v>
      </c>
      <c r="O135">
        <v>712</v>
      </c>
      <c r="P135">
        <v>0.47089947089947098</v>
      </c>
      <c r="Q135">
        <v>0</v>
      </c>
      <c r="R135">
        <v>0</v>
      </c>
      <c r="S135">
        <v>1</v>
      </c>
      <c r="T135">
        <v>1512</v>
      </c>
    </row>
    <row r="136" spans="1:20">
      <c r="A136" t="s">
        <v>205</v>
      </c>
      <c r="B136" s="1">
        <v>45320</v>
      </c>
      <c r="C136">
        <v>5</v>
      </c>
      <c r="D136">
        <v>1</v>
      </c>
      <c r="E136" t="s">
        <v>12</v>
      </c>
      <c r="F136" t="s">
        <v>58</v>
      </c>
      <c r="G136" t="s">
        <v>23</v>
      </c>
      <c r="H136">
        <v>4</v>
      </c>
      <c r="I136">
        <v>850</v>
      </c>
      <c r="J136">
        <v>15</v>
      </c>
      <c r="K136" t="s">
        <v>1927</v>
      </c>
      <c r="L136">
        <v>500</v>
      </c>
      <c r="M136">
        <v>3400</v>
      </c>
      <c r="N136">
        <v>2000</v>
      </c>
      <c r="O136">
        <v>1400</v>
      </c>
      <c r="P136">
        <v>0.41176470588235298</v>
      </c>
      <c r="Q136">
        <v>0</v>
      </c>
      <c r="R136">
        <v>0</v>
      </c>
      <c r="S136">
        <v>4</v>
      </c>
      <c r="T136">
        <v>3400</v>
      </c>
    </row>
    <row r="137" spans="1:20">
      <c r="A137" t="s">
        <v>206</v>
      </c>
      <c r="B137" s="1">
        <v>45320</v>
      </c>
      <c r="C137">
        <v>5</v>
      </c>
      <c r="D137">
        <v>1</v>
      </c>
      <c r="E137" t="s">
        <v>12</v>
      </c>
      <c r="F137" t="s">
        <v>16</v>
      </c>
      <c r="G137" t="s">
        <v>17</v>
      </c>
      <c r="H137">
        <v>2</v>
      </c>
      <c r="I137">
        <v>442</v>
      </c>
      <c r="J137">
        <v>15</v>
      </c>
      <c r="K137" t="s">
        <v>1945</v>
      </c>
      <c r="L137">
        <v>250</v>
      </c>
      <c r="M137">
        <v>884</v>
      </c>
      <c r="N137">
        <v>500</v>
      </c>
      <c r="O137">
        <v>384</v>
      </c>
      <c r="P137">
        <v>0.434389140271493</v>
      </c>
      <c r="Q137">
        <v>0</v>
      </c>
      <c r="R137">
        <v>0</v>
      </c>
      <c r="S137">
        <v>2</v>
      </c>
      <c r="T137">
        <v>884</v>
      </c>
    </row>
    <row r="138" spans="1:20">
      <c r="A138" t="s">
        <v>207</v>
      </c>
      <c r="B138" s="1">
        <v>45321</v>
      </c>
      <c r="C138">
        <v>5</v>
      </c>
      <c r="D138">
        <v>1</v>
      </c>
      <c r="E138" t="s">
        <v>12</v>
      </c>
      <c r="F138" t="s">
        <v>115</v>
      </c>
      <c r="G138" t="s">
        <v>23</v>
      </c>
      <c r="H138">
        <v>1</v>
      </c>
      <c r="I138">
        <v>1020</v>
      </c>
      <c r="J138">
        <v>15</v>
      </c>
      <c r="K138" t="s">
        <v>1926</v>
      </c>
      <c r="L138">
        <v>600</v>
      </c>
      <c r="M138">
        <v>1020</v>
      </c>
      <c r="N138">
        <v>600</v>
      </c>
      <c r="O138">
        <v>420</v>
      </c>
      <c r="P138">
        <v>0.41176470588235298</v>
      </c>
      <c r="Q138">
        <v>0</v>
      </c>
      <c r="R138">
        <v>0</v>
      </c>
      <c r="S138">
        <v>1</v>
      </c>
      <c r="T138">
        <v>1020</v>
      </c>
    </row>
    <row r="139" spans="1:20">
      <c r="A139" t="s">
        <v>209</v>
      </c>
      <c r="B139" s="1">
        <v>45321</v>
      </c>
      <c r="C139">
        <v>5</v>
      </c>
      <c r="D139">
        <v>1</v>
      </c>
      <c r="E139" t="s">
        <v>12</v>
      </c>
      <c r="F139" t="s">
        <v>19</v>
      </c>
      <c r="G139" t="s">
        <v>20</v>
      </c>
      <c r="H139">
        <v>3</v>
      </c>
      <c r="I139">
        <v>1620</v>
      </c>
      <c r="J139">
        <v>0</v>
      </c>
      <c r="K139" t="s">
        <v>1931</v>
      </c>
      <c r="L139">
        <v>900</v>
      </c>
      <c r="M139">
        <v>4860</v>
      </c>
      <c r="N139">
        <v>2700</v>
      </c>
      <c r="O139">
        <v>2160</v>
      </c>
      <c r="P139">
        <v>0.44444444444444398</v>
      </c>
      <c r="Q139">
        <v>0</v>
      </c>
      <c r="R139">
        <v>0</v>
      </c>
      <c r="S139">
        <v>3</v>
      </c>
      <c r="T139">
        <v>4860</v>
      </c>
    </row>
    <row r="140" spans="1:20">
      <c r="A140" t="s">
        <v>210</v>
      </c>
      <c r="B140" s="1">
        <v>45321</v>
      </c>
      <c r="C140">
        <v>5</v>
      </c>
      <c r="D140">
        <v>1</v>
      </c>
      <c r="E140" t="s">
        <v>12</v>
      </c>
      <c r="F140" t="s">
        <v>86</v>
      </c>
      <c r="G140" t="s">
        <v>17</v>
      </c>
      <c r="H140">
        <v>4</v>
      </c>
      <c r="I140">
        <v>893</v>
      </c>
      <c r="J140">
        <v>5</v>
      </c>
      <c r="K140" t="s">
        <v>1944</v>
      </c>
      <c r="L140">
        <v>450</v>
      </c>
      <c r="M140">
        <v>3572</v>
      </c>
      <c r="N140">
        <v>1800</v>
      </c>
      <c r="O140">
        <v>1772</v>
      </c>
      <c r="P140">
        <v>0.496080627099664</v>
      </c>
      <c r="Q140">
        <v>0</v>
      </c>
      <c r="R140">
        <v>0</v>
      </c>
      <c r="S140">
        <v>4</v>
      </c>
      <c r="T140">
        <v>3572</v>
      </c>
    </row>
    <row r="141" spans="1:20">
      <c r="A141" t="s">
        <v>211</v>
      </c>
      <c r="B141" s="1">
        <v>45321</v>
      </c>
      <c r="C141">
        <v>5</v>
      </c>
      <c r="D141">
        <v>1</v>
      </c>
      <c r="E141" t="s">
        <v>12</v>
      </c>
      <c r="F141" t="s">
        <v>146</v>
      </c>
      <c r="G141" t="s">
        <v>20</v>
      </c>
      <c r="H141">
        <v>5</v>
      </c>
      <c r="I141">
        <v>567</v>
      </c>
      <c r="J141">
        <v>10</v>
      </c>
      <c r="K141" t="s">
        <v>1934</v>
      </c>
      <c r="L141">
        <v>350</v>
      </c>
      <c r="M141">
        <v>2835</v>
      </c>
      <c r="N141">
        <v>1750</v>
      </c>
      <c r="O141">
        <v>1085</v>
      </c>
      <c r="P141">
        <v>0.38271604938271597</v>
      </c>
      <c r="Q141">
        <v>0</v>
      </c>
      <c r="R141">
        <v>0</v>
      </c>
      <c r="S141">
        <v>5</v>
      </c>
      <c r="T141">
        <v>2835</v>
      </c>
    </row>
    <row r="142" spans="1:20">
      <c r="A142" t="s">
        <v>212</v>
      </c>
      <c r="B142" s="1">
        <v>45321</v>
      </c>
      <c r="C142">
        <v>5</v>
      </c>
      <c r="D142">
        <v>1</v>
      </c>
      <c r="E142" t="s">
        <v>12</v>
      </c>
      <c r="F142" t="s">
        <v>86</v>
      </c>
      <c r="G142" t="s">
        <v>17</v>
      </c>
      <c r="H142">
        <v>4</v>
      </c>
      <c r="I142">
        <v>846</v>
      </c>
      <c r="J142">
        <v>10</v>
      </c>
      <c r="K142" t="s">
        <v>1944</v>
      </c>
      <c r="L142">
        <v>450</v>
      </c>
      <c r="M142">
        <v>3384</v>
      </c>
      <c r="N142">
        <v>1800</v>
      </c>
      <c r="O142">
        <v>1584</v>
      </c>
      <c r="P142">
        <v>0.46808510638297901</v>
      </c>
      <c r="Q142">
        <v>0</v>
      </c>
      <c r="R142">
        <v>0</v>
      </c>
      <c r="S142">
        <v>4</v>
      </c>
      <c r="T142">
        <v>3384</v>
      </c>
    </row>
    <row r="143" spans="1:20">
      <c r="A143" t="s">
        <v>213</v>
      </c>
      <c r="B143" s="1">
        <v>45322</v>
      </c>
      <c r="C143">
        <v>5</v>
      </c>
      <c r="D143">
        <v>1</v>
      </c>
      <c r="E143" t="s">
        <v>12</v>
      </c>
      <c r="F143" t="s">
        <v>22</v>
      </c>
      <c r="G143" t="s">
        <v>23</v>
      </c>
      <c r="H143">
        <v>2</v>
      </c>
      <c r="I143">
        <v>500</v>
      </c>
      <c r="J143">
        <v>0</v>
      </c>
      <c r="K143" t="s">
        <v>1929</v>
      </c>
      <c r="L143">
        <v>250</v>
      </c>
      <c r="M143">
        <v>1000</v>
      </c>
      <c r="N143">
        <v>500</v>
      </c>
      <c r="O143">
        <v>500</v>
      </c>
      <c r="P143">
        <v>0.5</v>
      </c>
      <c r="Q143">
        <v>0</v>
      </c>
      <c r="R143">
        <v>0</v>
      </c>
      <c r="S143">
        <v>2</v>
      </c>
      <c r="T143">
        <v>1000</v>
      </c>
    </row>
    <row r="144" spans="1:20">
      <c r="A144" t="s">
        <v>215</v>
      </c>
      <c r="B144" s="1">
        <v>45322</v>
      </c>
      <c r="C144">
        <v>5</v>
      </c>
      <c r="D144">
        <v>1</v>
      </c>
      <c r="E144" t="s">
        <v>12</v>
      </c>
      <c r="F144" t="s">
        <v>146</v>
      </c>
      <c r="G144" t="s">
        <v>20</v>
      </c>
      <c r="H144">
        <v>4</v>
      </c>
      <c r="I144">
        <v>630</v>
      </c>
      <c r="J144">
        <v>0</v>
      </c>
      <c r="K144" t="s">
        <v>1934</v>
      </c>
      <c r="L144">
        <v>350</v>
      </c>
      <c r="M144">
        <v>2520</v>
      </c>
      <c r="N144">
        <v>1400</v>
      </c>
      <c r="O144">
        <v>1120</v>
      </c>
      <c r="P144">
        <v>0.44444444444444398</v>
      </c>
      <c r="Q144">
        <v>0</v>
      </c>
      <c r="R144">
        <v>0</v>
      </c>
      <c r="S144">
        <v>4</v>
      </c>
      <c r="T144">
        <v>2520</v>
      </c>
    </row>
    <row r="145" spans="1:20">
      <c r="A145" t="s">
        <v>216</v>
      </c>
      <c r="B145" s="1">
        <v>45323</v>
      </c>
      <c r="C145">
        <v>5</v>
      </c>
      <c r="D145">
        <v>2</v>
      </c>
      <c r="E145" t="s">
        <v>218</v>
      </c>
      <c r="F145" t="s">
        <v>68</v>
      </c>
      <c r="G145" t="s">
        <v>26</v>
      </c>
      <c r="H145">
        <v>3</v>
      </c>
      <c r="I145">
        <v>361</v>
      </c>
      <c r="J145">
        <v>5</v>
      </c>
      <c r="K145" t="s">
        <v>1937</v>
      </c>
      <c r="L145">
        <v>150</v>
      </c>
      <c r="M145">
        <v>1083</v>
      </c>
      <c r="N145">
        <v>450</v>
      </c>
      <c r="O145">
        <v>633</v>
      </c>
      <c r="P145">
        <v>0.58448753462603897</v>
      </c>
      <c r="Q145">
        <v>0</v>
      </c>
      <c r="R145">
        <v>0</v>
      </c>
      <c r="S145">
        <v>3</v>
      </c>
      <c r="T145">
        <v>1083</v>
      </c>
    </row>
    <row r="146" spans="1:20">
      <c r="A146" t="s">
        <v>219</v>
      </c>
      <c r="B146" s="1">
        <v>45323</v>
      </c>
      <c r="C146">
        <v>5</v>
      </c>
      <c r="D146">
        <v>2</v>
      </c>
      <c r="E146" t="s">
        <v>218</v>
      </c>
      <c r="F146" t="s">
        <v>220</v>
      </c>
      <c r="G146" t="s">
        <v>221</v>
      </c>
      <c r="H146">
        <v>4</v>
      </c>
      <c r="I146">
        <v>570</v>
      </c>
      <c r="J146">
        <v>5</v>
      </c>
      <c r="K146" t="s">
        <v>1947</v>
      </c>
      <c r="L146">
        <v>300</v>
      </c>
      <c r="M146">
        <v>2280</v>
      </c>
      <c r="N146">
        <v>1200</v>
      </c>
      <c r="O146">
        <v>1080</v>
      </c>
      <c r="P146">
        <v>0.47368421052631599</v>
      </c>
      <c r="Q146">
        <v>0</v>
      </c>
      <c r="R146">
        <v>0</v>
      </c>
      <c r="S146">
        <v>4</v>
      </c>
      <c r="T146">
        <v>2280</v>
      </c>
    </row>
    <row r="147" spans="1:20">
      <c r="A147" t="s">
        <v>222</v>
      </c>
      <c r="B147" s="1">
        <v>45324</v>
      </c>
      <c r="C147">
        <v>5</v>
      </c>
      <c r="D147">
        <v>2</v>
      </c>
      <c r="E147" t="s">
        <v>218</v>
      </c>
      <c r="F147" t="s">
        <v>39</v>
      </c>
      <c r="G147" t="s">
        <v>14</v>
      </c>
      <c r="H147">
        <v>2</v>
      </c>
      <c r="I147">
        <v>880</v>
      </c>
      <c r="J147">
        <v>0</v>
      </c>
      <c r="K147" t="s">
        <v>1921</v>
      </c>
      <c r="L147">
        <v>400</v>
      </c>
      <c r="M147">
        <v>1760</v>
      </c>
      <c r="N147">
        <v>800</v>
      </c>
      <c r="O147">
        <v>960</v>
      </c>
      <c r="P147">
        <v>0.54545454545454497</v>
      </c>
      <c r="Q147">
        <v>0</v>
      </c>
      <c r="R147">
        <v>0</v>
      </c>
      <c r="S147">
        <v>2</v>
      </c>
      <c r="T147">
        <v>1760</v>
      </c>
    </row>
    <row r="148" spans="1:20">
      <c r="A148" t="s">
        <v>224</v>
      </c>
      <c r="B148" s="1">
        <v>45324</v>
      </c>
      <c r="C148">
        <v>5</v>
      </c>
      <c r="D148">
        <v>2</v>
      </c>
      <c r="E148" t="s">
        <v>218</v>
      </c>
      <c r="F148" t="s">
        <v>94</v>
      </c>
      <c r="G148" t="s">
        <v>17</v>
      </c>
      <c r="H148">
        <v>2</v>
      </c>
      <c r="I148">
        <v>1428</v>
      </c>
      <c r="J148">
        <v>15</v>
      </c>
      <c r="K148" t="s">
        <v>1943</v>
      </c>
      <c r="L148">
        <v>800</v>
      </c>
      <c r="M148">
        <v>2856</v>
      </c>
      <c r="N148">
        <v>1600</v>
      </c>
      <c r="O148">
        <v>1256</v>
      </c>
      <c r="P148">
        <v>0.43977591036414598</v>
      </c>
      <c r="Q148">
        <v>0</v>
      </c>
      <c r="R148">
        <v>0</v>
      </c>
      <c r="S148">
        <v>2</v>
      </c>
      <c r="T148">
        <v>2856</v>
      </c>
    </row>
    <row r="149" spans="1:20">
      <c r="A149" t="s">
        <v>225</v>
      </c>
      <c r="B149" s="1">
        <v>45325</v>
      </c>
      <c r="C149">
        <v>5</v>
      </c>
      <c r="D149">
        <v>2</v>
      </c>
      <c r="E149" t="s">
        <v>218</v>
      </c>
      <c r="F149" t="s">
        <v>64</v>
      </c>
      <c r="G149" t="s">
        <v>14</v>
      </c>
      <c r="H149">
        <v>5</v>
      </c>
      <c r="I149">
        <v>2244</v>
      </c>
      <c r="J149">
        <v>15</v>
      </c>
      <c r="K149" t="s">
        <v>1923</v>
      </c>
      <c r="L149">
        <v>1200</v>
      </c>
      <c r="M149">
        <v>11220</v>
      </c>
      <c r="N149">
        <v>6000</v>
      </c>
      <c r="O149">
        <v>5220</v>
      </c>
      <c r="P149">
        <v>0.46524064171122997</v>
      </c>
      <c r="Q149">
        <v>0</v>
      </c>
      <c r="R149">
        <v>0</v>
      </c>
      <c r="S149">
        <v>5</v>
      </c>
      <c r="T149">
        <v>11220</v>
      </c>
    </row>
    <row r="150" spans="1:20">
      <c r="A150" t="s">
        <v>227</v>
      </c>
      <c r="B150" s="1">
        <v>45325</v>
      </c>
      <c r="C150">
        <v>5</v>
      </c>
      <c r="D150">
        <v>2</v>
      </c>
      <c r="E150" t="s">
        <v>218</v>
      </c>
      <c r="F150" t="s">
        <v>19</v>
      </c>
      <c r="G150" t="s">
        <v>20</v>
      </c>
      <c r="H150">
        <v>4</v>
      </c>
      <c r="I150">
        <v>1458</v>
      </c>
      <c r="J150">
        <v>10</v>
      </c>
      <c r="K150" t="s">
        <v>1931</v>
      </c>
      <c r="L150">
        <v>900</v>
      </c>
      <c r="M150">
        <v>5832</v>
      </c>
      <c r="N150">
        <v>3600</v>
      </c>
      <c r="O150">
        <v>2232</v>
      </c>
      <c r="P150">
        <v>0.38271604938271597</v>
      </c>
      <c r="Q150">
        <v>0</v>
      </c>
      <c r="R150">
        <v>0</v>
      </c>
      <c r="S150">
        <v>4</v>
      </c>
      <c r="T150">
        <v>5832</v>
      </c>
    </row>
    <row r="151" spans="1:20">
      <c r="A151" t="s">
        <v>228</v>
      </c>
      <c r="B151" s="1">
        <v>45325</v>
      </c>
      <c r="C151">
        <v>5</v>
      </c>
      <c r="D151">
        <v>2</v>
      </c>
      <c r="E151" t="s">
        <v>218</v>
      </c>
      <c r="F151" t="s">
        <v>28</v>
      </c>
      <c r="G151" t="s">
        <v>26</v>
      </c>
      <c r="H151">
        <v>1</v>
      </c>
      <c r="I151">
        <v>1500</v>
      </c>
      <c r="J151">
        <v>0</v>
      </c>
      <c r="K151" t="s">
        <v>1939</v>
      </c>
      <c r="L151">
        <v>600</v>
      </c>
      <c r="M151">
        <v>1500</v>
      </c>
      <c r="N151">
        <v>600</v>
      </c>
      <c r="O151">
        <v>900</v>
      </c>
      <c r="P151">
        <v>0.6</v>
      </c>
      <c r="Q151">
        <v>0</v>
      </c>
      <c r="R151">
        <v>0</v>
      </c>
      <c r="S151">
        <v>1</v>
      </c>
      <c r="T151">
        <v>1500</v>
      </c>
    </row>
    <row r="152" spans="1:20">
      <c r="A152" t="s">
        <v>229</v>
      </c>
      <c r="B152" s="1">
        <v>45326</v>
      </c>
      <c r="C152">
        <v>5</v>
      </c>
      <c r="D152">
        <v>2</v>
      </c>
      <c r="E152" t="s">
        <v>218</v>
      </c>
      <c r="F152" t="s">
        <v>35</v>
      </c>
      <c r="G152" t="s">
        <v>17</v>
      </c>
      <c r="H152">
        <v>1</v>
      </c>
      <c r="I152">
        <v>3150</v>
      </c>
      <c r="J152">
        <v>0</v>
      </c>
      <c r="K152" t="s">
        <v>1942</v>
      </c>
      <c r="L152">
        <v>1500</v>
      </c>
      <c r="M152">
        <v>3150</v>
      </c>
      <c r="N152">
        <v>1500</v>
      </c>
      <c r="O152">
        <v>1650</v>
      </c>
      <c r="P152">
        <v>0.52380952380952395</v>
      </c>
      <c r="Q152">
        <v>0</v>
      </c>
      <c r="R152">
        <v>0</v>
      </c>
      <c r="S152">
        <v>1</v>
      </c>
      <c r="T152">
        <v>3150</v>
      </c>
    </row>
    <row r="153" spans="1:20">
      <c r="A153" t="s">
        <v>231</v>
      </c>
      <c r="B153" s="1">
        <v>45326</v>
      </c>
      <c r="C153">
        <v>5</v>
      </c>
      <c r="D153">
        <v>2</v>
      </c>
      <c r="E153" t="s">
        <v>218</v>
      </c>
      <c r="F153" t="s">
        <v>39</v>
      </c>
      <c r="G153" t="s">
        <v>14</v>
      </c>
      <c r="H153">
        <v>3</v>
      </c>
      <c r="I153">
        <v>880</v>
      </c>
      <c r="J153">
        <v>0</v>
      </c>
      <c r="K153" t="s">
        <v>1921</v>
      </c>
      <c r="L153">
        <v>400</v>
      </c>
      <c r="M153">
        <v>2640</v>
      </c>
      <c r="N153">
        <v>1200</v>
      </c>
      <c r="O153">
        <v>1440</v>
      </c>
      <c r="P153">
        <v>0.54545454545454497</v>
      </c>
      <c r="Q153">
        <v>0</v>
      </c>
      <c r="R153">
        <v>0</v>
      </c>
      <c r="S153">
        <v>3</v>
      </c>
      <c r="T153">
        <v>2640</v>
      </c>
    </row>
    <row r="154" spans="1:20">
      <c r="A154" t="s">
        <v>232</v>
      </c>
      <c r="B154" s="1">
        <v>45326</v>
      </c>
      <c r="C154">
        <v>5</v>
      </c>
      <c r="D154">
        <v>2</v>
      </c>
      <c r="E154" t="s">
        <v>218</v>
      </c>
      <c r="F154" t="s">
        <v>45</v>
      </c>
      <c r="G154" t="s">
        <v>26</v>
      </c>
      <c r="H154">
        <v>4</v>
      </c>
      <c r="I154">
        <v>3825</v>
      </c>
      <c r="J154">
        <v>15</v>
      </c>
      <c r="K154" t="s">
        <v>1938</v>
      </c>
      <c r="L154">
        <v>1800</v>
      </c>
      <c r="M154">
        <v>15300</v>
      </c>
      <c r="N154">
        <v>7200</v>
      </c>
      <c r="O154">
        <v>8100</v>
      </c>
      <c r="P154">
        <v>0.52941176470588203</v>
      </c>
      <c r="Q154">
        <v>0</v>
      </c>
      <c r="R154">
        <v>0</v>
      </c>
      <c r="S154">
        <v>4</v>
      </c>
      <c r="T154">
        <v>15300</v>
      </c>
    </row>
    <row r="155" spans="1:20">
      <c r="A155" t="s">
        <v>233</v>
      </c>
      <c r="B155" s="1">
        <v>45326</v>
      </c>
      <c r="C155">
        <v>5</v>
      </c>
      <c r="D155">
        <v>2</v>
      </c>
      <c r="E155" t="s">
        <v>218</v>
      </c>
      <c r="F155" t="s">
        <v>97</v>
      </c>
      <c r="G155" t="s">
        <v>20</v>
      </c>
      <c r="H155">
        <v>2</v>
      </c>
      <c r="I155">
        <v>1980</v>
      </c>
      <c r="J155">
        <v>0</v>
      </c>
      <c r="K155" t="s">
        <v>1932</v>
      </c>
      <c r="L155">
        <v>1100</v>
      </c>
      <c r="M155">
        <v>3960</v>
      </c>
      <c r="N155">
        <v>2200</v>
      </c>
      <c r="O155">
        <v>1760</v>
      </c>
      <c r="P155">
        <v>0.44444444444444398</v>
      </c>
      <c r="Q155">
        <v>0</v>
      </c>
      <c r="R155">
        <v>0</v>
      </c>
      <c r="S155">
        <v>2</v>
      </c>
      <c r="T155">
        <v>3960</v>
      </c>
    </row>
    <row r="156" spans="1:20">
      <c r="A156" t="s">
        <v>234</v>
      </c>
      <c r="B156" s="1">
        <v>45326</v>
      </c>
      <c r="C156">
        <v>5</v>
      </c>
      <c r="D156">
        <v>2</v>
      </c>
      <c r="E156" t="s">
        <v>218</v>
      </c>
      <c r="F156" t="s">
        <v>115</v>
      </c>
      <c r="G156" t="s">
        <v>23</v>
      </c>
      <c r="H156">
        <v>5</v>
      </c>
      <c r="I156">
        <v>1200</v>
      </c>
      <c r="J156">
        <v>0</v>
      </c>
      <c r="K156" t="s">
        <v>1926</v>
      </c>
      <c r="L156">
        <v>600</v>
      </c>
      <c r="M156">
        <v>6000</v>
      </c>
      <c r="N156">
        <v>3000</v>
      </c>
      <c r="O156">
        <v>3000</v>
      </c>
      <c r="P156">
        <v>0.5</v>
      </c>
      <c r="Q156">
        <v>0</v>
      </c>
      <c r="R156">
        <v>0</v>
      </c>
      <c r="S156">
        <v>5</v>
      </c>
      <c r="T156">
        <v>6000</v>
      </c>
    </row>
    <row r="157" spans="1:20">
      <c r="A157" t="s">
        <v>235</v>
      </c>
      <c r="B157" s="1">
        <v>45327</v>
      </c>
      <c r="C157">
        <v>6</v>
      </c>
      <c r="D157">
        <v>2</v>
      </c>
      <c r="E157" t="s">
        <v>218</v>
      </c>
      <c r="F157" t="s">
        <v>39</v>
      </c>
      <c r="G157" t="s">
        <v>14</v>
      </c>
      <c r="H157">
        <v>1</v>
      </c>
      <c r="I157">
        <v>748</v>
      </c>
      <c r="J157">
        <v>15</v>
      </c>
      <c r="K157" t="s">
        <v>1921</v>
      </c>
      <c r="L157">
        <v>400</v>
      </c>
      <c r="M157">
        <v>748</v>
      </c>
      <c r="N157">
        <v>400</v>
      </c>
      <c r="O157">
        <v>348</v>
      </c>
      <c r="P157">
        <v>0.46524064171122997</v>
      </c>
      <c r="Q157">
        <v>0</v>
      </c>
      <c r="R157">
        <v>0</v>
      </c>
      <c r="S157">
        <v>1</v>
      </c>
      <c r="T157">
        <v>748</v>
      </c>
    </row>
    <row r="158" spans="1:20">
      <c r="A158" t="s">
        <v>237</v>
      </c>
      <c r="B158" s="1">
        <v>45327</v>
      </c>
      <c r="C158">
        <v>6</v>
      </c>
      <c r="D158">
        <v>2</v>
      </c>
      <c r="E158" t="s">
        <v>218</v>
      </c>
      <c r="F158" t="s">
        <v>37</v>
      </c>
      <c r="G158" t="s">
        <v>20</v>
      </c>
      <c r="H158">
        <v>4</v>
      </c>
      <c r="I158">
        <v>2340</v>
      </c>
      <c r="J158">
        <v>0</v>
      </c>
      <c r="K158" t="s">
        <v>1935</v>
      </c>
      <c r="L158">
        <v>1300</v>
      </c>
      <c r="M158">
        <v>9360</v>
      </c>
      <c r="N158">
        <v>5200</v>
      </c>
      <c r="O158">
        <v>4160</v>
      </c>
      <c r="P158">
        <v>0.44444444444444398</v>
      </c>
      <c r="Q158">
        <v>0</v>
      </c>
      <c r="R158">
        <v>0</v>
      </c>
      <c r="S158">
        <v>4</v>
      </c>
      <c r="T158">
        <v>9360</v>
      </c>
    </row>
    <row r="159" spans="1:20">
      <c r="A159" t="s">
        <v>238</v>
      </c>
      <c r="B159" s="1">
        <v>45327</v>
      </c>
      <c r="C159">
        <v>6</v>
      </c>
      <c r="D159">
        <v>2</v>
      </c>
      <c r="E159" t="s">
        <v>218</v>
      </c>
      <c r="F159" t="s">
        <v>25</v>
      </c>
      <c r="G159" t="s">
        <v>26</v>
      </c>
      <c r="H159">
        <v>5</v>
      </c>
      <c r="I159">
        <v>850</v>
      </c>
      <c r="J159">
        <v>15</v>
      </c>
      <c r="K159" t="s">
        <v>1940</v>
      </c>
      <c r="L159">
        <v>400</v>
      </c>
      <c r="M159">
        <v>4250</v>
      </c>
      <c r="N159">
        <v>2000</v>
      </c>
      <c r="O159">
        <v>2250</v>
      </c>
      <c r="P159">
        <v>0.52941176470588203</v>
      </c>
      <c r="Q159">
        <v>0</v>
      </c>
      <c r="R159">
        <v>0</v>
      </c>
      <c r="S159">
        <v>5</v>
      </c>
      <c r="T159">
        <v>4250</v>
      </c>
    </row>
    <row r="160" spans="1:20">
      <c r="A160" t="s">
        <v>239</v>
      </c>
      <c r="B160" s="1">
        <v>45328</v>
      </c>
      <c r="C160">
        <v>6</v>
      </c>
      <c r="D160">
        <v>2</v>
      </c>
      <c r="E160" t="s">
        <v>218</v>
      </c>
      <c r="F160" t="s">
        <v>86</v>
      </c>
      <c r="G160" t="s">
        <v>17</v>
      </c>
      <c r="H160">
        <v>4</v>
      </c>
      <c r="I160">
        <v>893</v>
      </c>
      <c r="J160">
        <v>5</v>
      </c>
      <c r="K160" t="s">
        <v>1944</v>
      </c>
      <c r="L160">
        <v>450</v>
      </c>
      <c r="M160">
        <v>3572</v>
      </c>
      <c r="N160">
        <v>1800</v>
      </c>
      <c r="O160">
        <v>1772</v>
      </c>
      <c r="P160">
        <v>0.496080627099664</v>
      </c>
      <c r="Q160">
        <v>0</v>
      </c>
      <c r="R160">
        <v>0</v>
      </c>
      <c r="S160">
        <v>4</v>
      </c>
      <c r="T160">
        <v>3572</v>
      </c>
    </row>
    <row r="161" spans="1:20">
      <c r="A161" t="s">
        <v>241</v>
      </c>
      <c r="B161" s="1">
        <v>45328</v>
      </c>
      <c r="C161">
        <v>6</v>
      </c>
      <c r="D161">
        <v>2</v>
      </c>
      <c r="E161" t="s">
        <v>218</v>
      </c>
      <c r="F161" t="s">
        <v>66</v>
      </c>
      <c r="G161" t="s">
        <v>17</v>
      </c>
      <c r="H161">
        <v>5</v>
      </c>
      <c r="I161">
        <v>1396.5</v>
      </c>
      <c r="J161">
        <v>5</v>
      </c>
      <c r="K161" t="s">
        <v>1941</v>
      </c>
      <c r="L161">
        <v>700</v>
      </c>
      <c r="M161">
        <v>6982.5</v>
      </c>
      <c r="N161">
        <v>3500</v>
      </c>
      <c r="O161">
        <v>3482.5</v>
      </c>
      <c r="P161">
        <v>0.49874686716791999</v>
      </c>
      <c r="Q161">
        <v>0</v>
      </c>
      <c r="R161">
        <v>0</v>
      </c>
      <c r="S161">
        <v>5</v>
      </c>
      <c r="T161">
        <v>6982.5</v>
      </c>
    </row>
    <row r="162" spans="1:20">
      <c r="A162" t="s">
        <v>242</v>
      </c>
      <c r="B162" s="1">
        <v>45328</v>
      </c>
      <c r="C162">
        <v>6</v>
      </c>
      <c r="D162">
        <v>2</v>
      </c>
      <c r="E162" t="s">
        <v>218</v>
      </c>
      <c r="F162" t="s">
        <v>28</v>
      </c>
      <c r="G162" t="s">
        <v>26</v>
      </c>
      <c r="H162">
        <v>2</v>
      </c>
      <c r="I162">
        <v>1500</v>
      </c>
      <c r="J162">
        <v>0</v>
      </c>
      <c r="K162" t="s">
        <v>1939</v>
      </c>
      <c r="L162">
        <v>600</v>
      </c>
      <c r="M162">
        <v>3000</v>
      </c>
      <c r="N162">
        <v>1200</v>
      </c>
      <c r="O162">
        <v>1800</v>
      </c>
      <c r="P162">
        <v>0.6</v>
      </c>
      <c r="Q162">
        <v>0</v>
      </c>
      <c r="R162">
        <v>0</v>
      </c>
      <c r="S162">
        <v>2</v>
      </c>
      <c r="T162">
        <v>3000</v>
      </c>
    </row>
    <row r="163" spans="1:20">
      <c r="A163" t="s">
        <v>243</v>
      </c>
      <c r="B163" s="1">
        <v>45328</v>
      </c>
      <c r="C163">
        <v>6</v>
      </c>
      <c r="D163">
        <v>2</v>
      </c>
      <c r="E163" t="s">
        <v>218</v>
      </c>
      <c r="F163" t="s">
        <v>13</v>
      </c>
      <c r="G163" t="s">
        <v>14</v>
      </c>
      <c r="H163">
        <v>1</v>
      </c>
      <c r="I163">
        <v>456</v>
      </c>
      <c r="J163">
        <v>5</v>
      </c>
      <c r="K163" t="s">
        <v>1925</v>
      </c>
      <c r="L163">
        <v>220</v>
      </c>
      <c r="M163">
        <v>456</v>
      </c>
      <c r="N163">
        <v>220</v>
      </c>
      <c r="O163">
        <v>236</v>
      </c>
      <c r="P163">
        <v>0.51754385964912297</v>
      </c>
      <c r="Q163">
        <v>0</v>
      </c>
      <c r="R163">
        <v>0</v>
      </c>
      <c r="S163">
        <v>1</v>
      </c>
      <c r="T163">
        <v>456</v>
      </c>
    </row>
    <row r="164" spans="1:20">
      <c r="A164" t="s">
        <v>244</v>
      </c>
      <c r="B164" s="1">
        <v>45329</v>
      </c>
      <c r="C164">
        <v>6</v>
      </c>
      <c r="D164">
        <v>2</v>
      </c>
      <c r="E164" t="s">
        <v>218</v>
      </c>
      <c r="F164" t="s">
        <v>45</v>
      </c>
      <c r="G164" t="s">
        <v>26</v>
      </c>
      <c r="H164">
        <v>4</v>
      </c>
      <c r="I164">
        <v>4500</v>
      </c>
      <c r="J164">
        <v>0</v>
      </c>
      <c r="K164" t="s">
        <v>1938</v>
      </c>
      <c r="L164">
        <v>1800</v>
      </c>
      <c r="M164">
        <v>18000</v>
      </c>
      <c r="N164">
        <v>7200</v>
      </c>
      <c r="O164">
        <v>10800</v>
      </c>
      <c r="P164">
        <v>0.6</v>
      </c>
      <c r="Q164">
        <v>0</v>
      </c>
      <c r="R164">
        <v>0</v>
      </c>
      <c r="S164">
        <v>4</v>
      </c>
      <c r="T164">
        <v>18000</v>
      </c>
    </row>
    <row r="165" spans="1:20">
      <c r="A165" t="s">
        <v>246</v>
      </c>
      <c r="B165" s="1">
        <v>45329</v>
      </c>
      <c r="C165">
        <v>6</v>
      </c>
      <c r="D165">
        <v>2</v>
      </c>
      <c r="E165" t="s">
        <v>218</v>
      </c>
      <c r="F165" t="s">
        <v>82</v>
      </c>
      <c r="G165" t="s">
        <v>20</v>
      </c>
      <c r="H165">
        <v>5</v>
      </c>
      <c r="I165">
        <v>810</v>
      </c>
      <c r="J165">
        <v>10</v>
      </c>
      <c r="K165" t="s">
        <v>1933</v>
      </c>
      <c r="L165">
        <v>500</v>
      </c>
      <c r="M165">
        <v>4050</v>
      </c>
      <c r="N165">
        <v>2500</v>
      </c>
      <c r="O165">
        <v>1550</v>
      </c>
      <c r="P165">
        <v>0.38271604938271597</v>
      </c>
      <c r="Q165">
        <v>0</v>
      </c>
      <c r="R165">
        <v>0</v>
      </c>
      <c r="S165">
        <v>5</v>
      </c>
      <c r="T165">
        <v>4050</v>
      </c>
    </row>
    <row r="166" spans="1:20">
      <c r="A166" t="s">
        <v>247</v>
      </c>
      <c r="B166" s="1">
        <v>45329</v>
      </c>
      <c r="C166">
        <v>6</v>
      </c>
      <c r="D166">
        <v>2</v>
      </c>
      <c r="E166" t="s">
        <v>218</v>
      </c>
      <c r="F166" t="s">
        <v>94</v>
      </c>
      <c r="G166" t="s">
        <v>17</v>
      </c>
      <c r="H166">
        <v>1</v>
      </c>
      <c r="I166">
        <v>1512</v>
      </c>
      <c r="J166">
        <v>10</v>
      </c>
      <c r="K166" t="s">
        <v>1943</v>
      </c>
      <c r="L166">
        <v>800</v>
      </c>
      <c r="M166">
        <v>1512</v>
      </c>
      <c r="N166">
        <v>800</v>
      </c>
      <c r="O166">
        <v>712</v>
      </c>
      <c r="P166">
        <v>0.47089947089947098</v>
      </c>
      <c r="Q166">
        <v>0</v>
      </c>
      <c r="R166">
        <v>0</v>
      </c>
      <c r="S166">
        <v>1</v>
      </c>
      <c r="T166">
        <v>1512</v>
      </c>
    </row>
    <row r="167" spans="1:20">
      <c r="A167" t="s">
        <v>248</v>
      </c>
      <c r="B167" s="1">
        <v>45329</v>
      </c>
      <c r="C167">
        <v>6</v>
      </c>
      <c r="D167">
        <v>2</v>
      </c>
      <c r="E167" t="s">
        <v>218</v>
      </c>
      <c r="F167" t="s">
        <v>66</v>
      </c>
      <c r="G167" t="s">
        <v>17</v>
      </c>
      <c r="H167">
        <v>5</v>
      </c>
      <c r="I167">
        <v>1470</v>
      </c>
      <c r="J167">
        <v>0</v>
      </c>
      <c r="K167" t="s">
        <v>1941</v>
      </c>
      <c r="L167">
        <v>700</v>
      </c>
      <c r="M167">
        <v>7350</v>
      </c>
      <c r="N167">
        <v>3500</v>
      </c>
      <c r="O167">
        <v>3850</v>
      </c>
      <c r="P167">
        <v>0.52380952380952395</v>
      </c>
      <c r="Q167">
        <v>0</v>
      </c>
      <c r="R167">
        <v>0</v>
      </c>
      <c r="S167">
        <v>5</v>
      </c>
      <c r="T167">
        <v>7350</v>
      </c>
    </row>
    <row r="168" spans="1:20">
      <c r="A168" t="s">
        <v>249</v>
      </c>
      <c r="B168" s="1">
        <v>45329</v>
      </c>
      <c r="C168">
        <v>6</v>
      </c>
      <c r="D168">
        <v>2</v>
      </c>
      <c r="E168" t="s">
        <v>218</v>
      </c>
      <c r="F168" t="s">
        <v>28</v>
      </c>
      <c r="G168" t="s">
        <v>26</v>
      </c>
      <c r="H168">
        <v>5</v>
      </c>
      <c r="I168">
        <v>1425</v>
      </c>
      <c r="J168">
        <v>5</v>
      </c>
      <c r="K168" t="s">
        <v>1939</v>
      </c>
      <c r="L168">
        <v>600</v>
      </c>
      <c r="M168">
        <v>7125</v>
      </c>
      <c r="N168">
        <v>3000</v>
      </c>
      <c r="O168">
        <v>4125</v>
      </c>
      <c r="P168">
        <v>0.57894736842105299</v>
      </c>
      <c r="Q168">
        <v>0</v>
      </c>
      <c r="R168">
        <v>0</v>
      </c>
      <c r="S168">
        <v>5</v>
      </c>
      <c r="T168">
        <v>7125</v>
      </c>
    </row>
    <row r="169" spans="1:20">
      <c r="A169" t="s">
        <v>250</v>
      </c>
      <c r="B169" s="1">
        <v>45329</v>
      </c>
      <c r="C169">
        <v>6</v>
      </c>
      <c r="D169">
        <v>2</v>
      </c>
      <c r="E169" t="s">
        <v>218</v>
      </c>
      <c r="F169" t="s">
        <v>82</v>
      </c>
      <c r="G169" t="s">
        <v>20</v>
      </c>
      <c r="H169">
        <v>1</v>
      </c>
      <c r="I169">
        <v>900</v>
      </c>
      <c r="J169">
        <v>0</v>
      </c>
      <c r="K169" t="s">
        <v>1933</v>
      </c>
      <c r="L169">
        <v>500</v>
      </c>
      <c r="M169">
        <v>900</v>
      </c>
      <c r="N169">
        <v>500</v>
      </c>
      <c r="O169">
        <v>400</v>
      </c>
      <c r="P169">
        <v>0.44444444444444398</v>
      </c>
      <c r="Q169">
        <v>0</v>
      </c>
      <c r="R169">
        <v>0</v>
      </c>
      <c r="S169">
        <v>1</v>
      </c>
      <c r="T169">
        <v>900</v>
      </c>
    </row>
    <row r="170" spans="1:20">
      <c r="A170" t="s">
        <v>251</v>
      </c>
      <c r="B170" s="1">
        <v>45330</v>
      </c>
      <c r="C170">
        <v>6</v>
      </c>
      <c r="D170">
        <v>2</v>
      </c>
      <c r="E170" t="s">
        <v>218</v>
      </c>
      <c r="F170" t="s">
        <v>115</v>
      </c>
      <c r="G170" t="s">
        <v>23</v>
      </c>
      <c r="H170">
        <v>5</v>
      </c>
      <c r="I170">
        <v>1200</v>
      </c>
      <c r="J170">
        <v>0</v>
      </c>
      <c r="K170" t="s">
        <v>1926</v>
      </c>
      <c r="L170">
        <v>600</v>
      </c>
      <c r="M170">
        <v>6000</v>
      </c>
      <c r="N170">
        <v>3000</v>
      </c>
      <c r="O170">
        <v>3000</v>
      </c>
      <c r="P170">
        <v>0.5</v>
      </c>
      <c r="Q170">
        <v>0</v>
      </c>
      <c r="R170">
        <v>0</v>
      </c>
      <c r="S170">
        <v>5</v>
      </c>
      <c r="T170">
        <v>6000</v>
      </c>
    </row>
    <row r="171" spans="1:20">
      <c r="A171" t="s">
        <v>253</v>
      </c>
      <c r="B171" s="1">
        <v>45330</v>
      </c>
      <c r="C171">
        <v>6</v>
      </c>
      <c r="D171">
        <v>2</v>
      </c>
      <c r="E171" t="s">
        <v>218</v>
      </c>
      <c r="F171" t="s">
        <v>13</v>
      </c>
      <c r="G171" t="s">
        <v>14</v>
      </c>
      <c r="H171">
        <v>5</v>
      </c>
      <c r="I171">
        <v>432</v>
      </c>
      <c r="J171">
        <v>10</v>
      </c>
      <c r="K171" t="s">
        <v>1925</v>
      </c>
      <c r="L171">
        <v>220</v>
      </c>
      <c r="M171">
        <v>2160</v>
      </c>
      <c r="N171">
        <v>1100</v>
      </c>
      <c r="O171">
        <v>1060</v>
      </c>
      <c r="P171">
        <v>0.49074074074074098</v>
      </c>
      <c r="Q171">
        <v>0</v>
      </c>
      <c r="R171">
        <v>0</v>
      </c>
      <c r="S171">
        <v>5</v>
      </c>
      <c r="T171">
        <v>2160</v>
      </c>
    </row>
    <row r="172" spans="1:20">
      <c r="A172" t="s">
        <v>254</v>
      </c>
      <c r="B172" s="1">
        <v>45330</v>
      </c>
      <c r="C172">
        <v>6</v>
      </c>
      <c r="D172">
        <v>2</v>
      </c>
      <c r="E172" t="s">
        <v>218</v>
      </c>
      <c r="F172" t="s">
        <v>146</v>
      </c>
      <c r="G172" t="s">
        <v>20</v>
      </c>
      <c r="H172">
        <v>3</v>
      </c>
      <c r="I172">
        <v>630</v>
      </c>
      <c r="J172">
        <v>0</v>
      </c>
      <c r="K172" t="s">
        <v>1934</v>
      </c>
      <c r="L172">
        <v>350</v>
      </c>
      <c r="M172">
        <v>1890</v>
      </c>
      <c r="N172">
        <v>1050</v>
      </c>
      <c r="O172">
        <v>840</v>
      </c>
      <c r="P172">
        <v>0.44444444444444398</v>
      </c>
      <c r="Q172">
        <v>0</v>
      </c>
      <c r="R172">
        <v>0</v>
      </c>
      <c r="S172">
        <v>3</v>
      </c>
      <c r="T172">
        <v>1890</v>
      </c>
    </row>
    <row r="173" spans="1:20">
      <c r="A173" t="s">
        <v>255</v>
      </c>
      <c r="B173" s="1">
        <v>45330</v>
      </c>
      <c r="C173">
        <v>6</v>
      </c>
      <c r="D173">
        <v>2</v>
      </c>
      <c r="E173" t="s">
        <v>218</v>
      </c>
      <c r="F173" t="s">
        <v>68</v>
      </c>
      <c r="G173" t="s">
        <v>26</v>
      </c>
      <c r="H173">
        <v>4</v>
      </c>
      <c r="I173">
        <v>361</v>
      </c>
      <c r="J173">
        <v>5</v>
      </c>
      <c r="K173" t="s">
        <v>1937</v>
      </c>
      <c r="L173">
        <v>150</v>
      </c>
      <c r="M173">
        <v>1444</v>
      </c>
      <c r="N173">
        <v>600</v>
      </c>
      <c r="O173">
        <v>844</v>
      </c>
      <c r="P173">
        <v>0.58448753462603897</v>
      </c>
      <c r="Q173">
        <v>0</v>
      </c>
      <c r="R173">
        <v>0</v>
      </c>
      <c r="S173">
        <v>4</v>
      </c>
      <c r="T173">
        <v>1444</v>
      </c>
    </row>
    <row r="174" spans="1:20">
      <c r="A174" t="s">
        <v>256</v>
      </c>
      <c r="B174" s="1">
        <v>45331</v>
      </c>
      <c r="C174">
        <v>6</v>
      </c>
      <c r="D174">
        <v>2</v>
      </c>
      <c r="E174" t="s">
        <v>218</v>
      </c>
      <c r="F174" t="s">
        <v>58</v>
      </c>
      <c r="G174" t="s">
        <v>23</v>
      </c>
      <c r="H174">
        <v>3</v>
      </c>
      <c r="I174">
        <v>950</v>
      </c>
      <c r="J174">
        <v>5</v>
      </c>
      <c r="K174" t="s">
        <v>1927</v>
      </c>
      <c r="L174">
        <v>500</v>
      </c>
      <c r="M174">
        <v>2850</v>
      </c>
      <c r="N174">
        <v>1500</v>
      </c>
      <c r="O174">
        <v>1350</v>
      </c>
      <c r="P174">
        <v>0.47368421052631599</v>
      </c>
      <c r="Q174">
        <v>0</v>
      </c>
      <c r="R174">
        <v>0</v>
      </c>
      <c r="S174">
        <v>3</v>
      </c>
      <c r="T174">
        <v>2850</v>
      </c>
    </row>
    <row r="175" spans="1:20">
      <c r="A175" t="s">
        <v>258</v>
      </c>
      <c r="B175" s="1">
        <v>45331</v>
      </c>
      <c r="C175">
        <v>6</v>
      </c>
      <c r="D175">
        <v>2</v>
      </c>
      <c r="E175" t="s">
        <v>218</v>
      </c>
      <c r="F175" t="s">
        <v>64</v>
      </c>
      <c r="G175" t="s">
        <v>14</v>
      </c>
      <c r="H175">
        <v>5</v>
      </c>
      <c r="I175">
        <v>2640</v>
      </c>
      <c r="J175">
        <v>0</v>
      </c>
      <c r="K175" t="s">
        <v>1923</v>
      </c>
      <c r="L175">
        <v>1200</v>
      </c>
      <c r="M175">
        <v>13200</v>
      </c>
      <c r="N175">
        <v>6000</v>
      </c>
      <c r="O175">
        <v>7200</v>
      </c>
      <c r="P175">
        <v>0.54545454545454497</v>
      </c>
      <c r="Q175">
        <v>0</v>
      </c>
      <c r="R175">
        <v>0</v>
      </c>
      <c r="S175">
        <v>5</v>
      </c>
      <c r="T175">
        <v>13200</v>
      </c>
    </row>
    <row r="176" spans="1:20">
      <c r="A176" t="s">
        <v>259</v>
      </c>
      <c r="B176" s="1">
        <v>45331</v>
      </c>
      <c r="C176">
        <v>6</v>
      </c>
      <c r="D176">
        <v>2</v>
      </c>
      <c r="E176" t="s">
        <v>218</v>
      </c>
      <c r="F176" t="s">
        <v>22</v>
      </c>
      <c r="G176" t="s">
        <v>23</v>
      </c>
      <c r="H176">
        <v>3</v>
      </c>
      <c r="I176">
        <v>500</v>
      </c>
      <c r="J176">
        <v>0</v>
      </c>
      <c r="K176" t="s">
        <v>1929</v>
      </c>
      <c r="L176">
        <v>250</v>
      </c>
      <c r="M176">
        <v>1500</v>
      </c>
      <c r="N176">
        <v>750</v>
      </c>
      <c r="O176">
        <v>750</v>
      </c>
      <c r="P176">
        <v>0.5</v>
      </c>
      <c r="Q176">
        <v>0</v>
      </c>
      <c r="R176">
        <v>0</v>
      </c>
      <c r="S176">
        <v>3</v>
      </c>
      <c r="T176">
        <v>1500</v>
      </c>
    </row>
    <row r="177" spans="1:20">
      <c r="A177" t="s">
        <v>260</v>
      </c>
      <c r="B177" s="1">
        <v>45331</v>
      </c>
      <c r="C177">
        <v>6</v>
      </c>
      <c r="D177">
        <v>2</v>
      </c>
      <c r="E177" t="s">
        <v>218</v>
      </c>
      <c r="F177" t="s">
        <v>64</v>
      </c>
      <c r="G177" t="s">
        <v>14</v>
      </c>
      <c r="H177">
        <v>2</v>
      </c>
      <c r="I177">
        <v>2508</v>
      </c>
      <c r="J177">
        <v>5</v>
      </c>
      <c r="K177" t="s">
        <v>1923</v>
      </c>
      <c r="L177">
        <v>1200</v>
      </c>
      <c r="M177">
        <v>5016</v>
      </c>
      <c r="N177">
        <v>2400</v>
      </c>
      <c r="O177">
        <v>2616</v>
      </c>
      <c r="P177">
        <v>0.52153110047846896</v>
      </c>
      <c r="Q177">
        <v>0</v>
      </c>
      <c r="R177">
        <v>0</v>
      </c>
      <c r="S177">
        <v>2</v>
      </c>
      <c r="T177">
        <v>5016</v>
      </c>
    </row>
    <row r="178" spans="1:20">
      <c r="A178" t="s">
        <v>261</v>
      </c>
      <c r="B178" s="1">
        <v>45331</v>
      </c>
      <c r="C178">
        <v>6</v>
      </c>
      <c r="D178">
        <v>2</v>
      </c>
      <c r="E178" t="s">
        <v>218</v>
      </c>
      <c r="F178" t="s">
        <v>45</v>
      </c>
      <c r="G178" t="s">
        <v>26</v>
      </c>
      <c r="H178">
        <v>5</v>
      </c>
      <c r="I178">
        <v>4275</v>
      </c>
      <c r="J178">
        <v>5</v>
      </c>
      <c r="K178" t="s">
        <v>1938</v>
      </c>
      <c r="L178">
        <v>1800</v>
      </c>
      <c r="M178">
        <v>21375</v>
      </c>
      <c r="N178">
        <v>9000</v>
      </c>
      <c r="O178">
        <v>12375</v>
      </c>
      <c r="P178">
        <v>0.57894736842105299</v>
      </c>
      <c r="Q178">
        <v>0</v>
      </c>
      <c r="R178">
        <v>0</v>
      </c>
      <c r="S178">
        <v>5</v>
      </c>
      <c r="T178">
        <v>21375</v>
      </c>
    </row>
    <row r="179" spans="1:20">
      <c r="A179" t="s">
        <v>262</v>
      </c>
      <c r="B179" s="1">
        <v>45332</v>
      </c>
      <c r="C179">
        <v>6</v>
      </c>
      <c r="D179">
        <v>2</v>
      </c>
      <c r="E179" t="s">
        <v>218</v>
      </c>
      <c r="F179" t="s">
        <v>66</v>
      </c>
      <c r="G179" t="s">
        <v>17</v>
      </c>
      <c r="H179">
        <v>1</v>
      </c>
      <c r="I179">
        <v>1396.5</v>
      </c>
      <c r="J179">
        <v>5</v>
      </c>
      <c r="K179" t="s">
        <v>1941</v>
      </c>
      <c r="L179">
        <v>700</v>
      </c>
      <c r="M179">
        <v>1396.5</v>
      </c>
      <c r="N179">
        <v>700</v>
      </c>
      <c r="O179">
        <v>696.5</v>
      </c>
      <c r="P179">
        <v>0.49874686716791999</v>
      </c>
      <c r="Q179">
        <v>0</v>
      </c>
      <c r="R179">
        <v>0</v>
      </c>
      <c r="S179">
        <v>1</v>
      </c>
      <c r="T179">
        <v>1396.5</v>
      </c>
    </row>
    <row r="180" spans="1:20">
      <c r="A180" t="s">
        <v>264</v>
      </c>
      <c r="B180" s="1">
        <v>45332</v>
      </c>
      <c r="C180">
        <v>6</v>
      </c>
      <c r="D180">
        <v>2</v>
      </c>
      <c r="E180" t="s">
        <v>218</v>
      </c>
      <c r="F180" t="s">
        <v>115</v>
      </c>
      <c r="G180" t="s">
        <v>23</v>
      </c>
      <c r="H180">
        <v>5</v>
      </c>
      <c r="I180">
        <v>1020</v>
      </c>
      <c r="J180">
        <v>15</v>
      </c>
      <c r="K180" t="s">
        <v>1926</v>
      </c>
      <c r="L180">
        <v>600</v>
      </c>
      <c r="M180">
        <v>5100</v>
      </c>
      <c r="N180">
        <v>3000</v>
      </c>
      <c r="O180">
        <v>2100</v>
      </c>
      <c r="P180">
        <v>0.41176470588235298</v>
      </c>
      <c r="Q180">
        <v>0</v>
      </c>
      <c r="R180">
        <v>0</v>
      </c>
      <c r="S180">
        <v>5</v>
      </c>
      <c r="T180">
        <v>5100</v>
      </c>
    </row>
    <row r="181" spans="1:20">
      <c r="A181" t="s">
        <v>265</v>
      </c>
      <c r="B181" s="1">
        <v>45333</v>
      </c>
      <c r="C181">
        <v>6</v>
      </c>
      <c r="D181">
        <v>2</v>
      </c>
      <c r="E181" t="s">
        <v>218</v>
      </c>
      <c r="F181" t="s">
        <v>35</v>
      </c>
      <c r="G181" t="s">
        <v>17</v>
      </c>
      <c r="H181">
        <v>4</v>
      </c>
      <c r="I181">
        <v>3150</v>
      </c>
      <c r="J181">
        <v>0</v>
      </c>
      <c r="K181" t="s">
        <v>1942</v>
      </c>
      <c r="L181">
        <v>1500</v>
      </c>
      <c r="M181">
        <v>12600</v>
      </c>
      <c r="N181">
        <v>6000</v>
      </c>
      <c r="O181">
        <v>6600</v>
      </c>
      <c r="P181">
        <v>0.52380952380952395</v>
      </c>
      <c r="Q181">
        <v>0</v>
      </c>
      <c r="R181">
        <v>0</v>
      </c>
      <c r="S181">
        <v>4</v>
      </c>
      <c r="T181">
        <v>12600</v>
      </c>
    </row>
    <row r="182" spans="1:20">
      <c r="A182" t="s">
        <v>267</v>
      </c>
      <c r="B182" s="1">
        <v>45333</v>
      </c>
      <c r="C182">
        <v>6</v>
      </c>
      <c r="D182">
        <v>2</v>
      </c>
      <c r="E182" t="s">
        <v>218</v>
      </c>
      <c r="F182" t="s">
        <v>25</v>
      </c>
      <c r="G182" t="s">
        <v>26</v>
      </c>
      <c r="H182">
        <v>2</v>
      </c>
      <c r="I182">
        <v>1000</v>
      </c>
      <c r="J182">
        <v>0</v>
      </c>
      <c r="K182" t="s">
        <v>1940</v>
      </c>
      <c r="L182">
        <v>400</v>
      </c>
      <c r="M182">
        <v>2000</v>
      </c>
      <c r="N182">
        <v>800</v>
      </c>
      <c r="O182">
        <v>1200</v>
      </c>
      <c r="P182">
        <v>0.6</v>
      </c>
      <c r="Q182">
        <v>0</v>
      </c>
      <c r="R182">
        <v>0</v>
      </c>
      <c r="S182">
        <v>2</v>
      </c>
      <c r="T182">
        <v>2000</v>
      </c>
    </row>
    <row r="183" spans="1:20">
      <c r="A183" t="s">
        <v>268</v>
      </c>
      <c r="B183" s="1">
        <v>45334</v>
      </c>
      <c r="C183">
        <v>7</v>
      </c>
      <c r="D183">
        <v>2</v>
      </c>
      <c r="E183" t="s">
        <v>218</v>
      </c>
      <c r="F183" t="s">
        <v>39</v>
      </c>
      <c r="G183" t="s">
        <v>14</v>
      </c>
      <c r="H183">
        <v>5</v>
      </c>
      <c r="I183">
        <v>880</v>
      </c>
      <c r="J183">
        <v>0</v>
      </c>
      <c r="K183" t="s">
        <v>1921</v>
      </c>
      <c r="L183">
        <v>400</v>
      </c>
      <c r="M183">
        <v>4400</v>
      </c>
      <c r="N183">
        <v>2000</v>
      </c>
      <c r="O183">
        <v>2400</v>
      </c>
      <c r="P183">
        <v>0.54545454545454497</v>
      </c>
      <c r="Q183">
        <v>0</v>
      </c>
      <c r="R183">
        <v>0</v>
      </c>
      <c r="S183">
        <v>5</v>
      </c>
      <c r="T183">
        <v>4400</v>
      </c>
    </row>
    <row r="184" spans="1:20">
      <c r="A184" t="s">
        <v>270</v>
      </c>
      <c r="B184" s="1">
        <v>45335</v>
      </c>
      <c r="C184">
        <v>7</v>
      </c>
      <c r="D184">
        <v>2</v>
      </c>
      <c r="E184" t="s">
        <v>218</v>
      </c>
      <c r="F184" t="s">
        <v>64</v>
      </c>
      <c r="G184" t="s">
        <v>14</v>
      </c>
      <c r="H184">
        <v>1</v>
      </c>
      <c r="I184">
        <v>2244</v>
      </c>
      <c r="J184">
        <v>15</v>
      </c>
      <c r="K184" t="s">
        <v>1923</v>
      </c>
      <c r="L184">
        <v>1200</v>
      </c>
      <c r="M184">
        <v>2244</v>
      </c>
      <c r="N184">
        <v>1200</v>
      </c>
      <c r="O184">
        <v>1044</v>
      </c>
      <c r="P184">
        <v>0.46524064171122997</v>
      </c>
      <c r="Q184">
        <v>0</v>
      </c>
      <c r="R184">
        <v>0</v>
      </c>
      <c r="S184">
        <v>1</v>
      </c>
      <c r="T184">
        <v>2244</v>
      </c>
    </row>
    <row r="185" spans="1:20">
      <c r="A185" t="s">
        <v>272</v>
      </c>
      <c r="B185" s="1">
        <v>45335</v>
      </c>
      <c r="C185">
        <v>7</v>
      </c>
      <c r="D185">
        <v>2</v>
      </c>
      <c r="E185" t="s">
        <v>218</v>
      </c>
      <c r="F185" t="s">
        <v>45</v>
      </c>
      <c r="G185" t="s">
        <v>26</v>
      </c>
      <c r="H185">
        <v>1</v>
      </c>
      <c r="I185">
        <v>4500</v>
      </c>
      <c r="J185">
        <v>0</v>
      </c>
      <c r="K185" t="s">
        <v>1938</v>
      </c>
      <c r="L185">
        <v>1800</v>
      </c>
      <c r="M185">
        <v>4500</v>
      </c>
      <c r="N185">
        <v>1800</v>
      </c>
      <c r="O185">
        <v>2700</v>
      </c>
      <c r="P185">
        <v>0.6</v>
      </c>
      <c r="Q185">
        <v>0</v>
      </c>
      <c r="R185">
        <v>0</v>
      </c>
      <c r="S185">
        <v>1</v>
      </c>
      <c r="T185">
        <v>4500</v>
      </c>
    </row>
    <row r="186" spans="1:20">
      <c r="A186" t="s">
        <v>273</v>
      </c>
      <c r="B186" s="1">
        <v>45336</v>
      </c>
      <c r="C186">
        <v>7</v>
      </c>
      <c r="D186">
        <v>2</v>
      </c>
      <c r="E186" t="s">
        <v>218</v>
      </c>
      <c r="F186" t="s">
        <v>28</v>
      </c>
      <c r="G186" t="s">
        <v>26</v>
      </c>
      <c r="H186">
        <v>1</v>
      </c>
      <c r="I186">
        <v>1275</v>
      </c>
      <c r="J186">
        <v>15</v>
      </c>
      <c r="K186" t="s">
        <v>1939</v>
      </c>
      <c r="L186">
        <v>600</v>
      </c>
      <c r="M186">
        <v>1275</v>
      </c>
      <c r="N186">
        <v>600</v>
      </c>
      <c r="O186">
        <v>675</v>
      </c>
      <c r="P186">
        <v>0.52941176470588203</v>
      </c>
      <c r="Q186">
        <v>1</v>
      </c>
      <c r="R186">
        <v>1</v>
      </c>
      <c r="S186">
        <v>0</v>
      </c>
      <c r="T186">
        <v>0</v>
      </c>
    </row>
    <row r="187" spans="1:20">
      <c r="A187" t="s">
        <v>275</v>
      </c>
      <c r="B187" s="1">
        <v>45336</v>
      </c>
      <c r="C187">
        <v>7</v>
      </c>
      <c r="D187">
        <v>2</v>
      </c>
      <c r="E187" t="s">
        <v>218</v>
      </c>
      <c r="F187" t="s">
        <v>45</v>
      </c>
      <c r="G187" t="s">
        <v>26</v>
      </c>
      <c r="H187">
        <v>4</v>
      </c>
      <c r="I187">
        <v>4500</v>
      </c>
      <c r="J187">
        <v>0</v>
      </c>
      <c r="K187" t="s">
        <v>1938</v>
      </c>
      <c r="L187">
        <v>1800</v>
      </c>
      <c r="M187">
        <v>18000</v>
      </c>
      <c r="N187">
        <v>7200</v>
      </c>
      <c r="O187">
        <v>10800</v>
      </c>
      <c r="P187">
        <v>0.6</v>
      </c>
      <c r="Q187">
        <v>0</v>
      </c>
      <c r="R187">
        <v>0</v>
      </c>
      <c r="S187">
        <v>4</v>
      </c>
      <c r="T187">
        <v>18000</v>
      </c>
    </row>
    <row r="188" spans="1:20">
      <c r="A188" t="s">
        <v>276</v>
      </c>
      <c r="B188" s="1">
        <v>45336</v>
      </c>
      <c r="C188">
        <v>7</v>
      </c>
      <c r="D188">
        <v>2</v>
      </c>
      <c r="E188" t="s">
        <v>218</v>
      </c>
      <c r="F188" t="s">
        <v>51</v>
      </c>
      <c r="G188" t="s">
        <v>26</v>
      </c>
      <c r="H188">
        <v>3</v>
      </c>
      <c r="I188">
        <v>475</v>
      </c>
      <c r="J188">
        <v>5</v>
      </c>
      <c r="K188" t="s">
        <v>1936</v>
      </c>
      <c r="L188">
        <v>200</v>
      </c>
      <c r="M188">
        <v>1425</v>
      </c>
      <c r="N188">
        <v>600</v>
      </c>
      <c r="O188">
        <v>825</v>
      </c>
      <c r="P188">
        <v>0.57894736842105299</v>
      </c>
      <c r="Q188">
        <v>0</v>
      </c>
      <c r="R188">
        <v>0</v>
      </c>
      <c r="S188">
        <v>3</v>
      </c>
      <c r="T188">
        <v>1425</v>
      </c>
    </row>
    <row r="189" spans="1:20">
      <c r="A189" t="s">
        <v>277</v>
      </c>
      <c r="B189" s="1">
        <v>45336</v>
      </c>
      <c r="C189">
        <v>7</v>
      </c>
      <c r="D189">
        <v>2</v>
      </c>
      <c r="E189" t="s">
        <v>218</v>
      </c>
      <c r="F189" t="s">
        <v>86</v>
      </c>
      <c r="G189" t="s">
        <v>17</v>
      </c>
      <c r="H189">
        <v>4</v>
      </c>
      <c r="I189">
        <v>940</v>
      </c>
      <c r="J189">
        <v>0</v>
      </c>
      <c r="K189" t="s">
        <v>1944</v>
      </c>
      <c r="L189">
        <v>450</v>
      </c>
      <c r="M189">
        <v>3760</v>
      </c>
      <c r="N189">
        <v>1800</v>
      </c>
      <c r="O189">
        <v>1960</v>
      </c>
      <c r="P189">
        <v>0.52127659574468099</v>
      </c>
      <c r="Q189">
        <v>0</v>
      </c>
      <c r="R189">
        <v>0</v>
      </c>
      <c r="S189">
        <v>4</v>
      </c>
      <c r="T189">
        <v>3760</v>
      </c>
    </row>
    <row r="190" spans="1:20">
      <c r="A190" t="s">
        <v>278</v>
      </c>
      <c r="B190" s="1">
        <v>45337</v>
      </c>
      <c r="C190">
        <v>7</v>
      </c>
      <c r="D190">
        <v>2</v>
      </c>
      <c r="E190" t="s">
        <v>218</v>
      </c>
      <c r="F190" t="s">
        <v>35</v>
      </c>
      <c r="G190" t="s">
        <v>17</v>
      </c>
      <c r="H190">
        <v>3</v>
      </c>
      <c r="I190">
        <v>2835</v>
      </c>
      <c r="J190">
        <v>10</v>
      </c>
      <c r="K190" t="s">
        <v>1942</v>
      </c>
      <c r="L190">
        <v>1500</v>
      </c>
      <c r="M190">
        <v>8505</v>
      </c>
      <c r="N190">
        <v>4500</v>
      </c>
      <c r="O190">
        <v>4005</v>
      </c>
      <c r="P190">
        <v>0.47089947089947098</v>
      </c>
      <c r="Q190">
        <v>0</v>
      </c>
      <c r="R190">
        <v>0</v>
      </c>
      <c r="S190">
        <v>3</v>
      </c>
      <c r="T190">
        <v>8505</v>
      </c>
    </row>
    <row r="191" spans="1:20">
      <c r="A191" t="s">
        <v>280</v>
      </c>
      <c r="B191" s="1">
        <v>45337</v>
      </c>
      <c r="C191">
        <v>7</v>
      </c>
      <c r="D191">
        <v>2</v>
      </c>
      <c r="E191" t="s">
        <v>218</v>
      </c>
      <c r="F191" t="s">
        <v>37</v>
      </c>
      <c r="G191" t="s">
        <v>20</v>
      </c>
      <c r="H191">
        <v>5</v>
      </c>
      <c r="I191">
        <v>2340</v>
      </c>
      <c r="J191">
        <v>0</v>
      </c>
      <c r="K191" t="s">
        <v>1935</v>
      </c>
      <c r="L191">
        <v>1300</v>
      </c>
      <c r="M191">
        <v>11700</v>
      </c>
      <c r="N191">
        <v>6500</v>
      </c>
      <c r="O191">
        <v>5200</v>
      </c>
      <c r="P191">
        <v>0.44444444444444398</v>
      </c>
      <c r="Q191">
        <v>0</v>
      </c>
      <c r="R191">
        <v>0</v>
      </c>
      <c r="S191">
        <v>5</v>
      </c>
      <c r="T191">
        <v>11700</v>
      </c>
    </row>
    <row r="192" spans="1:20">
      <c r="A192" t="s">
        <v>281</v>
      </c>
      <c r="B192" s="1">
        <v>45337</v>
      </c>
      <c r="C192">
        <v>7</v>
      </c>
      <c r="D192">
        <v>2</v>
      </c>
      <c r="E192" t="s">
        <v>218</v>
      </c>
      <c r="F192" t="s">
        <v>13</v>
      </c>
      <c r="G192" t="s">
        <v>14</v>
      </c>
      <c r="H192">
        <v>3</v>
      </c>
      <c r="I192">
        <v>480</v>
      </c>
      <c r="J192">
        <v>0</v>
      </c>
      <c r="K192" t="s">
        <v>1925</v>
      </c>
      <c r="L192">
        <v>220</v>
      </c>
      <c r="M192">
        <v>1440</v>
      </c>
      <c r="N192">
        <v>660</v>
      </c>
      <c r="O192">
        <v>780</v>
      </c>
      <c r="P192">
        <v>0.54166666666666696</v>
      </c>
      <c r="Q192">
        <v>0</v>
      </c>
      <c r="R192">
        <v>0</v>
      </c>
      <c r="S192">
        <v>3</v>
      </c>
      <c r="T192">
        <v>1440</v>
      </c>
    </row>
    <row r="193" spans="1:20">
      <c r="A193" t="s">
        <v>282</v>
      </c>
      <c r="B193" s="1">
        <v>45337</v>
      </c>
      <c r="C193">
        <v>7</v>
      </c>
      <c r="D193">
        <v>2</v>
      </c>
      <c r="E193" t="s">
        <v>218</v>
      </c>
      <c r="F193" t="s">
        <v>82</v>
      </c>
      <c r="G193" t="s">
        <v>20</v>
      </c>
      <c r="H193">
        <v>5</v>
      </c>
      <c r="I193">
        <v>765</v>
      </c>
      <c r="J193">
        <v>15</v>
      </c>
      <c r="K193" t="s">
        <v>1933</v>
      </c>
      <c r="L193">
        <v>500</v>
      </c>
      <c r="M193">
        <v>3825</v>
      </c>
      <c r="N193">
        <v>2500</v>
      </c>
      <c r="O193">
        <v>1325</v>
      </c>
      <c r="P193">
        <v>0.34640522875816998</v>
      </c>
      <c r="Q193">
        <v>0</v>
      </c>
      <c r="R193">
        <v>0</v>
      </c>
      <c r="S193">
        <v>5</v>
      </c>
      <c r="T193">
        <v>3825</v>
      </c>
    </row>
    <row r="194" spans="1:20">
      <c r="A194" t="s">
        <v>283</v>
      </c>
      <c r="B194" s="1">
        <v>45338</v>
      </c>
      <c r="C194">
        <v>7</v>
      </c>
      <c r="D194">
        <v>2</v>
      </c>
      <c r="E194" t="s">
        <v>218</v>
      </c>
      <c r="F194" t="s">
        <v>97</v>
      </c>
      <c r="G194" t="s">
        <v>20</v>
      </c>
      <c r="H194">
        <v>1</v>
      </c>
      <c r="I194">
        <v>1881</v>
      </c>
      <c r="J194">
        <v>5</v>
      </c>
      <c r="K194" t="s">
        <v>1932</v>
      </c>
      <c r="L194">
        <v>1100</v>
      </c>
      <c r="M194">
        <v>1881</v>
      </c>
      <c r="N194">
        <v>1100</v>
      </c>
      <c r="O194">
        <v>781</v>
      </c>
      <c r="P194">
        <v>0.41520467836257302</v>
      </c>
      <c r="Q194">
        <v>0</v>
      </c>
      <c r="R194">
        <v>0</v>
      </c>
      <c r="S194">
        <v>1</v>
      </c>
      <c r="T194">
        <v>1881</v>
      </c>
    </row>
    <row r="195" spans="1:20">
      <c r="A195" t="s">
        <v>285</v>
      </c>
      <c r="B195" s="1">
        <v>45338</v>
      </c>
      <c r="C195">
        <v>7</v>
      </c>
      <c r="D195">
        <v>2</v>
      </c>
      <c r="E195" t="s">
        <v>218</v>
      </c>
      <c r="F195" t="s">
        <v>13</v>
      </c>
      <c r="G195" t="s">
        <v>14</v>
      </c>
      <c r="H195">
        <v>2</v>
      </c>
      <c r="I195">
        <v>480</v>
      </c>
      <c r="J195">
        <v>0</v>
      </c>
      <c r="K195" t="s">
        <v>1925</v>
      </c>
      <c r="L195">
        <v>220</v>
      </c>
      <c r="M195">
        <v>960</v>
      </c>
      <c r="N195">
        <v>440</v>
      </c>
      <c r="O195">
        <v>520</v>
      </c>
      <c r="P195">
        <v>0.54166666666666696</v>
      </c>
      <c r="Q195">
        <v>0</v>
      </c>
      <c r="R195">
        <v>0</v>
      </c>
      <c r="S195">
        <v>2</v>
      </c>
      <c r="T195">
        <v>960</v>
      </c>
    </row>
    <row r="196" spans="1:20">
      <c r="A196" t="s">
        <v>286</v>
      </c>
      <c r="B196" s="1">
        <v>45339</v>
      </c>
      <c r="C196">
        <v>7</v>
      </c>
      <c r="D196">
        <v>2</v>
      </c>
      <c r="E196" t="s">
        <v>218</v>
      </c>
      <c r="F196" t="s">
        <v>119</v>
      </c>
      <c r="G196" t="s">
        <v>14</v>
      </c>
      <c r="H196">
        <v>3</v>
      </c>
      <c r="I196">
        <v>770</v>
      </c>
      <c r="J196">
        <v>0</v>
      </c>
      <c r="K196" t="s">
        <v>1920</v>
      </c>
      <c r="L196">
        <v>350</v>
      </c>
      <c r="M196">
        <v>2310</v>
      </c>
      <c r="N196">
        <v>1050</v>
      </c>
      <c r="O196">
        <v>1260</v>
      </c>
      <c r="P196">
        <v>0.54545454545454497</v>
      </c>
      <c r="Q196">
        <v>0</v>
      </c>
      <c r="R196">
        <v>0</v>
      </c>
      <c r="S196">
        <v>3</v>
      </c>
      <c r="T196">
        <v>2310</v>
      </c>
    </row>
    <row r="197" spans="1:20">
      <c r="A197" t="s">
        <v>288</v>
      </c>
      <c r="B197" s="1">
        <v>45339</v>
      </c>
      <c r="C197">
        <v>7</v>
      </c>
      <c r="D197">
        <v>2</v>
      </c>
      <c r="E197" t="s">
        <v>218</v>
      </c>
      <c r="F197" t="s">
        <v>80</v>
      </c>
      <c r="G197" t="s">
        <v>14</v>
      </c>
      <c r="H197">
        <v>1</v>
      </c>
      <c r="I197">
        <v>400</v>
      </c>
      <c r="J197">
        <v>0</v>
      </c>
      <c r="K197" t="s">
        <v>1922</v>
      </c>
      <c r="L197">
        <v>180</v>
      </c>
      <c r="M197">
        <v>400</v>
      </c>
      <c r="N197">
        <v>180</v>
      </c>
      <c r="O197">
        <v>220</v>
      </c>
      <c r="P197">
        <v>0.55000000000000004</v>
      </c>
      <c r="Q197">
        <v>0</v>
      </c>
      <c r="R197">
        <v>0</v>
      </c>
      <c r="S197">
        <v>1</v>
      </c>
      <c r="T197">
        <v>400</v>
      </c>
    </row>
    <row r="198" spans="1:20">
      <c r="A198" t="s">
        <v>289</v>
      </c>
      <c r="B198" s="1">
        <v>45339</v>
      </c>
      <c r="C198">
        <v>7</v>
      </c>
      <c r="D198">
        <v>2</v>
      </c>
      <c r="E198" t="s">
        <v>218</v>
      </c>
      <c r="F198" t="s">
        <v>80</v>
      </c>
      <c r="G198" t="s">
        <v>14</v>
      </c>
      <c r="H198">
        <v>4</v>
      </c>
      <c r="I198">
        <v>400</v>
      </c>
      <c r="J198">
        <v>0</v>
      </c>
      <c r="K198" t="s">
        <v>1922</v>
      </c>
      <c r="L198">
        <v>180</v>
      </c>
      <c r="M198">
        <v>1600</v>
      </c>
      <c r="N198">
        <v>720</v>
      </c>
      <c r="O198">
        <v>880</v>
      </c>
      <c r="P198">
        <v>0.55000000000000004</v>
      </c>
      <c r="Q198">
        <v>0</v>
      </c>
      <c r="R198">
        <v>0</v>
      </c>
      <c r="S198">
        <v>4</v>
      </c>
      <c r="T198">
        <v>1600</v>
      </c>
    </row>
    <row r="199" spans="1:20">
      <c r="A199" t="s">
        <v>290</v>
      </c>
      <c r="B199" s="1">
        <v>45339</v>
      </c>
      <c r="C199">
        <v>7</v>
      </c>
      <c r="D199">
        <v>2</v>
      </c>
      <c r="E199" t="s">
        <v>218</v>
      </c>
      <c r="F199" t="s">
        <v>94</v>
      </c>
      <c r="G199" t="s">
        <v>17</v>
      </c>
      <c r="H199">
        <v>2</v>
      </c>
      <c r="I199">
        <v>1680</v>
      </c>
      <c r="J199">
        <v>0</v>
      </c>
      <c r="K199" t="s">
        <v>1943</v>
      </c>
      <c r="L199">
        <v>800</v>
      </c>
      <c r="M199">
        <v>3360</v>
      </c>
      <c r="N199">
        <v>1600</v>
      </c>
      <c r="O199">
        <v>1760</v>
      </c>
      <c r="P199">
        <v>0.52380952380952395</v>
      </c>
      <c r="Q199">
        <v>0</v>
      </c>
      <c r="R199">
        <v>0</v>
      </c>
      <c r="S199">
        <v>2</v>
      </c>
      <c r="T199">
        <v>3360</v>
      </c>
    </row>
    <row r="200" spans="1:20">
      <c r="A200" t="s">
        <v>291</v>
      </c>
      <c r="B200" s="1">
        <v>45339</v>
      </c>
      <c r="C200">
        <v>7</v>
      </c>
      <c r="D200">
        <v>2</v>
      </c>
      <c r="E200" t="s">
        <v>218</v>
      </c>
      <c r="F200" t="s">
        <v>146</v>
      </c>
      <c r="G200" t="s">
        <v>20</v>
      </c>
      <c r="H200">
        <v>5</v>
      </c>
      <c r="I200">
        <v>567</v>
      </c>
      <c r="J200">
        <v>10</v>
      </c>
      <c r="K200" t="s">
        <v>1934</v>
      </c>
      <c r="L200">
        <v>350</v>
      </c>
      <c r="M200">
        <v>2835</v>
      </c>
      <c r="N200">
        <v>1750</v>
      </c>
      <c r="O200">
        <v>1085</v>
      </c>
      <c r="P200">
        <v>0.38271604938271597</v>
      </c>
      <c r="Q200">
        <v>0</v>
      </c>
      <c r="R200">
        <v>0</v>
      </c>
      <c r="S200">
        <v>5</v>
      </c>
      <c r="T200">
        <v>2835</v>
      </c>
    </row>
    <row r="201" spans="1:20">
      <c r="A201" t="s">
        <v>292</v>
      </c>
      <c r="B201" s="1">
        <v>45340</v>
      </c>
      <c r="C201">
        <v>7</v>
      </c>
      <c r="D201">
        <v>2</v>
      </c>
      <c r="E201" t="s">
        <v>218</v>
      </c>
      <c r="F201" t="s">
        <v>66</v>
      </c>
      <c r="G201" t="s">
        <v>17</v>
      </c>
      <c r="H201">
        <v>3</v>
      </c>
      <c r="I201">
        <v>1470</v>
      </c>
      <c r="J201">
        <v>0</v>
      </c>
      <c r="K201" t="s">
        <v>1941</v>
      </c>
      <c r="L201">
        <v>700</v>
      </c>
      <c r="M201">
        <v>4410</v>
      </c>
      <c r="N201">
        <v>2100</v>
      </c>
      <c r="O201">
        <v>2310</v>
      </c>
      <c r="P201">
        <v>0.52380952380952395</v>
      </c>
      <c r="Q201">
        <v>0</v>
      </c>
      <c r="R201">
        <v>0</v>
      </c>
      <c r="S201">
        <v>3</v>
      </c>
      <c r="T201">
        <v>4410</v>
      </c>
    </row>
    <row r="202" spans="1:20">
      <c r="A202" t="s">
        <v>294</v>
      </c>
      <c r="B202" s="1">
        <v>45340</v>
      </c>
      <c r="C202">
        <v>7</v>
      </c>
      <c r="D202">
        <v>2</v>
      </c>
      <c r="E202" t="s">
        <v>218</v>
      </c>
      <c r="F202" t="s">
        <v>19</v>
      </c>
      <c r="G202" t="s">
        <v>20</v>
      </c>
      <c r="H202">
        <v>2</v>
      </c>
      <c r="I202">
        <v>1620</v>
      </c>
      <c r="J202">
        <v>0</v>
      </c>
      <c r="K202" t="s">
        <v>1931</v>
      </c>
      <c r="L202">
        <v>900</v>
      </c>
      <c r="M202">
        <v>3240</v>
      </c>
      <c r="N202">
        <v>1800</v>
      </c>
      <c r="O202">
        <v>1440</v>
      </c>
      <c r="P202">
        <v>0.44444444444444398</v>
      </c>
      <c r="Q202">
        <v>0</v>
      </c>
      <c r="R202">
        <v>0</v>
      </c>
      <c r="S202">
        <v>2</v>
      </c>
      <c r="T202">
        <v>3240</v>
      </c>
    </row>
    <row r="203" spans="1:20">
      <c r="A203" t="s">
        <v>295</v>
      </c>
      <c r="B203" s="1">
        <v>45341</v>
      </c>
      <c r="C203">
        <v>8</v>
      </c>
      <c r="D203">
        <v>2</v>
      </c>
      <c r="E203" t="s">
        <v>218</v>
      </c>
      <c r="F203" t="s">
        <v>45</v>
      </c>
      <c r="G203" t="s">
        <v>26</v>
      </c>
      <c r="H203">
        <v>2</v>
      </c>
      <c r="I203">
        <v>4275</v>
      </c>
      <c r="J203">
        <v>5</v>
      </c>
      <c r="K203" t="s">
        <v>1938</v>
      </c>
      <c r="L203">
        <v>1800</v>
      </c>
      <c r="M203">
        <v>8550</v>
      </c>
      <c r="N203">
        <v>3600</v>
      </c>
      <c r="O203">
        <v>4950</v>
      </c>
      <c r="P203">
        <v>0.57894736842105299</v>
      </c>
      <c r="Q203">
        <v>0</v>
      </c>
      <c r="R203">
        <v>0</v>
      </c>
      <c r="S203">
        <v>2</v>
      </c>
      <c r="T203">
        <v>8550</v>
      </c>
    </row>
    <row r="204" spans="1:20">
      <c r="A204" t="s">
        <v>297</v>
      </c>
      <c r="B204" s="1">
        <v>45341</v>
      </c>
      <c r="C204">
        <v>8</v>
      </c>
      <c r="D204">
        <v>2</v>
      </c>
      <c r="E204" t="s">
        <v>218</v>
      </c>
      <c r="F204" t="s">
        <v>35</v>
      </c>
      <c r="G204" t="s">
        <v>17</v>
      </c>
      <c r="H204">
        <v>1</v>
      </c>
      <c r="I204">
        <v>2992.5</v>
      </c>
      <c r="J204">
        <v>5</v>
      </c>
      <c r="K204" t="s">
        <v>1942</v>
      </c>
      <c r="L204">
        <v>1500</v>
      </c>
      <c r="M204">
        <v>2992.5</v>
      </c>
      <c r="N204">
        <v>1500</v>
      </c>
      <c r="O204">
        <v>1492.5</v>
      </c>
      <c r="P204">
        <v>0.49874686716791999</v>
      </c>
      <c r="Q204">
        <v>0</v>
      </c>
      <c r="R204">
        <v>0</v>
      </c>
      <c r="S204">
        <v>1</v>
      </c>
      <c r="T204">
        <v>2992.5</v>
      </c>
    </row>
    <row r="205" spans="1:20">
      <c r="A205" t="s">
        <v>298</v>
      </c>
      <c r="B205" s="1">
        <v>45341</v>
      </c>
      <c r="C205">
        <v>8</v>
      </c>
      <c r="D205">
        <v>2</v>
      </c>
      <c r="E205" t="s">
        <v>218</v>
      </c>
      <c r="F205" t="s">
        <v>82</v>
      </c>
      <c r="G205" t="s">
        <v>20</v>
      </c>
      <c r="H205">
        <v>5</v>
      </c>
      <c r="I205">
        <v>765</v>
      </c>
      <c r="J205">
        <v>15</v>
      </c>
      <c r="K205" t="s">
        <v>1933</v>
      </c>
      <c r="L205">
        <v>500</v>
      </c>
      <c r="M205">
        <v>3825</v>
      </c>
      <c r="N205">
        <v>2500</v>
      </c>
      <c r="O205">
        <v>1325</v>
      </c>
      <c r="P205">
        <v>0.34640522875816998</v>
      </c>
      <c r="Q205">
        <v>0</v>
      </c>
      <c r="R205">
        <v>0</v>
      </c>
      <c r="S205">
        <v>5</v>
      </c>
      <c r="T205">
        <v>3825</v>
      </c>
    </row>
    <row r="206" spans="1:20">
      <c r="A206" t="s">
        <v>299</v>
      </c>
      <c r="B206" s="1">
        <v>45341</v>
      </c>
      <c r="C206">
        <v>8</v>
      </c>
      <c r="D206">
        <v>2</v>
      </c>
      <c r="E206" t="s">
        <v>218</v>
      </c>
      <c r="F206" t="s">
        <v>45</v>
      </c>
      <c r="G206" t="s">
        <v>26</v>
      </c>
      <c r="H206">
        <v>5</v>
      </c>
      <c r="I206">
        <v>4050</v>
      </c>
      <c r="J206">
        <v>10</v>
      </c>
      <c r="K206" t="s">
        <v>1938</v>
      </c>
      <c r="L206">
        <v>1800</v>
      </c>
      <c r="M206">
        <v>20250</v>
      </c>
      <c r="N206">
        <v>9000</v>
      </c>
      <c r="O206">
        <v>11250</v>
      </c>
      <c r="P206">
        <v>0.55555555555555602</v>
      </c>
      <c r="Q206">
        <v>0</v>
      </c>
      <c r="R206">
        <v>0</v>
      </c>
      <c r="S206">
        <v>5</v>
      </c>
      <c r="T206">
        <v>20250</v>
      </c>
    </row>
    <row r="207" spans="1:20">
      <c r="A207" t="s">
        <v>300</v>
      </c>
      <c r="B207" s="1">
        <v>45342</v>
      </c>
      <c r="C207">
        <v>8</v>
      </c>
      <c r="D207">
        <v>2</v>
      </c>
      <c r="E207" t="s">
        <v>218</v>
      </c>
      <c r="F207" t="s">
        <v>51</v>
      </c>
      <c r="G207" t="s">
        <v>26</v>
      </c>
      <c r="H207">
        <v>5</v>
      </c>
      <c r="I207">
        <v>425</v>
      </c>
      <c r="J207">
        <v>15</v>
      </c>
      <c r="K207" t="s">
        <v>1936</v>
      </c>
      <c r="L207">
        <v>200</v>
      </c>
      <c r="M207">
        <v>2125</v>
      </c>
      <c r="N207">
        <v>1000</v>
      </c>
      <c r="O207">
        <v>1125</v>
      </c>
      <c r="P207">
        <v>0.52941176470588203</v>
      </c>
      <c r="Q207">
        <v>0</v>
      </c>
      <c r="R207">
        <v>0</v>
      </c>
      <c r="S207">
        <v>5</v>
      </c>
      <c r="T207">
        <v>2125</v>
      </c>
    </row>
    <row r="208" spans="1:20">
      <c r="A208" t="s">
        <v>302</v>
      </c>
      <c r="B208" s="1">
        <v>45342</v>
      </c>
      <c r="C208">
        <v>8</v>
      </c>
      <c r="D208">
        <v>2</v>
      </c>
      <c r="E208" t="s">
        <v>218</v>
      </c>
      <c r="F208" t="s">
        <v>31</v>
      </c>
      <c r="G208" t="s">
        <v>23</v>
      </c>
      <c r="H208">
        <v>5</v>
      </c>
      <c r="I208">
        <v>1260</v>
      </c>
      <c r="J208">
        <v>10</v>
      </c>
      <c r="K208" t="s">
        <v>1930</v>
      </c>
      <c r="L208">
        <v>700</v>
      </c>
      <c r="M208">
        <v>6300</v>
      </c>
      <c r="N208">
        <v>3500</v>
      </c>
      <c r="O208">
        <v>2800</v>
      </c>
      <c r="P208">
        <v>0.44444444444444398</v>
      </c>
      <c r="Q208">
        <v>0</v>
      </c>
      <c r="R208">
        <v>0</v>
      </c>
      <c r="S208">
        <v>5</v>
      </c>
      <c r="T208">
        <v>6300</v>
      </c>
    </row>
    <row r="209" spans="1:20">
      <c r="A209" t="s">
        <v>303</v>
      </c>
      <c r="B209" s="1">
        <v>45342</v>
      </c>
      <c r="C209">
        <v>8</v>
      </c>
      <c r="D209">
        <v>2</v>
      </c>
      <c r="E209" t="s">
        <v>218</v>
      </c>
      <c r="F209" t="s">
        <v>80</v>
      </c>
      <c r="G209" t="s">
        <v>14</v>
      </c>
      <c r="H209">
        <v>2</v>
      </c>
      <c r="I209">
        <v>400</v>
      </c>
      <c r="J209">
        <v>0</v>
      </c>
      <c r="K209" t="s">
        <v>1922</v>
      </c>
      <c r="L209">
        <v>180</v>
      </c>
      <c r="M209">
        <v>800</v>
      </c>
      <c r="N209">
        <v>360</v>
      </c>
      <c r="O209">
        <v>440</v>
      </c>
      <c r="P209">
        <v>0.55000000000000004</v>
      </c>
      <c r="Q209">
        <v>0</v>
      </c>
      <c r="R209">
        <v>0</v>
      </c>
      <c r="S209">
        <v>2</v>
      </c>
      <c r="T209">
        <v>800</v>
      </c>
    </row>
    <row r="210" spans="1:20">
      <c r="A210" t="s">
        <v>304</v>
      </c>
      <c r="B210" s="1">
        <v>45342</v>
      </c>
      <c r="C210">
        <v>8</v>
      </c>
      <c r="D210">
        <v>2</v>
      </c>
      <c r="E210" t="s">
        <v>218</v>
      </c>
      <c r="F210" t="s">
        <v>39</v>
      </c>
      <c r="G210" t="s">
        <v>14</v>
      </c>
      <c r="H210">
        <v>2</v>
      </c>
      <c r="I210">
        <v>880</v>
      </c>
      <c r="J210">
        <v>0</v>
      </c>
      <c r="K210" t="s">
        <v>1921</v>
      </c>
      <c r="L210">
        <v>400</v>
      </c>
      <c r="M210">
        <v>1760</v>
      </c>
      <c r="N210">
        <v>800</v>
      </c>
      <c r="O210">
        <v>960</v>
      </c>
      <c r="P210">
        <v>0.54545454545454497</v>
      </c>
      <c r="Q210">
        <v>0</v>
      </c>
      <c r="R210">
        <v>0</v>
      </c>
      <c r="S210">
        <v>2</v>
      </c>
      <c r="T210">
        <v>1760</v>
      </c>
    </row>
    <row r="211" spans="1:20">
      <c r="A211" t="s">
        <v>305</v>
      </c>
      <c r="B211" s="1">
        <v>45343</v>
      </c>
      <c r="C211">
        <v>8</v>
      </c>
      <c r="D211">
        <v>2</v>
      </c>
      <c r="E211" t="s">
        <v>218</v>
      </c>
      <c r="F211" t="s">
        <v>119</v>
      </c>
      <c r="G211" t="s">
        <v>14</v>
      </c>
      <c r="H211">
        <v>4</v>
      </c>
      <c r="I211">
        <v>654.5</v>
      </c>
      <c r="J211">
        <v>15</v>
      </c>
      <c r="K211" t="s">
        <v>1920</v>
      </c>
      <c r="L211">
        <v>350</v>
      </c>
      <c r="M211">
        <v>2618</v>
      </c>
      <c r="N211">
        <v>1400</v>
      </c>
      <c r="O211">
        <v>1218</v>
      </c>
      <c r="P211">
        <v>0.46524064171122997</v>
      </c>
      <c r="Q211">
        <v>0</v>
      </c>
      <c r="R211">
        <v>0</v>
      </c>
      <c r="S211">
        <v>4</v>
      </c>
      <c r="T211">
        <v>2618</v>
      </c>
    </row>
    <row r="212" spans="1:20">
      <c r="A212" t="s">
        <v>307</v>
      </c>
      <c r="B212" s="1">
        <v>45343</v>
      </c>
      <c r="C212">
        <v>8</v>
      </c>
      <c r="D212">
        <v>2</v>
      </c>
      <c r="E212" t="s">
        <v>218</v>
      </c>
      <c r="F212" t="s">
        <v>35</v>
      </c>
      <c r="G212" t="s">
        <v>17</v>
      </c>
      <c r="H212">
        <v>1</v>
      </c>
      <c r="I212">
        <v>3150</v>
      </c>
      <c r="J212">
        <v>0</v>
      </c>
      <c r="K212" t="s">
        <v>1942</v>
      </c>
      <c r="L212">
        <v>1500</v>
      </c>
      <c r="M212">
        <v>3150</v>
      </c>
      <c r="N212">
        <v>1500</v>
      </c>
      <c r="O212">
        <v>1650</v>
      </c>
      <c r="P212">
        <v>0.52380952380952395</v>
      </c>
      <c r="Q212">
        <v>0</v>
      </c>
      <c r="R212">
        <v>0</v>
      </c>
      <c r="S212">
        <v>1</v>
      </c>
      <c r="T212">
        <v>3150</v>
      </c>
    </row>
    <row r="213" spans="1:20">
      <c r="A213" t="s">
        <v>308</v>
      </c>
      <c r="B213" s="1">
        <v>45343</v>
      </c>
      <c r="C213">
        <v>8</v>
      </c>
      <c r="D213">
        <v>2</v>
      </c>
      <c r="E213" t="s">
        <v>218</v>
      </c>
      <c r="F213" t="s">
        <v>119</v>
      </c>
      <c r="G213" t="s">
        <v>14</v>
      </c>
      <c r="H213">
        <v>5</v>
      </c>
      <c r="I213">
        <v>693</v>
      </c>
      <c r="J213">
        <v>10</v>
      </c>
      <c r="K213" t="s">
        <v>1920</v>
      </c>
      <c r="L213">
        <v>350</v>
      </c>
      <c r="M213">
        <v>3465</v>
      </c>
      <c r="N213">
        <v>1750</v>
      </c>
      <c r="O213">
        <v>1715</v>
      </c>
      <c r="P213">
        <v>0.49494949494949497</v>
      </c>
      <c r="Q213">
        <v>0</v>
      </c>
      <c r="R213">
        <v>0</v>
      </c>
      <c r="S213">
        <v>5</v>
      </c>
      <c r="T213">
        <v>3465</v>
      </c>
    </row>
    <row r="214" spans="1:20">
      <c r="A214" t="s">
        <v>309</v>
      </c>
      <c r="B214" s="1">
        <v>45344</v>
      </c>
      <c r="C214">
        <v>8</v>
      </c>
      <c r="D214">
        <v>2</v>
      </c>
      <c r="E214" t="s">
        <v>218</v>
      </c>
      <c r="F214" t="s">
        <v>42</v>
      </c>
      <c r="G214" t="s">
        <v>23</v>
      </c>
      <c r="H214">
        <v>4</v>
      </c>
      <c r="I214">
        <v>510</v>
      </c>
      <c r="J214">
        <v>15</v>
      </c>
      <c r="K214" t="s">
        <v>1928</v>
      </c>
      <c r="L214">
        <v>300</v>
      </c>
      <c r="M214">
        <v>2040</v>
      </c>
      <c r="N214">
        <v>1200</v>
      </c>
      <c r="O214">
        <v>840</v>
      </c>
      <c r="P214">
        <v>0.41176470588235298</v>
      </c>
      <c r="Q214">
        <v>0</v>
      </c>
      <c r="R214">
        <v>0</v>
      </c>
      <c r="S214">
        <v>4</v>
      </c>
      <c r="T214">
        <v>2040</v>
      </c>
    </row>
    <row r="215" spans="1:20">
      <c r="A215" t="s">
        <v>311</v>
      </c>
      <c r="B215" s="1">
        <v>45344</v>
      </c>
      <c r="C215">
        <v>8</v>
      </c>
      <c r="D215">
        <v>2</v>
      </c>
      <c r="E215" t="s">
        <v>218</v>
      </c>
      <c r="F215" t="s">
        <v>94</v>
      </c>
      <c r="G215" t="s">
        <v>17</v>
      </c>
      <c r="H215">
        <v>1</v>
      </c>
      <c r="I215">
        <v>1596</v>
      </c>
      <c r="J215">
        <v>5</v>
      </c>
      <c r="K215" t="s">
        <v>1943</v>
      </c>
      <c r="L215">
        <v>800</v>
      </c>
      <c r="M215">
        <v>1596</v>
      </c>
      <c r="N215">
        <v>800</v>
      </c>
      <c r="O215">
        <v>796</v>
      </c>
      <c r="P215">
        <v>0.49874686716791999</v>
      </c>
      <c r="Q215">
        <v>0</v>
      </c>
      <c r="R215">
        <v>0</v>
      </c>
      <c r="S215">
        <v>1</v>
      </c>
      <c r="T215">
        <v>1596</v>
      </c>
    </row>
    <row r="216" spans="1:20">
      <c r="A216" t="s">
        <v>312</v>
      </c>
      <c r="B216" s="1">
        <v>45344</v>
      </c>
      <c r="C216">
        <v>8</v>
      </c>
      <c r="D216">
        <v>2</v>
      </c>
      <c r="E216" t="s">
        <v>218</v>
      </c>
      <c r="F216" t="s">
        <v>42</v>
      </c>
      <c r="G216" t="s">
        <v>23</v>
      </c>
      <c r="H216">
        <v>4</v>
      </c>
      <c r="I216">
        <v>510</v>
      </c>
      <c r="J216">
        <v>15</v>
      </c>
      <c r="K216" t="s">
        <v>1928</v>
      </c>
      <c r="L216">
        <v>300</v>
      </c>
      <c r="M216">
        <v>2040</v>
      </c>
      <c r="N216">
        <v>1200</v>
      </c>
      <c r="O216">
        <v>840</v>
      </c>
      <c r="P216">
        <v>0.41176470588235298</v>
      </c>
      <c r="Q216">
        <v>0</v>
      </c>
      <c r="R216">
        <v>0</v>
      </c>
      <c r="S216">
        <v>4</v>
      </c>
      <c r="T216">
        <v>2040</v>
      </c>
    </row>
    <row r="217" spans="1:20">
      <c r="A217" t="s">
        <v>313</v>
      </c>
      <c r="B217" s="1">
        <v>45344</v>
      </c>
      <c r="C217">
        <v>8</v>
      </c>
      <c r="D217">
        <v>2</v>
      </c>
      <c r="E217" t="s">
        <v>218</v>
      </c>
      <c r="F217" t="s">
        <v>22</v>
      </c>
      <c r="G217" t="s">
        <v>23</v>
      </c>
      <c r="H217">
        <v>3</v>
      </c>
      <c r="I217">
        <v>450</v>
      </c>
      <c r="J217">
        <v>10</v>
      </c>
      <c r="K217" t="s">
        <v>1929</v>
      </c>
      <c r="L217">
        <v>250</v>
      </c>
      <c r="M217">
        <v>1350</v>
      </c>
      <c r="N217">
        <v>750</v>
      </c>
      <c r="O217">
        <v>600</v>
      </c>
      <c r="P217">
        <v>0.44444444444444398</v>
      </c>
      <c r="Q217">
        <v>0</v>
      </c>
      <c r="R217">
        <v>0</v>
      </c>
      <c r="S217">
        <v>3</v>
      </c>
      <c r="T217">
        <v>1350</v>
      </c>
    </row>
    <row r="218" spans="1:20">
      <c r="A218" t="s">
        <v>314</v>
      </c>
      <c r="B218" s="1">
        <v>45345</v>
      </c>
      <c r="C218">
        <v>8</v>
      </c>
      <c r="D218">
        <v>2</v>
      </c>
      <c r="E218" t="s">
        <v>218</v>
      </c>
      <c r="F218" t="s">
        <v>22</v>
      </c>
      <c r="G218" t="s">
        <v>23</v>
      </c>
      <c r="H218">
        <v>4</v>
      </c>
      <c r="I218">
        <v>425</v>
      </c>
      <c r="J218">
        <v>15</v>
      </c>
      <c r="K218" t="s">
        <v>1929</v>
      </c>
      <c r="L218">
        <v>250</v>
      </c>
      <c r="M218">
        <v>1700</v>
      </c>
      <c r="N218">
        <v>1000</v>
      </c>
      <c r="O218">
        <v>700</v>
      </c>
      <c r="P218">
        <v>0.41176470588235298</v>
      </c>
      <c r="Q218">
        <v>0</v>
      </c>
      <c r="R218">
        <v>0</v>
      </c>
      <c r="S218">
        <v>4</v>
      </c>
      <c r="T218">
        <v>1700</v>
      </c>
    </row>
    <row r="219" spans="1:20">
      <c r="A219" t="s">
        <v>316</v>
      </c>
      <c r="B219" s="1">
        <v>45345</v>
      </c>
      <c r="C219">
        <v>8</v>
      </c>
      <c r="D219">
        <v>2</v>
      </c>
      <c r="E219" t="s">
        <v>218</v>
      </c>
      <c r="F219" t="s">
        <v>16</v>
      </c>
      <c r="G219" t="s">
        <v>17</v>
      </c>
      <c r="H219">
        <v>4</v>
      </c>
      <c r="I219">
        <v>520</v>
      </c>
      <c r="J219">
        <v>0</v>
      </c>
      <c r="K219" t="s">
        <v>1945</v>
      </c>
      <c r="L219">
        <v>250</v>
      </c>
      <c r="M219">
        <v>2080</v>
      </c>
      <c r="N219">
        <v>1000</v>
      </c>
      <c r="O219">
        <v>1080</v>
      </c>
      <c r="P219">
        <v>0.51923076923076905</v>
      </c>
      <c r="Q219">
        <v>0</v>
      </c>
      <c r="R219">
        <v>0</v>
      </c>
      <c r="S219">
        <v>4</v>
      </c>
      <c r="T219">
        <v>2080</v>
      </c>
    </row>
    <row r="220" spans="1:20">
      <c r="A220" t="s">
        <v>317</v>
      </c>
      <c r="B220" s="1">
        <v>45346</v>
      </c>
      <c r="C220">
        <v>8</v>
      </c>
      <c r="D220">
        <v>2</v>
      </c>
      <c r="E220" t="s">
        <v>218</v>
      </c>
      <c r="F220" t="s">
        <v>16</v>
      </c>
      <c r="G220" t="s">
        <v>17</v>
      </c>
      <c r="H220">
        <v>4</v>
      </c>
      <c r="I220">
        <v>520</v>
      </c>
      <c r="J220">
        <v>0</v>
      </c>
      <c r="K220" t="s">
        <v>1945</v>
      </c>
      <c r="L220">
        <v>250</v>
      </c>
      <c r="M220">
        <v>2080</v>
      </c>
      <c r="N220">
        <v>1000</v>
      </c>
      <c r="O220">
        <v>1080</v>
      </c>
      <c r="P220">
        <v>0.51923076923076905</v>
      </c>
      <c r="Q220">
        <v>0</v>
      </c>
      <c r="R220">
        <v>0</v>
      </c>
      <c r="S220">
        <v>4</v>
      </c>
      <c r="T220">
        <v>2080</v>
      </c>
    </row>
    <row r="221" spans="1:20">
      <c r="A221" t="s">
        <v>319</v>
      </c>
      <c r="B221" s="1">
        <v>45347</v>
      </c>
      <c r="C221">
        <v>8</v>
      </c>
      <c r="D221">
        <v>2</v>
      </c>
      <c r="E221" t="s">
        <v>218</v>
      </c>
      <c r="F221" t="s">
        <v>66</v>
      </c>
      <c r="G221" t="s">
        <v>17</v>
      </c>
      <c r="H221">
        <v>3</v>
      </c>
      <c r="I221">
        <v>1470</v>
      </c>
      <c r="J221">
        <v>0</v>
      </c>
      <c r="K221" t="s">
        <v>1941</v>
      </c>
      <c r="L221">
        <v>700</v>
      </c>
      <c r="M221">
        <v>4410</v>
      </c>
      <c r="N221">
        <v>2100</v>
      </c>
      <c r="O221">
        <v>2310</v>
      </c>
      <c r="P221">
        <v>0.52380952380952395</v>
      </c>
      <c r="Q221">
        <v>0</v>
      </c>
      <c r="R221">
        <v>0</v>
      </c>
      <c r="S221">
        <v>3</v>
      </c>
      <c r="T221">
        <v>4410</v>
      </c>
    </row>
    <row r="222" spans="1:20">
      <c r="A222" t="s">
        <v>321</v>
      </c>
      <c r="B222" s="1">
        <v>45348</v>
      </c>
      <c r="C222">
        <v>9</v>
      </c>
      <c r="D222">
        <v>2</v>
      </c>
      <c r="E222" t="s">
        <v>218</v>
      </c>
      <c r="F222" t="s">
        <v>39</v>
      </c>
      <c r="G222" t="s">
        <v>14</v>
      </c>
      <c r="H222">
        <v>1</v>
      </c>
      <c r="I222">
        <v>792</v>
      </c>
      <c r="J222">
        <v>10</v>
      </c>
      <c r="K222" t="s">
        <v>1921</v>
      </c>
      <c r="L222">
        <v>400</v>
      </c>
      <c r="M222">
        <v>792</v>
      </c>
      <c r="N222">
        <v>400</v>
      </c>
      <c r="O222">
        <v>392</v>
      </c>
      <c r="P222">
        <v>0.49494949494949497</v>
      </c>
      <c r="Q222">
        <v>1</v>
      </c>
      <c r="R222">
        <v>1</v>
      </c>
      <c r="S222">
        <v>0</v>
      </c>
      <c r="T222">
        <v>0</v>
      </c>
    </row>
    <row r="223" spans="1:20">
      <c r="A223" t="s">
        <v>323</v>
      </c>
      <c r="B223" s="1">
        <v>45348</v>
      </c>
      <c r="C223">
        <v>9</v>
      </c>
      <c r="D223">
        <v>2</v>
      </c>
      <c r="E223" t="s">
        <v>218</v>
      </c>
      <c r="F223" t="s">
        <v>146</v>
      </c>
      <c r="G223" t="s">
        <v>20</v>
      </c>
      <c r="H223">
        <v>1</v>
      </c>
      <c r="I223">
        <v>598.5</v>
      </c>
      <c r="J223">
        <v>5</v>
      </c>
      <c r="K223" t="s">
        <v>1934</v>
      </c>
      <c r="L223">
        <v>350</v>
      </c>
      <c r="M223">
        <v>598.5</v>
      </c>
      <c r="N223">
        <v>350</v>
      </c>
      <c r="O223">
        <v>248.5</v>
      </c>
      <c r="P223">
        <v>0.41520467836257302</v>
      </c>
      <c r="Q223">
        <v>0</v>
      </c>
      <c r="R223">
        <v>0</v>
      </c>
      <c r="S223">
        <v>1</v>
      </c>
      <c r="T223">
        <v>598.5</v>
      </c>
    </row>
    <row r="224" spans="1:20">
      <c r="A224" t="s">
        <v>324</v>
      </c>
      <c r="B224" s="1">
        <v>45349</v>
      </c>
      <c r="C224">
        <v>9</v>
      </c>
      <c r="D224">
        <v>2</v>
      </c>
      <c r="E224" t="s">
        <v>218</v>
      </c>
      <c r="F224" t="s">
        <v>80</v>
      </c>
      <c r="G224" t="s">
        <v>14</v>
      </c>
      <c r="H224">
        <v>1</v>
      </c>
      <c r="I224">
        <v>400</v>
      </c>
      <c r="J224">
        <v>0</v>
      </c>
      <c r="K224" t="s">
        <v>1922</v>
      </c>
      <c r="L224">
        <v>180</v>
      </c>
      <c r="M224">
        <v>400</v>
      </c>
      <c r="N224">
        <v>180</v>
      </c>
      <c r="O224">
        <v>220</v>
      </c>
      <c r="P224">
        <v>0.55000000000000004</v>
      </c>
      <c r="Q224">
        <v>0</v>
      </c>
      <c r="R224">
        <v>0</v>
      </c>
      <c r="S224">
        <v>1</v>
      </c>
      <c r="T224">
        <v>400</v>
      </c>
    </row>
    <row r="225" spans="1:20">
      <c r="A225" t="s">
        <v>326</v>
      </c>
      <c r="B225" s="1">
        <v>45349</v>
      </c>
      <c r="C225">
        <v>9</v>
      </c>
      <c r="D225">
        <v>2</v>
      </c>
      <c r="E225" t="s">
        <v>218</v>
      </c>
      <c r="F225" t="s">
        <v>31</v>
      </c>
      <c r="G225" t="s">
        <v>23</v>
      </c>
      <c r="H225">
        <v>4</v>
      </c>
      <c r="I225">
        <v>1260</v>
      </c>
      <c r="J225">
        <v>10</v>
      </c>
      <c r="K225" t="s">
        <v>1930</v>
      </c>
      <c r="L225">
        <v>700</v>
      </c>
      <c r="M225">
        <v>5040</v>
      </c>
      <c r="N225">
        <v>2800</v>
      </c>
      <c r="O225">
        <v>2240</v>
      </c>
      <c r="P225">
        <v>0.44444444444444398</v>
      </c>
      <c r="Q225">
        <v>0</v>
      </c>
      <c r="R225">
        <v>0</v>
      </c>
      <c r="S225">
        <v>4</v>
      </c>
      <c r="T225">
        <v>5040</v>
      </c>
    </row>
    <row r="226" spans="1:20">
      <c r="A226" t="s">
        <v>327</v>
      </c>
      <c r="B226" s="1">
        <v>45350</v>
      </c>
      <c r="C226">
        <v>9</v>
      </c>
      <c r="D226">
        <v>2</v>
      </c>
      <c r="E226" t="s">
        <v>218</v>
      </c>
      <c r="F226" t="s">
        <v>35</v>
      </c>
      <c r="G226" t="s">
        <v>17</v>
      </c>
      <c r="H226">
        <v>4</v>
      </c>
      <c r="I226">
        <v>3150</v>
      </c>
      <c r="J226">
        <v>0</v>
      </c>
      <c r="K226" t="s">
        <v>1942</v>
      </c>
      <c r="L226">
        <v>1500</v>
      </c>
      <c r="M226">
        <v>12600</v>
      </c>
      <c r="N226">
        <v>6000</v>
      </c>
      <c r="O226">
        <v>6600</v>
      </c>
      <c r="P226">
        <v>0.52380952380952395</v>
      </c>
      <c r="Q226">
        <v>0</v>
      </c>
      <c r="R226">
        <v>0</v>
      </c>
      <c r="S226">
        <v>4</v>
      </c>
      <c r="T226">
        <v>12600</v>
      </c>
    </row>
    <row r="227" spans="1:20">
      <c r="A227" t="s">
        <v>329</v>
      </c>
      <c r="B227" s="1">
        <v>45350</v>
      </c>
      <c r="C227">
        <v>9</v>
      </c>
      <c r="D227">
        <v>2</v>
      </c>
      <c r="E227" t="s">
        <v>218</v>
      </c>
      <c r="F227" t="s">
        <v>37</v>
      </c>
      <c r="G227" t="s">
        <v>20</v>
      </c>
      <c r="H227">
        <v>5</v>
      </c>
      <c r="I227">
        <v>2340</v>
      </c>
      <c r="J227">
        <v>0</v>
      </c>
      <c r="K227" t="s">
        <v>1935</v>
      </c>
      <c r="L227">
        <v>1300</v>
      </c>
      <c r="M227">
        <v>11700</v>
      </c>
      <c r="N227">
        <v>6500</v>
      </c>
      <c r="O227">
        <v>5200</v>
      </c>
      <c r="P227">
        <v>0.44444444444444398</v>
      </c>
      <c r="Q227">
        <v>0</v>
      </c>
      <c r="R227">
        <v>0</v>
      </c>
      <c r="S227">
        <v>5</v>
      </c>
      <c r="T227">
        <v>11700</v>
      </c>
    </row>
    <row r="228" spans="1:20">
      <c r="A228" t="s">
        <v>330</v>
      </c>
      <c r="B228" s="1">
        <v>45351</v>
      </c>
      <c r="C228">
        <v>9</v>
      </c>
      <c r="D228">
        <v>2</v>
      </c>
      <c r="E228" t="s">
        <v>218</v>
      </c>
      <c r="F228" t="s">
        <v>45</v>
      </c>
      <c r="G228" t="s">
        <v>26</v>
      </c>
      <c r="H228">
        <v>5</v>
      </c>
      <c r="I228">
        <v>4500</v>
      </c>
      <c r="J228">
        <v>0</v>
      </c>
      <c r="K228" t="s">
        <v>1938</v>
      </c>
      <c r="L228">
        <v>1800</v>
      </c>
      <c r="M228">
        <v>22500</v>
      </c>
      <c r="N228">
        <v>9000</v>
      </c>
      <c r="O228">
        <v>13500</v>
      </c>
      <c r="P228">
        <v>0.6</v>
      </c>
      <c r="Q228">
        <v>0</v>
      </c>
      <c r="R228">
        <v>0</v>
      </c>
      <c r="S228">
        <v>5</v>
      </c>
      <c r="T228">
        <v>22500</v>
      </c>
    </row>
    <row r="229" spans="1:20">
      <c r="A229" t="s">
        <v>332</v>
      </c>
      <c r="B229" s="1">
        <v>45351</v>
      </c>
      <c r="C229">
        <v>9</v>
      </c>
      <c r="D229">
        <v>2</v>
      </c>
      <c r="E229" t="s">
        <v>218</v>
      </c>
      <c r="F229" t="s">
        <v>35</v>
      </c>
      <c r="G229" t="s">
        <v>17</v>
      </c>
      <c r="H229">
        <v>5</v>
      </c>
      <c r="I229">
        <v>3150</v>
      </c>
      <c r="J229">
        <v>0</v>
      </c>
      <c r="K229" t="s">
        <v>1942</v>
      </c>
      <c r="L229">
        <v>1500</v>
      </c>
      <c r="M229">
        <v>15750</v>
      </c>
      <c r="N229">
        <v>7500</v>
      </c>
      <c r="O229">
        <v>8250</v>
      </c>
      <c r="P229">
        <v>0.52380952380952395</v>
      </c>
      <c r="Q229">
        <v>0</v>
      </c>
      <c r="R229">
        <v>0</v>
      </c>
      <c r="S229">
        <v>5</v>
      </c>
      <c r="T229">
        <v>15750</v>
      </c>
    </row>
    <row r="230" spans="1:20">
      <c r="A230" t="s">
        <v>333</v>
      </c>
      <c r="B230" s="1">
        <v>45351</v>
      </c>
      <c r="C230">
        <v>9</v>
      </c>
      <c r="D230">
        <v>2</v>
      </c>
      <c r="E230" t="s">
        <v>218</v>
      </c>
      <c r="F230" t="s">
        <v>16</v>
      </c>
      <c r="G230" t="s">
        <v>17</v>
      </c>
      <c r="H230">
        <v>2</v>
      </c>
      <c r="I230">
        <v>468</v>
      </c>
      <c r="J230">
        <v>10</v>
      </c>
      <c r="K230" t="s">
        <v>1945</v>
      </c>
      <c r="L230">
        <v>250</v>
      </c>
      <c r="M230">
        <v>936</v>
      </c>
      <c r="N230">
        <v>500</v>
      </c>
      <c r="O230">
        <v>436</v>
      </c>
      <c r="P230">
        <v>0.46581196581196599</v>
      </c>
      <c r="Q230">
        <v>0</v>
      </c>
      <c r="R230">
        <v>0</v>
      </c>
      <c r="S230">
        <v>2</v>
      </c>
      <c r="T230">
        <v>936</v>
      </c>
    </row>
    <row r="231" spans="1:20">
      <c r="A231" t="s">
        <v>334</v>
      </c>
      <c r="B231" s="1">
        <v>45351</v>
      </c>
      <c r="C231">
        <v>9</v>
      </c>
      <c r="D231">
        <v>2</v>
      </c>
      <c r="E231" t="s">
        <v>218</v>
      </c>
      <c r="F231" t="s">
        <v>42</v>
      </c>
      <c r="G231" t="s">
        <v>23</v>
      </c>
      <c r="H231">
        <v>2</v>
      </c>
      <c r="I231">
        <v>540</v>
      </c>
      <c r="J231">
        <v>10</v>
      </c>
      <c r="K231" t="s">
        <v>1928</v>
      </c>
      <c r="L231">
        <v>300</v>
      </c>
      <c r="M231">
        <v>1080</v>
      </c>
      <c r="N231">
        <v>600</v>
      </c>
      <c r="O231">
        <v>480</v>
      </c>
      <c r="P231">
        <v>0.44444444444444398</v>
      </c>
      <c r="Q231">
        <v>0</v>
      </c>
      <c r="R231">
        <v>0</v>
      </c>
      <c r="S231">
        <v>2</v>
      </c>
      <c r="T231">
        <v>1080</v>
      </c>
    </row>
    <row r="232" spans="1:20">
      <c r="A232" t="s">
        <v>335</v>
      </c>
      <c r="B232" s="1">
        <v>45351</v>
      </c>
      <c r="C232">
        <v>9</v>
      </c>
      <c r="D232">
        <v>2</v>
      </c>
      <c r="E232" t="s">
        <v>218</v>
      </c>
      <c r="F232" t="s">
        <v>86</v>
      </c>
      <c r="G232" t="s">
        <v>17</v>
      </c>
      <c r="H232">
        <v>1</v>
      </c>
      <c r="I232">
        <v>940</v>
      </c>
      <c r="J232">
        <v>0</v>
      </c>
      <c r="K232" t="s">
        <v>1944</v>
      </c>
      <c r="L232">
        <v>450</v>
      </c>
      <c r="M232">
        <v>940</v>
      </c>
      <c r="N232">
        <v>450</v>
      </c>
      <c r="O232">
        <v>490</v>
      </c>
      <c r="P232">
        <v>0.52127659574468099</v>
      </c>
      <c r="Q232">
        <v>0</v>
      </c>
      <c r="R232">
        <v>0</v>
      </c>
      <c r="S232">
        <v>1</v>
      </c>
      <c r="T232">
        <v>940</v>
      </c>
    </row>
    <row r="233" spans="1:20">
      <c r="A233" t="s">
        <v>336</v>
      </c>
      <c r="B233" s="1">
        <v>45352</v>
      </c>
      <c r="C233">
        <v>9</v>
      </c>
      <c r="D233">
        <v>3</v>
      </c>
      <c r="E233" t="s">
        <v>338</v>
      </c>
      <c r="F233" t="s">
        <v>25</v>
      </c>
      <c r="G233" t="s">
        <v>26</v>
      </c>
      <c r="H233">
        <v>2</v>
      </c>
      <c r="I233">
        <v>1000</v>
      </c>
      <c r="J233">
        <v>0</v>
      </c>
      <c r="K233" t="s">
        <v>1940</v>
      </c>
      <c r="L233">
        <v>400</v>
      </c>
      <c r="M233">
        <v>2000</v>
      </c>
      <c r="N233">
        <v>800</v>
      </c>
      <c r="O233">
        <v>1200</v>
      </c>
      <c r="P233">
        <v>0.6</v>
      </c>
      <c r="Q233">
        <v>0</v>
      </c>
      <c r="R233">
        <v>0</v>
      </c>
      <c r="S233">
        <v>2</v>
      </c>
      <c r="T233">
        <v>2000</v>
      </c>
    </row>
    <row r="234" spans="1:20">
      <c r="A234" t="s">
        <v>339</v>
      </c>
      <c r="B234" s="1">
        <v>45353</v>
      </c>
      <c r="C234">
        <v>9</v>
      </c>
      <c r="D234">
        <v>3</v>
      </c>
      <c r="E234" t="s">
        <v>338</v>
      </c>
      <c r="F234" t="s">
        <v>68</v>
      </c>
      <c r="G234" t="s">
        <v>26</v>
      </c>
      <c r="H234">
        <v>3</v>
      </c>
      <c r="I234">
        <v>323</v>
      </c>
      <c r="J234">
        <v>15</v>
      </c>
      <c r="K234" t="s">
        <v>1937</v>
      </c>
      <c r="L234">
        <v>150</v>
      </c>
      <c r="M234">
        <v>969</v>
      </c>
      <c r="N234">
        <v>450</v>
      </c>
      <c r="O234">
        <v>519</v>
      </c>
      <c r="P234">
        <v>0.53560371517027905</v>
      </c>
      <c r="Q234">
        <v>0</v>
      </c>
      <c r="R234">
        <v>0</v>
      </c>
      <c r="S234">
        <v>3</v>
      </c>
      <c r="T234">
        <v>969</v>
      </c>
    </row>
    <row r="235" spans="1:20">
      <c r="A235" t="s">
        <v>341</v>
      </c>
      <c r="B235" s="1">
        <v>45353</v>
      </c>
      <c r="C235">
        <v>9</v>
      </c>
      <c r="D235">
        <v>3</v>
      </c>
      <c r="E235" t="s">
        <v>338</v>
      </c>
      <c r="F235" t="s">
        <v>58</v>
      </c>
      <c r="G235" t="s">
        <v>23</v>
      </c>
      <c r="H235">
        <v>1</v>
      </c>
      <c r="I235">
        <v>1000</v>
      </c>
      <c r="J235">
        <v>0</v>
      </c>
      <c r="K235" t="s">
        <v>1927</v>
      </c>
      <c r="L235">
        <v>500</v>
      </c>
      <c r="M235">
        <v>1000</v>
      </c>
      <c r="N235">
        <v>500</v>
      </c>
      <c r="O235">
        <v>500</v>
      </c>
      <c r="P235">
        <v>0.5</v>
      </c>
      <c r="Q235">
        <v>0</v>
      </c>
      <c r="R235">
        <v>0</v>
      </c>
      <c r="S235">
        <v>1</v>
      </c>
      <c r="T235">
        <v>1000</v>
      </c>
    </row>
    <row r="236" spans="1:20">
      <c r="A236" t="s">
        <v>342</v>
      </c>
      <c r="B236" s="1">
        <v>45353</v>
      </c>
      <c r="C236">
        <v>9</v>
      </c>
      <c r="D236">
        <v>3</v>
      </c>
      <c r="E236" t="s">
        <v>338</v>
      </c>
      <c r="F236" t="s">
        <v>146</v>
      </c>
      <c r="G236" t="s">
        <v>20</v>
      </c>
      <c r="H236">
        <v>1</v>
      </c>
      <c r="I236">
        <v>630</v>
      </c>
      <c r="J236">
        <v>0</v>
      </c>
      <c r="K236" t="s">
        <v>1934</v>
      </c>
      <c r="L236">
        <v>350</v>
      </c>
      <c r="M236">
        <v>630</v>
      </c>
      <c r="N236">
        <v>350</v>
      </c>
      <c r="O236">
        <v>280</v>
      </c>
      <c r="P236">
        <v>0.44444444444444398</v>
      </c>
      <c r="Q236">
        <v>0</v>
      </c>
      <c r="R236">
        <v>0</v>
      </c>
      <c r="S236">
        <v>1</v>
      </c>
      <c r="T236">
        <v>630</v>
      </c>
    </row>
    <row r="237" spans="1:20">
      <c r="A237" t="s">
        <v>343</v>
      </c>
      <c r="B237" s="1">
        <v>45354</v>
      </c>
      <c r="C237">
        <v>9</v>
      </c>
      <c r="D237">
        <v>3</v>
      </c>
      <c r="E237" t="s">
        <v>338</v>
      </c>
      <c r="F237" t="s">
        <v>45</v>
      </c>
      <c r="G237" t="s">
        <v>26</v>
      </c>
      <c r="H237">
        <v>5</v>
      </c>
      <c r="I237">
        <v>3825</v>
      </c>
      <c r="J237">
        <v>15</v>
      </c>
      <c r="K237" t="s">
        <v>1938</v>
      </c>
      <c r="L237">
        <v>1800</v>
      </c>
      <c r="M237">
        <v>19125</v>
      </c>
      <c r="N237">
        <v>9000</v>
      </c>
      <c r="O237">
        <v>10125</v>
      </c>
      <c r="P237">
        <v>0.52941176470588203</v>
      </c>
      <c r="Q237">
        <v>0</v>
      </c>
      <c r="R237">
        <v>0</v>
      </c>
      <c r="S237">
        <v>5</v>
      </c>
      <c r="T237">
        <v>19125</v>
      </c>
    </row>
    <row r="238" spans="1:20">
      <c r="A238" t="s">
        <v>345</v>
      </c>
      <c r="B238" s="1">
        <v>45355</v>
      </c>
      <c r="C238">
        <v>10</v>
      </c>
      <c r="D238">
        <v>3</v>
      </c>
      <c r="E238" t="s">
        <v>338</v>
      </c>
      <c r="F238" t="s">
        <v>146</v>
      </c>
      <c r="G238" t="s">
        <v>20</v>
      </c>
      <c r="H238">
        <v>2</v>
      </c>
      <c r="I238">
        <v>630</v>
      </c>
      <c r="J238">
        <v>0</v>
      </c>
      <c r="K238" t="s">
        <v>1934</v>
      </c>
      <c r="L238">
        <v>350</v>
      </c>
      <c r="M238">
        <v>1260</v>
      </c>
      <c r="N238">
        <v>700</v>
      </c>
      <c r="O238">
        <v>560</v>
      </c>
      <c r="P238">
        <v>0.44444444444444398</v>
      </c>
      <c r="Q238">
        <v>0</v>
      </c>
      <c r="R238">
        <v>0</v>
      </c>
      <c r="S238">
        <v>2</v>
      </c>
      <c r="T238">
        <v>1260</v>
      </c>
    </row>
    <row r="239" spans="1:20">
      <c r="A239" t="s">
        <v>347</v>
      </c>
      <c r="B239" s="1">
        <v>45355</v>
      </c>
      <c r="C239">
        <v>10</v>
      </c>
      <c r="D239">
        <v>3</v>
      </c>
      <c r="E239" t="s">
        <v>338</v>
      </c>
      <c r="F239" t="s">
        <v>13</v>
      </c>
      <c r="G239" t="s">
        <v>14</v>
      </c>
      <c r="H239">
        <v>1</v>
      </c>
      <c r="I239">
        <v>480</v>
      </c>
      <c r="J239">
        <v>0</v>
      </c>
      <c r="K239" t="s">
        <v>1925</v>
      </c>
      <c r="L239">
        <v>220</v>
      </c>
      <c r="M239">
        <v>480</v>
      </c>
      <c r="N239">
        <v>220</v>
      </c>
      <c r="O239">
        <v>260</v>
      </c>
      <c r="P239">
        <v>0.54166666666666696</v>
      </c>
      <c r="Q239">
        <v>0</v>
      </c>
      <c r="R239">
        <v>0</v>
      </c>
      <c r="S239">
        <v>1</v>
      </c>
      <c r="T239">
        <v>480</v>
      </c>
    </row>
    <row r="240" spans="1:20">
      <c r="A240" t="s">
        <v>348</v>
      </c>
      <c r="B240" s="1">
        <v>45355</v>
      </c>
      <c r="C240">
        <v>10</v>
      </c>
      <c r="D240">
        <v>3</v>
      </c>
      <c r="E240" t="s">
        <v>338</v>
      </c>
      <c r="F240" t="s">
        <v>349</v>
      </c>
      <c r="G240" t="s">
        <v>221</v>
      </c>
      <c r="H240">
        <v>5</v>
      </c>
      <c r="I240">
        <v>380</v>
      </c>
      <c r="J240">
        <v>5</v>
      </c>
      <c r="K240" t="s">
        <v>1948</v>
      </c>
      <c r="L240">
        <v>200</v>
      </c>
      <c r="M240">
        <v>1900</v>
      </c>
      <c r="N240">
        <v>1000</v>
      </c>
      <c r="O240">
        <v>900</v>
      </c>
      <c r="P240">
        <v>0.47368421052631599</v>
      </c>
      <c r="Q240">
        <v>0</v>
      </c>
      <c r="R240">
        <v>0</v>
      </c>
      <c r="S240">
        <v>5</v>
      </c>
      <c r="T240">
        <v>1900</v>
      </c>
    </row>
    <row r="241" spans="1:20">
      <c r="A241" t="s">
        <v>350</v>
      </c>
      <c r="B241" s="1">
        <v>45355</v>
      </c>
      <c r="C241">
        <v>10</v>
      </c>
      <c r="D241">
        <v>3</v>
      </c>
      <c r="E241" t="s">
        <v>338</v>
      </c>
      <c r="F241" t="s">
        <v>45</v>
      </c>
      <c r="G241" t="s">
        <v>26</v>
      </c>
      <c r="H241">
        <v>5</v>
      </c>
      <c r="I241">
        <v>4500</v>
      </c>
      <c r="J241">
        <v>0</v>
      </c>
      <c r="K241" t="s">
        <v>1938</v>
      </c>
      <c r="L241">
        <v>1800</v>
      </c>
      <c r="M241">
        <v>22500</v>
      </c>
      <c r="N241">
        <v>9000</v>
      </c>
      <c r="O241">
        <v>13500</v>
      </c>
      <c r="P241">
        <v>0.6</v>
      </c>
      <c r="Q241">
        <v>0</v>
      </c>
      <c r="R241">
        <v>0</v>
      </c>
      <c r="S241">
        <v>5</v>
      </c>
      <c r="T241">
        <v>22500</v>
      </c>
    </row>
    <row r="242" spans="1:20">
      <c r="A242" t="s">
        <v>351</v>
      </c>
      <c r="B242" s="1">
        <v>45356</v>
      </c>
      <c r="C242">
        <v>10</v>
      </c>
      <c r="D242">
        <v>3</v>
      </c>
      <c r="E242" t="s">
        <v>338</v>
      </c>
      <c r="F242" t="s">
        <v>119</v>
      </c>
      <c r="G242" t="s">
        <v>14</v>
      </c>
      <c r="H242">
        <v>5</v>
      </c>
      <c r="I242">
        <v>770</v>
      </c>
      <c r="J242">
        <v>0</v>
      </c>
      <c r="K242" t="s">
        <v>1920</v>
      </c>
      <c r="L242">
        <v>350</v>
      </c>
      <c r="M242">
        <v>3850</v>
      </c>
      <c r="N242">
        <v>1750</v>
      </c>
      <c r="O242">
        <v>2100</v>
      </c>
      <c r="P242">
        <v>0.54545454545454497</v>
      </c>
      <c r="Q242">
        <v>1</v>
      </c>
      <c r="R242">
        <v>1</v>
      </c>
      <c r="S242">
        <v>4</v>
      </c>
      <c r="T242">
        <v>3080</v>
      </c>
    </row>
    <row r="243" spans="1:20">
      <c r="A243" t="s">
        <v>353</v>
      </c>
      <c r="B243" s="1">
        <v>45356</v>
      </c>
      <c r="C243">
        <v>10</v>
      </c>
      <c r="D243">
        <v>3</v>
      </c>
      <c r="E243" t="s">
        <v>338</v>
      </c>
      <c r="F243" t="s">
        <v>58</v>
      </c>
      <c r="G243" t="s">
        <v>23</v>
      </c>
      <c r="H243">
        <v>2</v>
      </c>
      <c r="I243">
        <v>950</v>
      </c>
      <c r="J243">
        <v>5</v>
      </c>
      <c r="K243" t="s">
        <v>1927</v>
      </c>
      <c r="L243">
        <v>500</v>
      </c>
      <c r="M243">
        <v>1900</v>
      </c>
      <c r="N243">
        <v>1000</v>
      </c>
      <c r="O243">
        <v>900</v>
      </c>
      <c r="P243">
        <v>0.47368421052631599</v>
      </c>
      <c r="Q243">
        <v>0</v>
      </c>
      <c r="R243">
        <v>0</v>
      </c>
      <c r="S243">
        <v>2</v>
      </c>
      <c r="T243">
        <v>1900</v>
      </c>
    </row>
    <row r="244" spans="1:20">
      <c r="A244" t="s">
        <v>354</v>
      </c>
      <c r="B244" s="1">
        <v>45356</v>
      </c>
      <c r="C244">
        <v>10</v>
      </c>
      <c r="D244">
        <v>3</v>
      </c>
      <c r="E244" t="s">
        <v>338</v>
      </c>
      <c r="F244" t="s">
        <v>19</v>
      </c>
      <c r="G244" t="s">
        <v>20</v>
      </c>
      <c r="H244">
        <v>2</v>
      </c>
      <c r="I244">
        <v>1620</v>
      </c>
      <c r="J244">
        <v>0</v>
      </c>
      <c r="K244" t="s">
        <v>1931</v>
      </c>
      <c r="L244">
        <v>900</v>
      </c>
      <c r="M244">
        <v>3240</v>
      </c>
      <c r="N244">
        <v>1800</v>
      </c>
      <c r="O244">
        <v>1440</v>
      </c>
      <c r="P244">
        <v>0.44444444444444398</v>
      </c>
      <c r="Q244">
        <v>0</v>
      </c>
      <c r="R244">
        <v>0</v>
      </c>
      <c r="S244">
        <v>2</v>
      </c>
      <c r="T244">
        <v>3240</v>
      </c>
    </row>
    <row r="245" spans="1:20">
      <c r="A245" t="s">
        <v>355</v>
      </c>
      <c r="B245" s="1">
        <v>45356</v>
      </c>
      <c r="C245">
        <v>10</v>
      </c>
      <c r="D245">
        <v>3</v>
      </c>
      <c r="E245" t="s">
        <v>338</v>
      </c>
      <c r="F245" t="s">
        <v>349</v>
      </c>
      <c r="G245" t="s">
        <v>221</v>
      </c>
      <c r="H245">
        <v>2</v>
      </c>
      <c r="I245">
        <v>400</v>
      </c>
      <c r="J245">
        <v>0</v>
      </c>
      <c r="K245" t="s">
        <v>1948</v>
      </c>
      <c r="L245">
        <v>200</v>
      </c>
      <c r="M245">
        <v>800</v>
      </c>
      <c r="N245">
        <v>400</v>
      </c>
      <c r="O245">
        <v>400</v>
      </c>
      <c r="P245">
        <v>0.5</v>
      </c>
      <c r="Q245">
        <v>0</v>
      </c>
      <c r="R245">
        <v>0</v>
      </c>
      <c r="S245">
        <v>2</v>
      </c>
      <c r="T245">
        <v>800</v>
      </c>
    </row>
    <row r="246" spans="1:20">
      <c r="A246" t="s">
        <v>356</v>
      </c>
      <c r="B246" s="1">
        <v>45357</v>
      </c>
      <c r="C246">
        <v>10</v>
      </c>
      <c r="D246">
        <v>3</v>
      </c>
      <c r="E246" t="s">
        <v>338</v>
      </c>
      <c r="F246" t="s">
        <v>86</v>
      </c>
      <c r="G246" t="s">
        <v>17</v>
      </c>
      <c r="H246">
        <v>3</v>
      </c>
      <c r="I246">
        <v>799</v>
      </c>
      <c r="J246">
        <v>15</v>
      </c>
      <c r="K246" t="s">
        <v>1944</v>
      </c>
      <c r="L246">
        <v>450</v>
      </c>
      <c r="M246">
        <v>2397</v>
      </c>
      <c r="N246">
        <v>1350</v>
      </c>
      <c r="O246">
        <v>1047</v>
      </c>
      <c r="P246">
        <v>0.436795994993742</v>
      </c>
      <c r="Q246">
        <v>0</v>
      </c>
      <c r="R246">
        <v>0</v>
      </c>
      <c r="S246">
        <v>3</v>
      </c>
      <c r="T246">
        <v>2397</v>
      </c>
    </row>
    <row r="247" spans="1:20">
      <c r="A247" t="s">
        <v>358</v>
      </c>
      <c r="B247" s="1">
        <v>45357</v>
      </c>
      <c r="C247">
        <v>10</v>
      </c>
      <c r="D247">
        <v>3</v>
      </c>
      <c r="E247" t="s">
        <v>338</v>
      </c>
      <c r="F247" t="s">
        <v>349</v>
      </c>
      <c r="G247" t="s">
        <v>221</v>
      </c>
      <c r="H247">
        <v>2</v>
      </c>
      <c r="I247">
        <v>360</v>
      </c>
      <c r="J247">
        <v>10</v>
      </c>
      <c r="K247" t="s">
        <v>1948</v>
      </c>
      <c r="L247">
        <v>200</v>
      </c>
      <c r="M247">
        <v>720</v>
      </c>
      <c r="N247">
        <v>400</v>
      </c>
      <c r="O247">
        <v>320</v>
      </c>
      <c r="P247">
        <v>0.44444444444444398</v>
      </c>
      <c r="Q247">
        <v>0</v>
      </c>
      <c r="R247">
        <v>0</v>
      </c>
      <c r="S247">
        <v>2</v>
      </c>
      <c r="T247">
        <v>720</v>
      </c>
    </row>
    <row r="248" spans="1:20">
      <c r="A248" t="s">
        <v>359</v>
      </c>
      <c r="B248" s="1">
        <v>45358</v>
      </c>
      <c r="C248">
        <v>10</v>
      </c>
      <c r="D248">
        <v>3</v>
      </c>
      <c r="E248" t="s">
        <v>338</v>
      </c>
      <c r="F248" t="s">
        <v>42</v>
      </c>
      <c r="G248" t="s">
        <v>23</v>
      </c>
      <c r="H248">
        <v>3</v>
      </c>
      <c r="I248">
        <v>510</v>
      </c>
      <c r="J248">
        <v>15</v>
      </c>
      <c r="K248" t="s">
        <v>1928</v>
      </c>
      <c r="L248">
        <v>300</v>
      </c>
      <c r="M248">
        <v>1530</v>
      </c>
      <c r="N248">
        <v>900</v>
      </c>
      <c r="O248">
        <v>630</v>
      </c>
      <c r="P248">
        <v>0.41176470588235298</v>
      </c>
      <c r="Q248">
        <v>0</v>
      </c>
      <c r="R248">
        <v>0</v>
      </c>
      <c r="S248">
        <v>3</v>
      </c>
      <c r="T248">
        <v>1530</v>
      </c>
    </row>
    <row r="249" spans="1:20">
      <c r="A249" t="s">
        <v>361</v>
      </c>
      <c r="B249" s="1">
        <v>45358</v>
      </c>
      <c r="C249">
        <v>10</v>
      </c>
      <c r="D249">
        <v>3</v>
      </c>
      <c r="E249" t="s">
        <v>338</v>
      </c>
      <c r="F249" t="s">
        <v>80</v>
      </c>
      <c r="G249" t="s">
        <v>14</v>
      </c>
      <c r="H249">
        <v>1</v>
      </c>
      <c r="I249">
        <v>380</v>
      </c>
      <c r="J249">
        <v>5</v>
      </c>
      <c r="K249" t="s">
        <v>1922</v>
      </c>
      <c r="L249">
        <v>180</v>
      </c>
      <c r="M249">
        <v>380</v>
      </c>
      <c r="N249">
        <v>180</v>
      </c>
      <c r="O249">
        <v>200</v>
      </c>
      <c r="P249">
        <v>0.52631578947368396</v>
      </c>
      <c r="Q249">
        <v>1</v>
      </c>
      <c r="R249">
        <v>1</v>
      </c>
      <c r="S249">
        <v>0</v>
      </c>
      <c r="T249">
        <v>0</v>
      </c>
    </row>
    <row r="250" spans="1:20">
      <c r="A250" t="s">
        <v>362</v>
      </c>
      <c r="B250" s="1">
        <v>45358</v>
      </c>
      <c r="C250">
        <v>10</v>
      </c>
      <c r="D250">
        <v>3</v>
      </c>
      <c r="E250" t="s">
        <v>338</v>
      </c>
      <c r="F250" t="s">
        <v>86</v>
      </c>
      <c r="G250" t="s">
        <v>17</v>
      </c>
      <c r="H250">
        <v>4</v>
      </c>
      <c r="I250">
        <v>799</v>
      </c>
      <c r="J250">
        <v>15</v>
      </c>
      <c r="K250" t="s">
        <v>1944</v>
      </c>
      <c r="L250">
        <v>450</v>
      </c>
      <c r="M250">
        <v>3196</v>
      </c>
      <c r="N250">
        <v>1800</v>
      </c>
      <c r="O250">
        <v>1396</v>
      </c>
      <c r="P250">
        <v>0.436795994993742</v>
      </c>
      <c r="Q250">
        <v>0</v>
      </c>
      <c r="R250">
        <v>0</v>
      </c>
      <c r="S250">
        <v>4</v>
      </c>
      <c r="T250">
        <v>3196</v>
      </c>
    </row>
    <row r="251" spans="1:20">
      <c r="A251" t="s">
        <v>363</v>
      </c>
      <c r="B251" s="1">
        <v>45358</v>
      </c>
      <c r="C251">
        <v>10</v>
      </c>
      <c r="D251">
        <v>3</v>
      </c>
      <c r="E251" t="s">
        <v>338</v>
      </c>
      <c r="F251" t="s">
        <v>364</v>
      </c>
      <c r="G251" t="s">
        <v>221</v>
      </c>
      <c r="H251">
        <v>4</v>
      </c>
      <c r="I251">
        <v>960</v>
      </c>
      <c r="J251">
        <v>0</v>
      </c>
      <c r="K251" t="s">
        <v>1946</v>
      </c>
      <c r="L251">
        <v>480</v>
      </c>
      <c r="M251">
        <v>3840</v>
      </c>
      <c r="N251">
        <v>1920</v>
      </c>
      <c r="O251">
        <v>1920</v>
      </c>
      <c r="P251">
        <v>0.5</v>
      </c>
      <c r="Q251">
        <v>0</v>
      </c>
      <c r="R251">
        <v>0</v>
      </c>
      <c r="S251">
        <v>4</v>
      </c>
      <c r="T251">
        <v>3840</v>
      </c>
    </row>
    <row r="252" spans="1:20">
      <c r="A252" t="s">
        <v>365</v>
      </c>
      <c r="B252" s="1">
        <v>45358</v>
      </c>
      <c r="C252">
        <v>10</v>
      </c>
      <c r="D252">
        <v>3</v>
      </c>
      <c r="E252" t="s">
        <v>338</v>
      </c>
      <c r="F252" t="s">
        <v>80</v>
      </c>
      <c r="G252" t="s">
        <v>14</v>
      </c>
      <c r="H252">
        <v>2</v>
      </c>
      <c r="I252">
        <v>400</v>
      </c>
      <c r="J252">
        <v>0</v>
      </c>
      <c r="K252" t="s">
        <v>1922</v>
      </c>
      <c r="L252">
        <v>180</v>
      </c>
      <c r="M252">
        <v>800</v>
      </c>
      <c r="N252">
        <v>360</v>
      </c>
      <c r="O252">
        <v>440</v>
      </c>
      <c r="P252">
        <v>0.55000000000000004</v>
      </c>
      <c r="Q252">
        <v>0</v>
      </c>
      <c r="R252">
        <v>0</v>
      </c>
      <c r="S252">
        <v>2</v>
      </c>
      <c r="T252">
        <v>800</v>
      </c>
    </row>
    <row r="253" spans="1:20">
      <c r="A253" t="s">
        <v>366</v>
      </c>
      <c r="B253" s="1">
        <v>45359</v>
      </c>
      <c r="C253">
        <v>10</v>
      </c>
      <c r="D253">
        <v>3</v>
      </c>
      <c r="E253" t="s">
        <v>338</v>
      </c>
      <c r="F253" t="s">
        <v>82</v>
      </c>
      <c r="G253" t="s">
        <v>20</v>
      </c>
      <c r="H253">
        <v>2</v>
      </c>
      <c r="I253">
        <v>900</v>
      </c>
      <c r="J253">
        <v>0</v>
      </c>
      <c r="K253" t="s">
        <v>1933</v>
      </c>
      <c r="L253">
        <v>500</v>
      </c>
      <c r="M253">
        <v>1800</v>
      </c>
      <c r="N253">
        <v>1000</v>
      </c>
      <c r="O253">
        <v>800</v>
      </c>
      <c r="P253">
        <v>0.44444444444444398</v>
      </c>
      <c r="Q253">
        <v>0</v>
      </c>
      <c r="R253">
        <v>0</v>
      </c>
      <c r="S253">
        <v>2</v>
      </c>
      <c r="T253">
        <v>1800</v>
      </c>
    </row>
    <row r="254" spans="1:20">
      <c r="A254" t="s">
        <v>368</v>
      </c>
      <c r="B254" s="1">
        <v>45359</v>
      </c>
      <c r="C254">
        <v>10</v>
      </c>
      <c r="D254">
        <v>3</v>
      </c>
      <c r="E254" t="s">
        <v>338</v>
      </c>
      <c r="F254" t="s">
        <v>369</v>
      </c>
      <c r="G254" t="s">
        <v>221</v>
      </c>
      <c r="H254">
        <v>1</v>
      </c>
      <c r="I254">
        <v>700</v>
      </c>
      <c r="J254">
        <v>0</v>
      </c>
      <c r="K254" t="s">
        <v>1949</v>
      </c>
      <c r="L254">
        <v>350</v>
      </c>
      <c r="M254">
        <v>700</v>
      </c>
      <c r="N254">
        <v>350</v>
      </c>
      <c r="O254">
        <v>350</v>
      </c>
      <c r="P254">
        <v>0.5</v>
      </c>
      <c r="Q254">
        <v>0</v>
      </c>
      <c r="R254">
        <v>0</v>
      </c>
      <c r="S254">
        <v>1</v>
      </c>
      <c r="T254">
        <v>700</v>
      </c>
    </row>
    <row r="255" spans="1:20">
      <c r="A255" t="s">
        <v>370</v>
      </c>
      <c r="B255" s="1">
        <v>45359</v>
      </c>
      <c r="C255">
        <v>10</v>
      </c>
      <c r="D255">
        <v>3</v>
      </c>
      <c r="E255" t="s">
        <v>338</v>
      </c>
      <c r="F255" t="s">
        <v>369</v>
      </c>
      <c r="G255" t="s">
        <v>221</v>
      </c>
      <c r="H255">
        <v>2</v>
      </c>
      <c r="I255">
        <v>595</v>
      </c>
      <c r="J255">
        <v>15</v>
      </c>
      <c r="K255" t="s">
        <v>1949</v>
      </c>
      <c r="L255">
        <v>350</v>
      </c>
      <c r="M255">
        <v>1190</v>
      </c>
      <c r="N255">
        <v>700</v>
      </c>
      <c r="O255">
        <v>490</v>
      </c>
      <c r="P255">
        <v>0.41176470588235298</v>
      </c>
      <c r="Q255">
        <v>0</v>
      </c>
      <c r="R255">
        <v>0</v>
      </c>
      <c r="S255">
        <v>2</v>
      </c>
      <c r="T255">
        <v>1190</v>
      </c>
    </row>
    <row r="256" spans="1:20">
      <c r="A256" t="s">
        <v>371</v>
      </c>
      <c r="B256" s="1">
        <v>45360</v>
      </c>
      <c r="C256">
        <v>10</v>
      </c>
      <c r="D256">
        <v>3</v>
      </c>
      <c r="E256" t="s">
        <v>338</v>
      </c>
      <c r="F256" t="s">
        <v>364</v>
      </c>
      <c r="G256" t="s">
        <v>221</v>
      </c>
      <c r="H256">
        <v>5</v>
      </c>
      <c r="I256">
        <v>960</v>
      </c>
      <c r="J256">
        <v>0</v>
      </c>
      <c r="K256" t="s">
        <v>1946</v>
      </c>
      <c r="L256">
        <v>480</v>
      </c>
      <c r="M256">
        <v>4800</v>
      </c>
      <c r="N256">
        <v>2400</v>
      </c>
      <c r="O256">
        <v>2400</v>
      </c>
      <c r="P256">
        <v>0.5</v>
      </c>
      <c r="Q256">
        <v>0</v>
      </c>
      <c r="R256">
        <v>0</v>
      </c>
      <c r="S256">
        <v>5</v>
      </c>
      <c r="T256">
        <v>4800</v>
      </c>
    </row>
    <row r="257" spans="1:20">
      <c r="A257" t="s">
        <v>373</v>
      </c>
      <c r="B257" s="1">
        <v>45360</v>
      </c>
      <c r="C257">
        <v>10</v>
      </c>
      <c r="D257">
        <v>3</v>
      </c>
      <c r="E257" t="s">
        <v>338</v>
      </c>
      <c r="F257" t="s">
        <v>80</v>
      </c>
      <c r="G257" t="s">
        <v>14</v>
      </c>
      <c r="H257">
        <v>3</v>
      </c>
      <c r="I257">
        <v>400</v>
      </c>
      <c r="J257">
        <v>0</v>
      </c>
      <c r="K257" t="s">
        <v>1922</v>
      </c>
      <c r="L257">
        <v>180</v>
      </c>
      <c r="M257">
        <v>1200</v>
      </c>
      <c r="N257">
        <v>540</v>
      </c>
      <c r="O257">
        <v>660</v>
      </c>
      <c r="P257">
        <v>0.55000000000000004</v>
      </c>
      <c r="Q257">
        <v>0</v>
      </c>
      <c r="R257">
        <v>0</v>
      </c>
      <c r="S257">
        <v>3</v>
      </c>
      <c r="T257">
        <v>1200</v>
      </c>
    </row>
    <row r="258" spans="1:20">
      <c r="A258" t="s">
        <v>374</v>
      </c>
      <c r="B258" s="1">
        <v>45360</v>
      </c>
      <c r="C258">
        <v>10</v>
      </c>
      <c r="D258">
        <v>3</v>
      </c>
      <c r="E258" t="s">
        <v>338</v>
      </c>
      <c r="F258" t="s">
        <v>364</v>
      </c>
      <c r="G258" t="s">
        <v>221</v>
      </c>
      <c r="H258">
        <v>4</v>
      </c>
      <c r="I258">
        <v>960</v>
      </c>
      <c r="J258">
        <v>0</v>
      </c>
      <c r="K258" t="s">
        <v>1946</v>
      </c>
      <c r="L258">
        <v>480</v>
      </c>
      <c r="M258">
        <v>3840</v>
      </c>
      <c r="N258">
        <v>1920</v>
      </c>
      <c r="O258">
        <v>1920</v>
      </c>
      <c r="P258">
        <v>0.5</v>
      </c>
      <c r="Q258">
        <v>0</v>
      </c>
      <c r="R258">
        <v>0</v>
      </c>
      <c r="S258">
        <v>4</v>
      </c>
      <c r="T258">
        <v>3840</v>
      </c>
    </row>
    <row r="259" spans="1:20">
      <c r="A259" t="s">
        <v>375</v>
      </c>
      <c r="B259" s="1">
        <v>45361</v>
      </c>
      <c r="C259">
        <v>10</v>
      </c>
      <c r="D259">
        <v>3</v>
      </c>
      <c r="E259" t="s">
        <v>338</v>
      </c>
      <c r="F259" t="s">
        <v>369</v>
      </c>
      <c r="G259" t="s">
        <v>221</v>
      </c>
      <c r="H259">
        <v>1</v>
      </c>
      <c r="I259">
        <v>630</v>
      </c>
      <c r="J259">
        <v>10</v>
      </c>
      <c r="K259" t="s">
        <v>1949</v>
      </c>
      <c r="L259">
        <v>350</v>
      </c>
      <c r="M259">
        <v>630</v>
      </c>
      <c r="N259">
        <v>350</v>
      </c>
      <c r="O259">
        <v>280</v>
      </c>
      <c r="P259">
        <v>0.44444444444444398</v>
      </c>
      <c r="Q259">
        <v>0</v>
      </c>
      <c r="R259">
        <v>0</v>
      </c>
      <c r="S259">
        <v>1</v>
      </c>
      <c r="T259">
        <v>630</v>
      </c>
    </row>
    <row r="260" spans="1:20">
      <c r="A260" t="s">
        <v>377</v>
      </c>
      <c r="B260" s="1">
        <v>45361</v>
      </c>
      <c r="C260">
        <v>10</v>
      </c>
      <c r="D260">
        <v>3</v>
      </c>
      <c r="E260" t="s">
        <v>338</v>
      </c>
      <c r="F260" t="s">
        <v>39</v>
      </c>
      <c r="G260" t="s">
        <v>14</v>
      </c>
      <c r="H260">
        <v>5</v>
      </c>
      <c r="I260">
        <v>880</v>
      </c>
      <c r="J260">
        <v>0</v>
      </c>
      <c r="K260" t="s">
        <v>1921</v>
      </c>
      <c r="L260">
        <v>400</v>
      </c>
      <c r="M260">
        <v>4400</v>
      </c>
      <c r="N260">
        <v>2000</v>
      </c>
      <c r="O260">
        <v>2400</v>
      </c>
      <c r="P260">
        <v>0.54545454545454497</v>
      </c>
      <c r="Q260">
        <v>0</v>
      </c>
      <c r="R260">
        <v>0</v>
      </c>
      <c r="S260">
        <v>5</v>
      </c>
      <c r="T260">
        <v>4400</v>
      </c>
    </row>
    <row r="261" spans="1:20">
      <c r="A261" t="s">
        <v>378</v>
      </c>
      <c r="B261" s="1">
        <v>45361</v>
      </c>
      <c r="C261">
        <v>10</v>
      </c>
      <c r="D261">
        <v>3</v>
      </c>
      <c r="E261" t="s">
        <v>338</v>
      </c>
      <c r="F261" t="s">
        <v>51</v>
      </c>
      <c r="G261" t="s">
        <v>26</v>
      </c>
      <c r="H261">
        <v>2</v>
      </c>
      <c r="I261">
        <v>475</v>
      </c>
      <c r="J261">
        <v>5</v>
      </c>
      <c r="K261" t="s">
        <v>1936</v>
      </c>
      <c r="L261">
        <v>200</v>
      </c>
      <c r="M261">
        <v>950</v>
      </c>
      <c r="N261">
        <v>400</v>
      </c>
      <c r="O261">
        <v>550</v>
      </c>
      <c r="P261">
        <v>0.57894736842105299</v>
      </c>
      <c r="Q261">
        <v>2</v>
      </c>
      <c r="R261">
        <v>2</v>
      </c>
      <c r="S261">
        <v>0</v>
      </c>
      <c r="T261">
        <v>0</v>
      </c>
    </row>
    <row r="262" spans="1:20">
      <c r="A262" t="s">
        <v>379</v>
      </c>
      <c r="B262" s="1">
        <v>45362</v>
      </c>
      <c r="C262">
        <v>11</v>
      </c>
      <c r="D262">
        <v>3</v>
      </c>
      <c r="E262" t="s">
        <v>338</v>
      </c>
      <c r="F262" t="s">
        <v>220</v>
      </c>
      <c r="G262" t="s">
        <v>221</v>
      </c>
      <c r="H262">
        <v>5</v>
      </c>
      <c r="I262">
        <v>600</v>
      </c>
      <c r="J262">
        <v>0</v>
      </c>
      <c r="K262" t="s">
        <v>1947</v>
      </c>
      <c r="L262">
        <v>300</v>
      </c>
      <c r="M262">
        <v>3000</v>
      </c>
      <c r="N262">
        <v>1500</v>
      </c>
      <c r="O262">
        <v>1500</v>
      </c>
      <c r="P262">
        <v>0.5</v>
      </c>
      <c r="Q262">
        <v>0</v>
      </c>
      <c r="R262">
        <v>0</v>
      </c>
      <c r="S262">
        <v>5</v>
      </c>
      <c r="T262">
        <v>3000</v>
      </c>
    </row>
    <row r="263" spans="1:20">
      <c r="A263" t="s">
        <v>381</v>
      </c>
      <c r="B263" s="1">
        <v>45362</v>
      </c>
      <c r="C263">
        <v>11</v>
      </c>
      <c r="D263">
        <v>3</v>
      </c>
      <c r="E263" t="s">
        <v>338</v>
      </c>
      <c r="F263" t="s">
        <v>369</v>
      </c>
      <c r="G263" t="s">
        <v>221</v>
      </c>
      <c r="H263">
        <v>5</v>
      </c>
      <c r="I263">
        <v>700</v>
      </c>
      <c r="J263">
        <v>0</v>
      </c>
      <c r="K263" t="s">
        <v>1949</v>
      </c>
      <c r="L263">
        <v>350</v>
      </c>
      <c r="M263">
        <v>3500</v>
      </c>
      <c r="N263">
        <v>1750</v>
      </c>
      <c r="O263">
        <v>1750</v>
      </c>
      <c r="P263">
        <v>0.5</v>
      </c>
      <c r="Q263">
        <v>0</v>
      </c>
      <c r="R263">
        <v>0</v>
      </c>
      <c r="S263">
        <v>5</v>
      </c>
      <c r="T263">
        <v>3500</v>
      </c>
    </row>
    <row r="264" spans="1:20">
      <c r="A264" t="s">
        <v>382</v>
      </c>
      <c r="B264" s="1">
        <v>45362</v>
      </c>
      <c r="C264">
        <v>11</v>
      </c>
      <c r="D264">
        <v>3</v>
      </c>
      <c r="E264" t="s">
        <v>338</v>
      </c>
      <c r="F264" t="s">
        <v>45</v>
      </c>
      <c r="G264" t="s">
        <v>26</v>
      </c>
      <c r="H264">
        <v>4</v>
      </c>
      <c r="I264">
        <v>4500</v>
      </c>
      <c r="J264">
        <v>0</v>
      </c>
      <c r="K264" t="s">
        <v>1938</v>
      </c>
      <c r="L264">
        <v>1800</v>
      </c>
      <c r="M264">
        <v>18000</v>
      </c>
      <c r="N264">
        <v>7200</v>
      </c>
      <c r="O264">
        <v>10800</v>
      </c>
      <c r="P264">
        <v>0.6</v>
      </c>
      <c r="Q264">
        <v>0</v>
      </c>
      <c r="R264">
        <v>0</v>
      </c>
      <c r="S264">
        <v>4</v>
      </c>
      <c r="T264">
        <v>18000</v>
      </c>
    </row>
    <row r="265" spans="1:20">
      <c r="A265" t="s">
        <v>383</v>
      </c>
      <c r="B265" s="1">
        <v>45362</v>
      </c>
      <c r="C265">
        <v>11</v>
      </c>
      <c r="D265">
        <v>3</v>
      </c>
      <c r="E265" t="s">
        <v>338</v>
      </c>
      <c r="F265" t="s">
        <v>28</v>
      </c>
      <c r="G265" t="s">
        <v>26</v>
      </c>
      <c r="H265">
        <v>2</v>
      </c>
      <c r="I265">
        <v>1425</v>
      </c>
      <c r="J265">
        <v>5</v>
      </c>
      <c r="K265" t="s">
        <v>1939</v>
      </c>
      <c r="L265">
        <v>600</v>
      </c>
      <c r="M265">
        <v>2850</v>
      </c>
      <c r="N265">
        <v>1200</v>
      </c>
      <c r="O265">
        <v>1650</v>
      </c>
      <c r="P265">
        <v>0.57894736842105299</v>
      </c>
      <c r="Q265">
        <v>0</v>
      </c>
      <c r="R265">
        <v>0</v>
      </c>
      <c r="S265">
        <v>2</v>
      </c>
      <c r="T265">
        <v>2850</v>
      </c>
    </row>
    <row r="266" spans="1:20">
      <c r="A266" t="s">
        <v>384</v>
      </c>
      <c r="B266" s="1">
        <v>45363</v>
      </c>
      <c r="C266">
        <v>11</v>
      </c>
      <c r="D266">
        <v>3</v>
      </c>
      <c r="E266" t="s">
        <v>338</v>
      </c>
      <c r="F266" t="s">
        <v>115</v>
      </c>
      <c r="G266" t="s">
        <v>23</v>
      </c>
      <c r="H266">
        <v>1</v>
      </c>
      <c r="I266">
        <v>1020</v>
      </c>
      <c r="J266">
        <v>15</v>
      </c>
      <c r="K266" t="s">
        <v>1926</v>
      </c>
      <c r="L266">
        <v>600</v>
      </c>
      <c r="M266">
        <v>1020</v>
      </c>
      <c r="N266">
        <v>600</v>
      </c>
      <c r="O266">
        <v>420</v>
      </c>
      <c r="P266">
        <v>0.41176470588235298</v>
      </c>
      <c r="Q266">
        <v>0</v>
      </c>
      <c r="R266">
        <v>0</v>
      </c>
      <c r="S266">
        <v>1</v>
      </c>
      <c r="T266">
        <v>1020</v>
      </c>
    </row>
    <row r="267" spans="1:20">
      <c r="A267" t="s">
        <v>386</v>
      </c>
      <c r="B267" s="1">
        <v>45363</v>
      </c>
      <c r="C267">
        <v>11</v>
      </c>
      <c r="D267">
        <v>3</v>
      </c>
      <c r="E267" t="s">
        <v>338</v>
      </c>
      <c r="F267" t="s">
        <v>82</v>
      </c>
      <c r="G267" t="s">
        <v>20</v>
      </c>
      <c r="H267">
        <v>1</v>
      </c>
      <c r="I267">
        <v>765</v>
      </c>
      <c r="J267">
        <v>15</v>
      </c>
      <c r="K267" t="s">
        <v>1933</v>
      </c>
      <c r="L267">
        <v>500</v>
      </c>
      <c r="M267">
        <v>765</v>
      </c>
      <c r="N267">
        <v>500</v>
      </c>
      <c r="O267">
        <v>265</v>
      </c>
      <c r="P267">
        <v>0.34640522875816998</v>
      </c>
      <c r="Q267">
        <v>0</v>
      </c>
      <c r="R267">
        <v>0</v>
      </c>
      <c r="S267">
        <v>1</v>
      </c>
      <c r="T267">
        <v>765</v>
      </c>
    </row>
    <row r="268" spans="1:20">
      <c r="A268" t="s">
        <v>387</v>
      </c>
      <c r="B268" s="1">
        <v>45363</v>
      </c>
      <c r="C268">
        <v>11</v>
      </c>
      <c r="D268">
        <v>3</v>
      </c>
      <c r="E268" t="s">
        <v>338</v>
      </c>
      <c r="F268" t="s">
        <v>119</v>
      </c>
      <c r="G268" t="s">
        <v>14</v>
      </c>
      <c r="H268">
        <v>1</v>
      </c>
      <c r="I268">
        <v>770</v>
      </c>
      <c r="J268">
        <v>0</v>
      </c>
      <c r="K268" t="s">
        <v>1920</v>
      </c>
      <c r="L268">
        <v>350</v>
      </c>
      <c r="M268">
        <v>770</v>
      </c>
      <c r="N268">
        <v>350</v>
      </c>
      <c r="O268">
        <v>420</v>
      </c>
      <c r="P268">
        <v>0.54545454545454497</v>
      </c>
      <c r="Q268">
        <v>0</v>
      </c>
      <c r="R268">
        <v>0</v>
      </c>
      <c r="S268">
        <v>1</v>
      </c>
      <c r="T268">
        <v>770</v>
      </c>
    </row>
    <row r="269" spans="1:20">
      <c r="A269" t="s">
        <v>388</v>
      </c>
      <c r="B269" s="1">
        <v>45364</v>
      </c>
      <c r="C269">
        <v>11</v>
      </c>
      <c r="D269">
        <v>3</v>
      </c>
      <c r="E269" t="s">
        <v>338</v>
      </c>
      <c r="F269" t="s">
        <v>97</v>
      </c>
      <c r="G269" t="s">
        <v>20</v>
      </c>
      <c r="H269">
        <v>3</v>
      </c>
      <c r="I269">
        <v>1980</v>
      </c>
      <c r="J269">
        <v>0</v>
      </c>
      <c r="K269" t="s">
        <v>1932</v>
      </c>
      <c r="L269">
        <v>1100</v>
      </c>
      <c r="M269">
        <v>5940</v>
      </c>
      <c r="N269">
        <v>3300</v>
      </c>
      <c r="O269">
        <v>2640</v>
      </c>
      <c r="P269">
        <v>0.44444444444444398</v>
      </c>
      <c r="Q269">
        <v>0</v>
      </c>
      <c r="R269">
        <v>0</v>
      </c>
      <c r="S269">
        <v>3</v>
      </c>
      <c r="T269">
        <v>5940</v>
      </c>
    </row>
    <row r="270" spans="1:20">
      <c r="A270" t="s">
        <v>390</v>
      </c>
      <c r="B270" s="1">
        <v>45364</v>
      </c>
      <c r="C270">
        <v>11</v>
      </c>
      <c r="D270">
        <v>3</v>
      </c>
      <c r="E270" t="s">
        <v>338</v>
      </c>
      <c r="F270" t="s">
        <v>51</v>
      </c>
      <c r="G270" t="s">
        <v>26</v>
      </c>
      <c r="H270">
        <v>4</v>
      </c>
      <c r="I270">
        <v>450</v>
      </c>
      <c r="J270">
        <v>10</v>
      </c>
      <c r="K270" t="s">
        <v>1936</v>
      </c>
      <c r="L270">
        <v>200</v>
      </c>
      <c r="M270">
        <v>1800</v>
      </c>
      <c r="N270">
        <v>800</v>
      </c>
      <c r="O270">
        <v>1000</v>
      </c>
      <c r="P270">
        <v>0.55555555555555602</v>
      </c>
      <c r="Q270">
        <v>0</v>
      </c>
      <c r="R270">
        <v>0</v>
      </c>
      <c r="S270">
        <v>4</v>
      </c>
      <c r="T270">
        <v>1800</v>
      </c>
    </row>
    <row r="271" spans="1:20">
      <c r="A271" t="s">
        <v>391</v>
      </c>
      <c r="B271" s="1">
        <v>45365</v>
      </c>
      <c r="C271">
        <v>11</v>
      </c>
      <c r="D271">
        <v>3</v>
      </c>
      <c r="E271" t="s">
        <v>338</v>
      </c>
      <c r="F271" t="s">
        <v>19</v>
      </c>
      <c r="G271" t="s">
        <v>20</v>
      </c>
      <c r="H271">
        <v>2</v>
      </c>
      <c r="I271">
        <v>1458</v>
      </c>
      <c r="J271">
        <v>10</v>
      </c>
      <c r="K271" t="s">
        <v>1931</v>
      </c>
      <c r="L271">
        <v>900</v>
      </c>
      <c r="M271">
        <v>2916</v>
      </c>
      <c r="N271">
        <v>1800</v>
      </c>
      <c r="O271">
        <v>1116</v>
      </c>
      <c r="P271">
        <v>0.38271604938271597</v>
      </c>
      <c r="Q271">
        <v>0</v>
      </c>
      <c r="R271">
        <v>0</v>
      </c>
      <c r="S271">
        <v>2</v>
      </c>
      <c r="T271">
        <v>2916</v>
      </c>
    </row>
    <row r="272" spans="1:20">
      <c r="A272" t="s">
        <v>393</v>
      </c>
      <c r="B272" s="1">
        <v>45365</v>
      </c>
      <c r="C272">
        <v>11</v>
      </c>
      <c r="D272">
        <v>3</v>
      </c>
      <c r="E272" t="s">
        <v>338</v>
      </c>
      <c r="F272" t="s">
        <v>19</v>
      </c>
      <c r="G272" t="s">
        <v>20</v>
      </c>
      <c r="H272">
        <v>4</v>
      </c>
      <c r="I272">
        <v>1620</v>
      </c>
      <c r="J272">
        <v>0</v>
      </c>
      <c r="K272" t="s">
        <v>1931</v>
      </c>
      <c r="L272">
        <v>900</v>
      </c>
      <c r="M272">
        <v>6480</v>
      </c>
      <c r="N272">
        <v>3600</v>
      </c>
      <c r="O272">
        <v>2880</v>
      </c>
      <c r="P272">
        <v>0.44444444444444398</v>
      </c>
      <c r="Q272">
        <v>0</v>
      </c>
      <c r="R272">
        <v>0</v>
      </c>
      <c r="S272">
        <v>4</v>
      </c>
      <c r="T272">
        <v>6480</v>
      </c>
    </row>
    <row r="273" spans="1:20">
      <c r="A273" t="s">
        <v>394</v>
      </c>
      <c r="B273" s="1">
        <v>45365</v>
      </c>
      <c r="C273">
        <v>11</v>
      </c>
      <c r="D273">
        <v>3</v>
      </c>
      <c r="E273" t="s">
        <v>338</v>
      </c>
      <c r="F273" t="s">
        <v>19</v>
      </c>
      <c r="G273" t="s">
        <v>20</v>
      </c>
      <c r="H273">
        <v>1</v>
      </c>
      <c r="I273">
        <v>1620</v>
      </c>
      <c r="J273">
        <v>0</v>
      </c>
      <c r="K273" t="s">
        <v>1931</v>
      </c>
      <c r="L273">
        <v>900</v>
      </c>
      <c r="M273">
        <v>1620</v>
      </c>
      <c r="N273">
        <v>900</v>
      </c>
      <c r="O273">
        <v>720</v>
      </c>
      <c r="P273">
        <v>0.44444444444444398</v>
      </c>
      <c r="Q273">
        <v>0</v>
      </c>
      <c r="R273">
        <v>0</v>
      </c>
      <c r="S273">
        <v>1</v>
      </c>
      <c r="T273">
        <v>1620</v>
      </c>
    </row>
    <row r="274" spans="1:20">
      <c r="A274" t="s">
        <v>395</v>
      </c>
      <c r="B274" s="1">
        <v>45365</v>
      </c>
      <c r="C274">
        <v>11</v>
      </c>
      <c r="D274">
        <v>3</v>
      </c>
      <c r="E274" t="s">
        <v>338</v>
      </c>
      <c r="F274" t="s">
        <v>97</v>
      </c>
      <c r="G274" t="s">
        <v>20</v>
      </c>
      <c r="H274">
        <v>5</v>
      </c>
      <c r="I274">
        <v>1980</v>
      </c>
      <c r="J274">
        <v>0</v>
      </c>
      <c r="K274" t="s">
        <v>1932</v>
      </c>
      <c r="L274">
        <v>1100</v>
      </c>
      <c r="M274">
        <v>9900</v>
      </c>
      <c r="N274">
        <v>5500</v>
      </c>
      <c r="O274">
        <v>4400</v>
      </c>
      <c r="P274">
        <v>0.44444444444444398</v>
      </c>
      <c r="Q274">
        <v>0</v>
      </c>
      <c r="R274">
        <v>0</v>
      </c>
      <c r="S274">
        <v>5</v>
      </c>
      <c r="T274">
        <v>9900</v>
      </c>
    </row>
    <row r="275" spans="1:20">
      <c r="A275" t="s">
        <v>396</v>
      </c>
      <c r="B275" s="1">
        <v>45366</v>
      </c>
      <c r="C275">
        <v>11</v>
      </c>
      <c r="D275">
        <v>3</v>
      </c>
      <c r="E275" t="s">
        <v>338</v>
      </c>
      <c r="F275" t="s">
        <v>58</v>
      </c>
      <c r="G275" t="s">
        <v>23</v>
      </c>
      <c r="H275">
        <v>3</v>
      </c>
      <c r="I275">
        <v>900</v>
      </c>
      <c r="J275">
        <v>10</v>
      </c>
      <c r="K275" t="s">
        <v>1927</v>
      </c>
      <c r="L275">
        <v>500</v>
      </c>
      <c r="M275">
        <v>2700</v>
      </c>
      <c r="N275">
        <v>1500</v>
      </c>
      <c r="O275">
        <v>1200</v>
      </c>
      <c r="P275">
        <v>0.44444444444444398</v>
      </c>
      <c r="Q275">
        <v>0</v>
      </c>
      <c r="R275">
        <v>0</v>
      </c>
      <c r="S275">
        <v>3</v>
      </c>
      <c r="T275">
        <v>2700</v>
      </c>
    </row>
    <row r="276" spans="1:20">
      <c r="A276" t="s">
        <v>398</v>
      </c>
      <c r="B276" s="1">
        <v>45368</v>
      </c>
      <c r="C276">
        <v>11</v>
      </c>
      <c r="D276">
        <v>3</v>
      </c>
      <c r="E276" t="s">
        <v>338</v>
      </c>
      <c r="F276" t="s">
        <v>37</v>
      </c>
      <c r="G276" t="s">
        <v>20</v>
      </c>
      <c r="H276">
        <v>3</v>
      </c>
      <c r="I276">
        <v>2340</v>
      </c>
      <c r="J276">
        <v>0</v>
      </c>
      <c r="K276" t="s">
        <v>1935</v>
      </c>
      <c r="L276">
        <v>1300</v>
      </c>
      <c r="M276">
        <v>7020</v>
      </c>
      <c r="N276">
        <v>3900</v>
      </c>
      <c r="O276">
        <v>3120</v>
      </c>
      <c r="P276">
        <v>0.44444444444444398</v>
      </c>
      <c r="Q276">
        <v>0</v>
      </c>
      <c r="R276">
        <v>0</v>
      </c>
      <c r="S276">
        <v>3</v>
      </c>
      <c r="T276">
        <v>7020</v>
      </c>
    </row>
    <row r="277" spans="1:20">
      <c r="A277" t="s">
        <v>400</v>
      </c>
      <c r="B277" s="1">
        <v>45368</v>
      </c>
      <c r="C277">
        <v>11</v>
      </c>
      <c r="D277">
        <v>3</v>
      </c>
      <c r="E277" t="s">
        <v>338</v>
      </c>
      <c r="F277" t="s">
        <v>28</v>
      </c>
      <c r="G277" t="s">
        <v>26</v>
      </c>
      <c r="H277">
        <v>2</v>
      </c>
      <c r="I277">
        <v>1350</v>
      </c>
      <c r="J277">
        <v>10</v>
      </c>
      <c r="K277" t="s">
        <v>1939</v>
      </c>
      <c r="L277">
        <v>600</v>
      </c>
      <c r="M277">
        <v>2700</v>
      </c>
      <c r="N277">
        <v>1200</v>
      </c>
      <c r="O277">
        <v>1500</v>
      </c>
      <c r="P277">
        <v>0.55555555555555602</v>
      </c>
      <c r="Q277">
        <v>0</v>
      </c>
      <c r="R277">
        <v>0</v>
      </c>
      <c r="S277">
        <v>2</v>
      </c>
      <c r="T277">
        <v>2700</v>
      </c>
    </row>
    <row r="278" spans="1:20">
      <c r="A278" t="s">
        <v>401</v>
      </c>
      <c r="B278" s="1">
        <v>45368</v>
      </c>
      <c r="C278">
        <v>11</v>
      </c>
      <c r="D278">
        <v>3</v>
      </c>
      <c r="E278" t="s">
        <v>338</v>
      </c>
      <c r="F278" t="s">
        <v>86</v>
      </c>
      <c r="G278" t="s">
        <v>17</v>
      </c>
      <c r="H278">
        <v>4</v>
      </c>
      <c r="I278">
        <v>940</v>
      </c>
      <c r="J278">
        <v>0</v>
      </c>
      <c r="K278" t="s">
        <v>1944</v>
      </c>
      <c r="L278">
        <v>450</v>
      </c>
      <c r="M278">
        <v>3760</v>
      </c>
      <c r="N278">
        <v>1800</v>
      </c>
      <c r="O278">
        <v>1960</v>
      </c>
      <c r="P278">
        <v>0.52127659574468099</v>
      </c>
      <c r="Q278">
        <v>0</v>
      </c>
      <c r="R278">
        <v>0</v>
      </c>
      <c r="S278">
        <v>4</v>
      </c>
      <c r="T278">
        <v>3760</v>
      </c>
    </row>
    <row r="279" spans="1:20">
      <c r="A279" t="s">
        <v>402</v>
      </c>
      <c r="B279" s="1">
        <v>45368</v>
      </c>
      <c r="C279">
        <v>11</v>
      </c>
      <c r="D279">
        <v>3</v>
      </c>
      <c r="E279" t="s">
        <v>338</v>
      </c>
      <c r="F279" t="s">
        <v>119</v>
      </c>
      <c r="G279" t="s">
        <v>14</v>
      </c>
      <c r="H279">
        <v>4</v>
      </c>
      <c r="I279">
        <v>731.5</v>
      </c>
      <c r="J279">
        <v>5</v>
      </c>
      <c r="K279" t="s">
        <v>1920</v>
      </c>
      <c r="L279">
        <v>350</v>
      </c>
      <c r="M279">
        <v>2926</v>
      </c>
      <c r="N279">
        <v>1400</v>
      </c>
      <c r="O279">
        <v>1526</v>
      </c>
      <c r="P279">
        <v>0.52153110047846896</v>
      </c>
      <c r="Q279">
        <v>2</v>
      </c>
      <c r="R279">
        <v>2</v>
      </c>
      <c r="S279">
        <v>2</v>
      </c>
      <c r="T279">
        <v>1463</v>
      </c>
    </row>
    <row r="280" spans="1:20">
      <c r="A280" t="s">
        <v>403</v>
      </c>
      <c r="B280" s="1">
        <v>45368</v>
      </c>
      <c r="C280">
        <v>11</v>
      </c>
      <c r="D280">
        <v>3</v>
      </c>
      <c r="E280" t="s">
        <v>338</v>
      </c>
      <c r="F280" t="s">
        <v>187</v>
      </c>
      <c r="G280" t="s">
        <v>14</v>
      </c>
      <c r="H280">
        <v>5</v>
      </c>
      <c r="I280">
        <v>4180</v>
      </c>
      <c r="J280">
        <v>5</v>
      </c>
      <c r="K280" t="s">
        <v>1924</v>
      </c>
      <c r="L280">
        <v>2000</v>
      </c>
      <c r="M280">
        <v>20900</v>
      </c>
      <c r="N280">
        <v>10000</v>
      </c>
      <c r="O280">
        <v>10900</v>
      </c>
      <c r="P280">
        <v>0.52153110047846896</v>
      </c>
      <c r="Q280">
        <v>0</v>
      </c>
      <c r="R280">
        <v>0</v>
      </c>
      <c r="S280">
        <v>5</v>
      </c>
      <c r="T280">
        <v>20900</v>
      </c>
    </row>
    <row r="281" spans="1:20">
      <c r="A281" t="s">
        <v>404</v>
      </c>
      <c r="B281" s="1">
        <v>45369</v>
      </c>
      <c r="C281">
        <v>12</v>
      </c>
      <c r="D281">
        <v>3</v>
      </c>
      <c r="E281" t="s">
        <v>338</v>
      </c>
      <c r="F281" t="s">
        <v>42</v>
      </c>
      <c r="G281" t="s">
        <v>23</v>
      </c>
      <c r="H281">
        <v>2</v>
      </c>
      <c r="I281">
        <v>600</v>
      </c>
      <c r="J281">
        <v>0</v>
      </c>
      <c r="K281" t="s">
        <v>1928</v>
      </c>
      <c r="L281">
        <v>300</v>
      </c>
      <c r="M281">
        <v>1200</v>
      </c>
      <c r="N281">
        <v>600</v>
      </c>
      <c r="O281">
        <v>600</v>
      </c>
      <c r="P281">
        <v>0.5</v>
      </c>
      <c r="Q281">
        <v>0</v>
      </c>
      <c r="R281">
        <v>0</v>
      </c>
      <c r="S281">
        <v>2</v>
      </c>
      <c r="T281">
        <v>1200</v>
      </c>
    </row>
    <row r="282" spans="1:20">
      <c r="A282" t="s">
        <v>406</v>
      </c>
      <c r="B282" s="1">
        <v>45369</v>
      </c>
      <c r="C282">
        <v>12</v>
      </c>
      <c r="D282">
        <v>3</v>
      </c>
      <c r="E282" t="s">
        <v>338</v>
      </c>
      <c r="F282" t="s">
        <v>45</v>
      </c>
      <c r="G282" t="s">
        <v>26</v>
      </c>
      <c r="H282">
        <v>3</v>
      </c>
      <c r="I282">
        <v>4500</v>
      </c>
      <c r="J282">
        <v>0</v>
      </c>
      <c r="K282" t="s">
        <v>1938</v>
      </c>
      <c r="L282">
        <v>1800</v>
      </c>
      <c r="M282">
        <v>13500</v>
      </c>
      <c r="N282">
        <v>5400</v>
      </c>
      <c r="O282">
        <v>8100</v>
      </c>
      <c r="P282">
        <v>0.6</v>
      </c>
      <c r="Q282">
        <v>0</v>
      </c>
      <c r="R282">
        <v>0</v>
      </c>
      <c r="S282">
        <v>3</v>
      </c>
      <c r="T282">
        <v>13500</v>
      </c>
    </row>
    <row r="283" spans="1:20">
      <c r="A283" t="s">
        <v>407</v>
      </c>
      <c r="B283" s="1">
        <v>45369</v>
      </c>
      <c r="C283">
        <v>12</v>
      </c>
      <c r="D283">
        <v>3</v>
      </c>
      <c r="E283" t="s">
        <v>338</v>
      </c>
      <c r="F283" t="s">
        <v>66</v>
      </c>
      <c r="G283" t="s">
        <v>17</v>
      </c>
      <c r="H283">
        <v>4</v>
      </c>
      <c r="I283">
        <v>1470</v>
      </c>
      <c r="J283">
        <v>0</v>
      </c>
      <c r="K283" t="s">
        <v>1941</v>
      </c>
      <c r="L283">
        <v>700</v>
      </c>
      <c r="M283">
        <v>5880</v>
      </c>
      <c r="N283">
        <v>2800</v>
      </c>
      <c r="O283">
        <v>3080</v>
      </c>
      <c r="P283">
        <v>0.52380952380952395</v>
      </c>
      <c r="Q283">
        <v>0</v>
      </c>
      <c r="R283">
        <v>0</v>
      </c>
      <c r="S283">
        <v>4</v>
      </c>
      <c r="T283">
        <v>5880</v>
      </c>
    </row>
    <row r="284" spans="1:20">
      <c r="A284" t="s">
        <v>408</v>
      </c>
      <c r="B284" s="1">
        <v>45370</v>
      </c>
      <c r="C284">
        <v>12</v>
      </c>
      <c r="D284">
        <v>3</v>
      </c>
      <c r="E284" t="s">
        <v>338</v>
      </c>
      <c r="F284" t="s">
        <v>22</v>
      </c>
      <c r="G284" t="s">
        <v>23</v>
      </c>
      <c r="H284">
        <v>1</v>
      </c>
      <c r="I284">
        <v>450</v>
      </c>
      <c r="J284">
        <v>10</v>
      </c>
      <c r="K284" t="s">
        <v>1929</v>
      </c>
      <c r="L284">
        <v>250</v>
      </c>
      <c r="M284">
        <v>450</v>
      </c>
      <c r="N284">
        <v>250</v>
      </c>
      <c r="O284">
        <v>200</v>
      </c>
      <c r="P284">
        <v>0.44444444444444398</v>
      </c>
      <c r="Q284">
        <v>0</v>
      </c>
      <c r="R284">
        <v>0</v>
      </c>
      <c r="S284">
        <v>1</v>
      </c>
      <c r="T284">
        <v>450</v>
      </c>
    </row>
    <row r="285" spans="1:20">
      <c r="A285" t="s">
        <v>410</v>
      </c>
      <c r="B285" s="1">
        <v>45371</v>
      </c>
      <c r="C285">
        <v>12</v>
      </c>
      <c r="D285">
        <v>3</v>
      </c>
      <c r="E285" t="s">
        <v>338</v>
      </c>
      <c r="F285" t="s">
        <v>220</v>
      </c>
      <c r="G285" t="s">
        <v>221</v>
      </c>
      <c r="H285">
        <v>3</v>
      </c>
      <c r="I285">
        <v>540</v>
      </c>
      <c r="J285">
        <v>10</v>
      </c>
      <c r="K285" t="s">
        <v>1947</v>
      </c>
      <c r="L285">
        <v>300</v>
      </c>
      <c r="M285">
        <v>1620</v>
      </c>
      <c r="N285">
        <v>900</v>
      </c>
      <c r="O285">
        <v>720</v>
      </c>
      <c r="P285">
        <v>0.44444444444444398</v>
      </c>
      <c r="Q285">
        <v>0</v>
      </c>
      <c r="R285">
        <v>0</v>
      </c>
      <c r="S285">
        <v>3</v>
      </c>
      <c r="T285">
        <v>1620</v>
      </c>
    </row>
    <row r="286" spans="1:20">
      <c r="A286" t="s">
        <v>412</v>
      </c>
      <c r="B286" s="1">
        <v>45371</v>
      </c>
      <c r="C286">
        <v>12</v>
      </c>
      <c r="D286">
        <v>3</v>
      </c>
      <c r="E286" t="s">
        <v>338</v>
      </c>
      <c r="F286" t="s">
        <v>220</v>
      </c>
      <c r="G286" t="s">
        <v>221</v>
      </c>
      <c r="H286">
        <v>5</v>
      </c>
      <c r="I286">
        <v>600</v>
      </c>
      <c r="J286">
        <v>0</v>
      </c>
      <c r="K286" t="s">
        <v>1947</v>
      </c>
      <c r="L286">
        <v>300</v>
      </c>
      <c r="M286">
        <v>3000</v>
      </c>
      <c r="N286">
        <v>1500</v>
      </c>
      <c r="O286">
        <v>1500</v>
      </c>
      <c r="P286">
        <v>0.5</v>
      </c>
      <c r="Q286">
        <v>0</v>
      </c>
      <c r="R286">
        <v>0</v>
      </c>
      <c r="S286">
        <v>5</v>
      </c>
      <c r="T286">
        <v>3000</v>
      </c>
    </row>
    <row r="287" spans="1:20">
      <c r="A287" t="s">
        <v>413</v>
      </c>
      <c r="B287" s="1">
        <v>45371</v>
      </c>
      <c r="C287">
        <v>12</v>
      </c>
      <c r="D287">
        <v>3</v>
      </c>
      <c r="E287" t="s">
        <v>338</v>
      </c>
      <c r="F287" t="s">
        <v>369</v>
      </c>
      <c r="G287" t="s">
        <v>221</v>
      </c>
      <c r="H287">
        <v>5</v>
      </c>
      <c r="I287">
        <v>665</v>
      </c>
      <c r="J287">
        <v>5</v>
      </c>
      <c r="K287" t="s">
        <v>1949</v>
      </c>
      <c r="L287">
        <v>350</v>
      </c>
      <c r="M287">
        <v>3325</v>
      </c>
      <c r="N287">
        <v>1750</v>
      </c>
      <c r="O287">
        <v>1575</v>
      </c>
      <c r="P287">
        <v>0.47368421052631599</v>
      </c>
      <c r="Q287">
        <v>0</v>
      </c>
      <c r="R287">
        <v>0</v>
      </c>
      <c r="S287">
        <v>5</v>
      </c>
      <c r="T287">
        <v>3325</v>
      </c>
    </row>
    <row r="288" spans="1:20">
      <c r="A288" t="s">
        <v>414</v>
      </c>
      <c r="B288" s="1">
        <v>45371</v>
      </c>
      <c r="C288">
        <v>12</v>
      </c>
      <c r="D288">
        <v>3</v>
      </c>
      <c r="E288" t="s">
        <v>338</v>
      </c>
      <c r="F288" t="s">
        <v>220</v>
      </c>
      <c r="G288" t="s">
        <v>221</v>
      </c>
      <c r="H288">
        <v>1</v>
      </c>
      <c r="I288">
        <v>510</v>
      </c>
      <c r="J288">
        <v>15</v>
      </c>
      <c r="K288" t="s">
        <v>1947</v>
      </c>
      <c r="L288">
        <v>300</v>
      </c>
      <c r="M288">
        <v>510</v>
      </c>
      <c r="N288">
        <v>300</v>
      </c>
      <c r="O288">
        <v>210</v>
      </c>
      <c r="P288">
        <v>0.41176470588235298</v>
      </c>
      <c r="Q288">
        <v>0</v>
      </c>
      <c r="R288">
        <v>0</v>
      </c>
      <c r="S288">
        <v>1</v>
      </c>
      <c r="T288">
        <v>510</v>
      </c>
    </row>
    <row r="289" spans="1:20">
      <c r="A289" t="s">
        <v>415</v>
      </c>
      <c r="B289" s="1">
        <v>45372</v>
      </c>
      <c r="C289">
        <v>12</v>
      </c>
      <c r="D289">
        <v>3</v>
      </c>
      <c r="E289" t="s">
        <v>338</v>
      </c>
      <c r="F289" t="s">
        <v>97</v>
      </c>
      <c r="G289" t="s">
        <v>20</v>
      </c>
      <c r="H289">
        <v>3</v>
      </c>
      <c r="I289">
        <v>1980</v>
      </c>
      <c r="J289">
        <v>0</v>
      </c>
      <c r="K289" t="s">
        <v>1932</v>
      </c>
      <c r="L289">
        <v>1100</v>
      </c>
      <c r="M289">
        <v>5940</v>
      </c>
      <c r="N289">
        <v>3300</v>
      </c>
      <c r="O289">
        <v>2640</v>
      </c>
      <c r="P289">
        <v>0.44444444444444398</v>
      </c>
      <c r="Q289">
        <v>0</v>
      </c>
      <c r="R289">
        <v>0</v>
      </c>
      <c r="S289">
        <v>3</v>
      </c>
      <c r="T289">
        <v>5940</v>
      </c>
    </row>
    <row r="290" spans="1:20">
      <c r="A290" t="s">
        <v>417</v>
      </c>
      <c r="B290" s="1">
        <v>45373</v>
      </c>
      <c r="C290">
        <v>12</v>
      </c>
      <c r="D290">
        <v>3</v>
      </c>
      <c r="E290" t="s">
        <v>338</v>
      </c>
      <c r="F290" t="s">
        <v>146</v>
      </c>
      <c r="G290" t="s">
        <v>20</v>
      </c>
      <c r="H290">
        <v>2</v>
      </c>
      <c r="I290">
        <v>598.5</v>
      </c>
      <c r="J290">
        <v>5</v>
      </c>
      <c r="K290" t="s">
        <v>1934</v>
      </c>
      <c r="L290">
        <v>350</v>
      </c>
      <c r="M290">
        <v>1197</v>
      </c>
      <c r="N290">
        <v>700</v>
      </c>
      <c r="O290">
        <v>497</v>
      </c>
      <c r="P290">
        <v>0.41520467836257302</v>
      </c>
      <c r="Q290">
        <v>0</v>
      </c>
      <c r="R290">
        <v>0</v>
      </c>
      <c r="S290">
        <v>2</v>
      </c>
      <c r="T290">
        <v>1197</v>
      </c>
    </row>
    <row r="291" spans="1:20">
      <c r="A291" t="s">
        <v>419</v>
      </c>
      <c r="B291" s="1">
        <v>45373</v>
      </c>
      <c r="C291">
        <v>12</v>
      </c>
      <c r="D291">
        <v>3</v>
      </c>
      <c r="E291" t="s">
        <v>338</v>
      </c>
      <c r="F291" t="s">
        <v>97</v>
      </c>
      <c r="G291" t="s">
        <v>20</v>
      </c>
      <c r="H291">
        <v>2</v>
      </c>
      <c r="I291">
        <v>1980</v>
      </c>
      <c r="J291">
        <v>0</v>
      </c>
      <c r="K291" t="s">
        <v>1932</v>
      </c>
      <c r="L291">
        <v>1100</v>
      </c>
      <c r="M291">
        <v>3960</v>
      </c>
      <c r="N291">
        <v>2200</v>
      </c>
      <c r="O291">
        <v>1760</v>
      </c>
      <c r="P291">
        <v>0.44444444444444398</v>
      </c>
      <c r="Q291">
        <v>1</v>
      </c>
      <c r="R291">
        <v>1</v>
      </c>
      <c r="S291">
        <v>1</v>
      </c>
      <c r="T291">
        <v>1980</v>
      </c>
    </row>
    <row r="292" spans="1:20">
      <c r="A292" t="s">
        <v>420</v>
      </c>
      <c r="B292" s="1">
        <v>45373</v>
      </c>
      <c r="C292">
        <v>12</v>
      </c>
      <c r="D292">
        <v>3</v>
      </c>
      <c r="E292" t="s">
        <v>338</v>
      </c>
      <c r="F292" t="s">
        <v>16</v>
      </c>
      <c r="G292" t="s">
        <v>17</v>
      </c>
      <c r="H292">
        <v>2</v>
      </c>
      <c r="I292">
        <v>520</v>
      </c>
      <c r="J292">
        <v>0</v>
      </c>
      <c r="K292" t="s">
        <v>1945</v>
      </c>
      <c r="L292">
        <v>250</v>
      </c>
      <c r="M292">
        <v>1040</v>
      </c>
      <c r="N292">
        <v>500</v>
      </c>
      <c r="O292">
        <v>540</v>
      </c>
      <c r="P292">
        <v>0.51923076923076905</v>
      </c>
      <c r="Q292">
        <v>0</v>
      </c>
      <c r="R292">
        <v>0</v>
      </c>
      <c r="S292">
        <v>2</v>
      </c>
      <c r="T292">
        <v>1040</v>
      </c>
    </row>
    <row r="293" spans="1:20">
      <c r="A293" t="s">
        <v>421</v>
      </c>
      <c r="B293" s="1">
        <v>45373</v>
      </c>
      <c r="C293">
        <v>12</v>
      </c>
      <c r="D293">
        <v>3</v>
      </c>
      <c r="E293" t="s">
        <v>338</v>
      </c>
      <c r="F293" t="s">
        <v>58</v>
      </c>
      <c r="G293" t="s">
        <v>23</v>
      </c>
      <c r="H293">
        <v>1</v>
      </c>
      <c r="I293">
        <v>850</v>
      </c>
      <c r="J293">
        <v>15</v>
      </c>
      <c r="K293" t="s">
        <v>1927</v>
      </c>
      <c r="L293">
        <v>500</v>
      </c>
      <c r="M293">
        <v>850</v>
      </c>
      <c r="N293">
        <v>500</v>
      </c>
      <c r="O293">
        <v>350</v>
      </c>
      <c r="P293">
        <v>0.41176470588235298</v>
      </c>
      <c r="Q293">
        <v>0</v>
      </c>
      <c r="R293">
        <v>0</v>
      </c>
      <c r="S293">
        <v>1</v>
      </c>
      <c r="T293">
        <v>850</v>
      </c>
    </row>
    <row r="294" spans="1:20">
      <c r="A294" t="s">
        <v>422</v>
      </c>
      <c r="B294" s="1">
        <v>45373</v>
      </c>
      <c r="C294">
        <v>12</v>
      </c>
      <c r="D294">
        <v>3</v>
      </c>
      <c r="E294" t="s">
        <v>338</v>
      </c>
      <c r="F294" t="s">
        <v>364</v>
      </c>
      <c r="G294" t="s">
        <v>221</v>
      </c>
      <c r="H294">
        <v>5</v>
      </c>
      <c r="I294">
        <v>864</v>
      </c>
      <c r="J294">
        <v>10</v>
      </c>
      <c r="K294" t="s">
        <v>1946</v>
      </c>
      <c r="L294">
        <v>480</v>
      </c>
      <c r="M294">
        <v>4320</v>
      </c>
      <c r="N294">
        <v>2400</v>
      </c>
      <c r="O294">
        <v>1920</v>
      </c>
      <c r="P294">
        <v>0.44444444444444398</v>
      </c>
      <c r="Q294">
        <v>0</v>
      </c>
      <c r="R294">
        <v>0</v>
      </c>
      <c r="S294">
        <v>5</v>
      </c>
      <c r="T294">
        <v>4320</v>
      </c>
    </row>
    <row r="295" spans="1:20">
      <c r="A295" t="s">
        <v>423</v>
      </c>
      <c r="B295" s="1">
        <v>45373</v>
      </c>
      <c r="C295">
        <v>12</v>
      </c>
      <c r="D295">
        <v>3</v>
      </c>
      <c r="E295" t="s">
        <v>338</v>
      </c>
      <c r="F295" t="s">
        <v>16</v>
      </c>
      <c r="G295" t="s">
        <v>17</v>
      </c>
      <c r="H295">
        <v>4</v>
      </c>
      <c r="I295">
        <v>442</v>
      </c>
      <c r="J295">
        <v>15</v>
      </c>
      <c r="K295" t="s">
        <v>1945</v>
      </c>
      <c r="L295">
        <v>250</v>
      </c>
      <c r="M295">
        <v>1768</v>
      </c>
      <c r="N295">
        <v>1000</v>
      </c>
      <c r="O295">
        <v>768</v>
      </c>
      <c r="P295">
        <v>0.434389140271493</v>
      </c>
      <c r="Q295">
        <v>0</v>
      </c>
      <c r="R295">
        <v>0</v>
      </c>
      <c r="S295">
        <v>4</v>
      </c>
      <c r="T295">
        <v>1768</v>
      </c>
    </row>
    <row r="296" spans="1:20">
      <c r="A296" t="s">
        <v>424</v>
      </c>
      <c r="B296" s="1">
        <v>45373</v>
      </c>
      <c r="C296">
        <v>12</v>
      </c>
      <c r="D296">
        <v>3</v>
      </c>
      <c r="E296" t="s">
        <v>338</v>
      </c>
      <c r="F296" t="s">
        <v>187</v>
      </c>
      <c r="G296" t="s">
        <v>14</v>
      </c>
      <c r="H296">
        <v>4</v>
      </c>
      <c r="I296">
        <v>3740</v>
      </c>
      <c r="J296">
        <v>15</v>
      </c>
      <c r="K296" t="s">
        <v>1924</v>
      </c>
      <c r="L296">
        <v>2000</v>
      </c>
      <c r="M296">
        <v>14960</v>
      </c>
      <c r="N296">
        <v>8000</v>
      </c>
      <c r="O296">
        <v>6960</v>
      </c>
      <c r="P296">
        <v>0.46524064171122997</v>
      </c>
      <c r="Q296">
        <v>0</v>
      </c>
      <c r="R296">
        <v>0</v>
      </c>
      <c r="S296">
        <v>4</v>
      </c>
      <c r="T296">
        <v>14960</v>
      </c>
    </row>
    <row r="297" spans="1:20">
      <c r="A297" t="s">
        <v>425</v>
      </c>
      <c r="B297" s="1">
        <v>45373</v>
      </c>
      <c r="C297">
        <v>12</v>
      </c>
      <c r="D297">
        <v>3</v>
      </c>
      <c r="E297" t="s">
        <v>338</v>
      </c>
      <c r="F297" t="s">
        <v>146</v>
      </c>
      <c r="G297" t="s">
        <v>20</v>
      </c>
      <c r="H297">
        <v>3</v>
      </c>
      <c r="I297">
        <v>598.5</v>
      </c>
      <c r="J297">
        <v>5</v>
      </c>
      <c r="K297" t="s">
        <v>1934</v>
      </c>
      <c r="L297">
        <v>350</v>
      </c>
      <c r="M297">
        <v>1795.5</v>
      </c>
      <c r="N297">
        <v>1050</v>
      </c>
      <c r="O297">
        <v>745.5</v>
      </c>
      <c r="P297">
        <v>0.41520467836257302</v>
      </c>
      <c r="Q297">
        <v>0</v>
      </c>
      <c r="R297">
        <v>0</v>
      </c>
      <c r="S297">
        <v>3</v>
      </c>
      <c r="T297">
        <v>1795.5</v>
      </c>
    </row>
    <row r="298" spans="1:20">
      <c r="A298" t="s">
        <v>426</v>
      </c>
      <c r="B298" s="1">
        <v>45374</v>
      </c>
      <c r="C298">
        <v>12</v>
      </c>
      <c r="D298">
        <v>3</v>
      </c>
      <c r="E298" t="s">
        <v>338</v>
      </c>
      <c r="F298" t="s">
        <v>31</v>
      </c>
      <c r="G298" t="s">
        <v>23</v>
      </c>
      <c r="H298">
        <v>3</v>
      </c>
      <c r="I298">
        <v>1400</v>
      </c>
      <c r="J298">
        <v>0</v>
      </c>
      <c r="K298" t="s">
        <v>1930</v>
      </c>
      <c r="L298">
        <v>700</v>
      </c>
      <c r="M298">
        <v>4200</v>
      </c>
      <c r="N298">
        <v>2100</v>
      </c>
      <c r="O298">
        <v>2100</v>
      </c>
      <c r="P298">
        <v>0.5</v>
      </c>
      <c r="Q298">
        <v>0</v>
      </c>
      <c r="R298">
        <v>0</v>
      </c>
      <c r="S298">
        <v>3</v>
      </c>
      <c r="T298">
        <v>4200</v>
      </c>
    </row>
    <row r="299" spans="1:20">
      <c r="A299" t="s">
        <v>428</v>
      </c>
      <c r="B299" s="1">
        <v>45374</v>
      </c>
      <c r="C299">
        <v>12</v>
      </c>
      <c r="D299">
        <v>3</v>
      </c>
      <c r="E299" t="s">
        <v>338</v>
      </c>
      <c r="F299" t="s">
        <v>64</v>
      </c>
      <c r="G299" t="s">
        <v>14</v>
      </c>
      <c r="H299">
        <v>3</v>
      </c>
      <c r="I299">
        <v>2508</v>
      </c>
      <c r="J299">
        <v>5</v>
      </c>
      <c r="K299" t="s">
        <v>1923</v>
      </c>
      <c r="L299">
        <v>1200</v>
      </c>
      <c r="M299">
        <v>7524</v>
      </c>
      <c r="N299">
        <v>3600</v>
      </c>
      <c r="O299">
        <v>3924</v>
      </c>
      <c r="P299">
        <v>0.52153110047846896</v>
      </c>
      <c r="Q299">
        <v>0</v>
      </c>
      <c r="R299">
        <v>0</v>
      </c>
      <c r="S299">
        <v>3</v>
      </c>
      <c r="T299">
        <v>7524</v>
      </c>
    </row>
    <row r="300" spans="1:20">
      <c r="A300" t="s">
        <v>429</v>
      </c>
      <c r="B300" s="1">
        <v>45375</v>
      </c>
      <c r="C300">
        <v>12</v>
      </c>
      <c r="D300">
        <v>3</v>
      </c>
      <c r="E300" t="s">
        <v>338</v>
      </c>
      <c r="F300" t="s">
        <v>58</v>
      </c>
      <c r="G300" t="s">
        <v>23</v>
      </c>
      <c r="H300">
        <v>4</v>
      </c>
      <c r="I300">
        <v>1000</v>
      </c>
      <c r="J300">
        <v>0</v>
      </c>
      <c r="K300" t="s">
        <v>1927</v>
      </c>
      <c r="L300">
        <v>500</v>
      </c>
      <c r="M300">
        <v>4000</v>
      </c>
      <c r="N300">
        <v>2000</v>
      </c>
      <c r="O300">
        <v>2000</v>
      </c>
      <c r="P300">
        <v>0.5</v>
      </c>
      <c r="Q300">
        <v>0</v>
      </c>
      <c r="R300">
        <v>0</v>
      </c>
      <c r="S300">
        <v>4</v>
      </c>
      <c r="T300">
        <v>4000</v>
      </c>
    </row>
    <row r="301" spans="1:20">
      <c r="A301" t="s">
        <v>431</v>
      </c>
      <c r="B301" s="1">
        <v>45375</v>
      </c>
      <c r="C301">
        <v>12</v>
      </c>
      <c r="D301">
        <v>3</v>
      </c>
      <c r="E301" t="s">
        <v>338</v>
      </c>
      <c r="F301" t="s">
        <v>146</v>
      </c>
      <c r="G301" t="s">
        <v>20</v>
      </c>
      <c r="H301">
        <v>5</v>
      </c>
      <c r="I301">
        <v>567</v>
      </c>
      <c r="J301">
        <v>10</v>
      </c>
      <c r="K301" t="s">
        <v>1934</v>
      </c>
      <c r="L301">
        <v>350</v>
      </c>
      <c r="M301">
        <v>2835</v>
      </c>
      <c r="N301">
        <v>1750</v>
      </c>
      <c r="O301">
        <v>1085</v>
      </c>
      <c r="P301">
        <v>0.38271604938271597</v>
      </c>
      <c r="Q301">
        <v>0</v>
      </c>
      <c r="R301">
        <v>0</v>
      </c>
      <c r="S301">
        <v>5</v>
      </c>
      <c r="T301">
        <v>2835</v>
      </c>
    </row>
    <row r="302" spans="1:20">
      <c r="A302" t="s">
        <v>432</v>
      </c>
      <c r="B302" s="1">
        <v>45375</v>
      </c>
      <c r="C302">
        <v>12</v>
      </c>
      <c r="D302">
        <v>3</v>
      </c>
      <c r="E302" t="s">
        <v>338</v>
      </c>
      <c r="F302" t="s">
        <v>349</v>
      </c>
      <c r="G302" t="s">
        <v>221</v>
      </c>
      <c r="H302">
        <v>2</v>
      </c>
      <c r="I302">
        <v>400</v>
      </c>
      <c r="J302">
        <v>0</v>
      </c>
      <c r="K302" t="s">
        <v>1948</v>
      </c>
      <c r="L302">
        <v>200</v>
      </c>
      <c r="M302">
        <v>800</v>
      </c>
      <c r="N302">
        <v>400</v>
      </c>
      <c r="O302">
        <v>400</v>
      </c>
      <c r="P302">
        <v>0.5</v>
      </c>
      <c r="Q302">
        <v>0</v>
      </c>
      <c r="R302">
        <v>0</v>
      </c>
      <c r="S302">
        <v>2</v>
      </c>
      <c r="T302">
        <v>800</v>
      </c>
    </row>
    <row r="303" spans="1:20">
      <c r="A303" t="s">
        <v>433</v>
      </c>
      <c r="B303" s="1">
        <v>45375</v>
      </c>
      <c r="C303">
        <v>12</v>
      </c>
      <c r="D303">
        <v>3</v>
      </c>
      <c r="E303" t="s">
        <v>338</v>
      </c>
      <c r="F303" t="s">
        <v>45</v>
      </c>
      <c r="G303" t="s">
        <v>26</v>
      </c>
      <c r="H303">
        <v>3</v>
      </c>
      <c r="I303">
        <v>3825</v>
      </c>
      <c r="J303">
        <v>15</v>
      </c>
      <c r="K303" t="s">
        <v>1938</v>
      </c>
      <c r="L303">
        <v>1800</v>
      </c>
      <c r="M303">
        <v>11475</v>
      </c>
      <c r="N303">
        <v>5400</v>
      </c>
      <c r="O303">
        <v>6075</v>
      </c>
      <c r="P303">
        <v>0.52941176470588203</v>
      </c>
      <c r="Q303">
        <v>0</v>
      </c>
      <c r="R303">
        <v>0</v>
      </c>
      <c r="S303">
        <v>3</v>
      </c>
      <c r="T303">
        <v>11475</v>
      </c>
    </row>
    <row r="304" spans="1:20">
      <c r="A304" t="s">
        <v>434</v>
      </c>
      <c r="B304" s="1">
        <v>45376</v>
      </c>
      <c r="C304">
        <v>13</v>
      </c>
      <c r="D304">
        <v>3</v>
      </c>
      <c r="E304" t="s">
        <v>338</v>
      </c>
      <c r="F304" t="s">
        <v>35</v>
      </c>
      <c r="G304" t="s">
        <v>17</v>
      </c>
      <c r="H304">
        <v>1</v>
      </c>
      <c r="I304">
        <v>2835</v>
      </c>
      <c r="J304">
        <v>10</v>
      </c>
      <c r="K304" t="s">
        <v>1942</v>
      </c>
      <c r="L304">
        <v>1500</v>
      </c>
      <c r="M304">
        <v>2835</v>
      </c>
      <c r="N304">
        <v>1500</v>
      </c>
      <c r="O304">
        <v>1335</v>
      </c>
      <c r="P304">
        <v>0.47089947089947098</v>
      </c>
      <c r="Q304">
        <v>0</v>
      </c>
      <c r="R304">
        <v>0</v>
      </c>
      <c r="S304">
        <v>1</v>
      </c>
      <c r="T304">
        <v>2835</v>
      </c>
    </row>
    <row r="305" spans="1:20">
      <c r="A305" t="s">
        <v>436</v>
      </c>
      <c r="B305" s="1">
        <v>45377</v>
      </c>
      <c r="C305">
        <v>13</v>
      </c>
      <c r="D305">
        <v>3</v>
      </c>
      <c r="E305" t="s">
        <v>338</v>
      </c>
      <c r="F305" t="s">
        <v>42</v>
      </c>
      <c r="G305" t="s">
        <v>23</v>
      </c>
      <c r="H305">
        <v>5</v>
      </c>
      <c r="I305">
        <v>600</v>
      </c>
      <c r="J305">
        <v>0</v>
      </c>
      <c r="K305" t="s">
        <v>1928</v>
      </c>
      <c r="L305">
        <v>300</v>
      </c>
      <c r="M305">
        <v>3000</v>
      </c>
      <c r="N305">
        <v>1500</v>
      </c>
      <c r="O305">
        <v>1500</v>
      </c>
      <c r="P305">
        <v>0.5</v>
      </c>
      <c r="Q305">
        <v>0</v>
      </c>
      <c r="R305">
        <v>0</v>
      </c>
      <c r="S305">
        <v>5</v>
      </c>
      <c r="T305">
        <v>3000</v>
      </c>
    </row>
    <row r="306" spans="1:20">
      <c r="A306" t="s">
        <v>438</v>
      </c>
      <c r="B306" s="1">
        <v>45377</v>
      </c>
      <c r="C306">
        <v>13</v>
      </c>
      <c r="D306">
        <v>3</v>
      </c>
      <c r="E306" t="s">
        <v>338</v>
      </c>
      <c r="F306" t="s">
        <v>66</v>
      </c>
      <c r="G306" t="s">
        <v>17</v>
      </c>
      <c r="H306">
        <v>2</v>
      </c>
      <c r="I306">
        <v>1470</v>
      </c>
      <c r="J306">
        <v>0</v>
      </c>
      <c r="K306" t="s">
        <v>1941</v>
      </c>
      <c r="L306">
        <v>700</v>
      </c>
      <c r="M306">
        <v>2940</v>
      </c>
      <c r="N306">
        <v>1400</v>
      </c>
      <c r="O306">
        <v>1540</v>
      </c>
      <c r="P306">
        <v>0.52380952380952395</v>
      </c>
      <c r="Q306">
        <v>0</v>
      </c>
      <c r="R306">
        <v>0</v>
      </c>
      <c r="S306">
        <v>2</v>
      </c>
      <c r="T306">
        <v>2940</v>
      </c>
    </row>
    <row r="307" spans="1:20">
      <c r="A307" t="s">
        <v>439</v>
      </c>
      <c r="B307" s="1">
        <v>45377</v>
      </c>
      <c r="C307">
        <v>13</v>
      </c>
      <c r="D307">
        <v>3</v>
      </c>
      <c r="E307" t="s">
        <v>338</v>
      </c>
      <c r="F307" t="s">
        <v>42</v>
      </c>
      <c r="G307" t="s">
        <v>23</v>
      </c>
      <c r="H307">
        <v>3</v>
      </c>
      <c r="I307">
        <v>510</v>
      </c>
      <c r="J307">
        <v>15</v>
      </c>
      <c r="K307" t="s">
        <v>1928</v>
      </c>
      <c r="L307">
        <v>300</v>
      </c>
      <c r="M307">
        <v>1530</v>
      </c>
      <c r="N307">
        <v>900</v>
      </c>
      <c r="O307">
        <v>630</v>
      </c>
      <c r="P307">
        <v>0.41176470588235298</v>
      </c>
      <c r="Q307">
        <v>0</v>
      </c>
      <c r="R307">
        <v>0</v>
      </c>
      <c r="S307">
        <v>3</v>
      </c>
      <c r="T307">
        <v>1530</v>
      </c>
    </row>
    <row r="308" spans="1:20">
      <c r="A308" t="s">
        <v>440</v>
      </c>
      <c r="B308" s="1">
        <v>45377</v>
      </c>
      <c r="C308">
        <v>13</v>
      </c>
      <c r="D308">
        <v>3</v>
      </c>
      <c r="E308" t="s">
        <v>338</v>
      </c>
      <c r="F308" t="s">
        <v>64</v>
      </c>
      <c r="G308" t="s">
        <v>14</v>
      </c>
      <c r="H308">
        <v>5</v>
      </c>
      <c r="I308">
        <v>2640</v>
      </c>
      <c r="J308">
        <v>0</v>
      </c>
      <c r="K308" t="s">
        <v>1923</v>
      </c>
      <c r="L308">
        <v>1200</v>
      </c>
      <c r="M308">
        <v>13200</v>
      </c>
      <c r="N308">
        <v>6000</v>
      </c>
      <c r="O308">
        <v>7200</v>
      </c>
      <c r="P308">
        <v>0.54545454545454497</v>
      </c>
      <c r="Q308">
        <v>2</v>
      </c>
      <c r="R308">
        <v>2</v>
      </c>
      <c r="S308">
        <v>3</v>
      </c>
      <c r="T308">
        <v>7920</v>
      </c>
    </row>
    <row r="309" spans="1:20">
      <c r="A309" t="s">
        <v>441</v>
      </c>
      <c r="B309" s="1">
        <v>45377</v>
      </c>
      <c r="C309">
        <v>13</v>
      </c>
      <c r="D309">
        <v>3</v>
      </c>
      <c r="E309" t="s">
        <v>338</v>
      </c>
      <c r="F309" t="s">
        <v>80</v>
      </c>
      <c r="G309" t="s">
        <v>14</v>
      </c>
      <c r="H309">
        <v>1</v>
      </c>
      <c r="I309">
        <v>380</v>
      </c>
      <c r="J309">
        <v>5</v>
      </c>
      <c r="K309" t="s">
        <v>1922</v>
      </c>
      <c r="L309">
        <v>180</v>
      </c>
      <c r="M309">
        <v>380</v>
      </c>
      <c r="N309">
        <v>180</v>
      </c>
      <c r="O309">
        <v>200</v>
      </c>
      <c r="P309">
        <v>0.52631578947368396</v>
      </c>
      <c r="Q309">
        <v>0</v>
      </c>
      <c r="R309">
        <v>0</v>
      </c>
      <c r="S309">
        <v>1</v>
      </c>
      <c r="T309">
        <v>380</v>
      </c>
    </row>
    <row r="310" spans="1:20">
      <c r="A310" t="s">
        <v>442</v>
      </c>
      <c r="B310" s="1">
        <v>45377</v>
      </c>
      <c r="C310">
        <v>13</v>
      </c>
      <c r="D310">
        <v>3</v>
      </c>
      <c r="E310" t="s">
        <v>338</v>
      </c>
      <c r="F310" t="s">
        <v>42</v>
      </c>
      <c r="G310" t="s">
        <v>23</v>
      </c>
      <c r="H310">
        <v>5</v>
      </c>
      <c r="I310">
        <v>510</v>
      </c>
      <c r="J310">
        <v>15</v>
      </c>
      <c r="K310" t="s">
        <v>1928</v>
      </c>
      <c r="L310">
        <v>300</v>
      </c>
      <c r="M310">
        <v>2550</v>
      </c>
      <c r="N310">
        <v>1500</v>
      </c>
      <c r="O310">
        <v>1050</v>
      </c>
      <c r="P310">
        <v>0.41176470588235298</v>
      </c>
      <c r="Q310">
        <v>0</v>
      </c>
      <c r="R310">
        <v>0</v>
      </c>
      <c r="S310">
        <v>5</v>
      </c>
      <c r="T310">
        <v>2550</v>
      </c>
    </row>
    <row r="311" spans="1:20">
      <c r="A311" t="s">
        <v>443</v>
      </c>
      <c r="B311" s="1">
        <v>45378</v>
      </c>
      <c r="C311">
        <v>13</v>
      </c>
      <c r="D311">
        <v>3</v>
      </c>
      <c r="E311" t="s">
        <v>338</v>
      </c>
      <c r="F311" t="s">
        <v>369</v>
      </c>
      <c r="G311" t="s">
        <v>221</v>
      </c>
      <c r="H311">
        <v>4</v>
      </c>
      <c r="I311">
        <v>700</v>
      </c>
      <c r="J311">
        <v>0</v>
      </c>
      <c r="K311" t="s">
        <v>1949</v>
      </c>
      <c r="L311">
        <v>350</v>
      </c>
      <c r="M311">
        <v>2800</v>
      </c>
      <c r="N311">
        <v>1400</v>
      </c>
      <c r="O311">
        <v>1400</v>
      </c>
      <c r="P311">
        <v>0.5</v>
      </c>
      <c r="Q311">
        <v>3</v>
      </c>
      <c r="R311">
        <v>3</v>
      </c>
      <c r="S311">
        <v>1</v>
      </c>
      <c r="T311">
        <v>700</v>
      </c>
    </row>
    <row r="312" spans="1:20">
      <c r="A312" t="s">
        <v>445</v>
      </c>
      <c r="B312" s="1">
        <v>45378</v>
      </c>
      <c r="C312">
        <v>13</v>
      </c>
      <c r="D312">
        <v>3</v>
      </c>
      <c r="E312" t="s">
        <v>338</v>
      </c>
      <c r="F312" t="s">
        <v>68</v>
      </c>
      <c r="G312" t="s">
        <v>26</v>
      </c>
      <c r="H312">
        <v>5</v>
      </c>
      <c r="I312">
        <v>361</v>
      </c>
      <c r="J312">
        <v>5</v>
      </c>
      <c r="K312" t="s">
        <v>1937</v>
      </c>
      <c r="L312">
        <v>150</v>
      </c>
      <c r="M312">
        <v>1805</v>
      </c>
      <c r="N312">
        <v>750</v>
      </c>
      <c r="O312">
        <v>1055</v>
      </c>
      <c r="P312">
        <v>0.58448753462603897</v>
      </c>
      <c r="Q312">
        <v>1</v>
      </c>
      <c r="R312">
        <v>1</v>
      </c>
      <c r="S312">
        <v>4</v>
      </c>
      <c r="T312">
        <v>1444</v>
      </c>
    </row>
    <row r="313" spans="1:20">
      <c r="A313" t="s">
        <v>446</v>
      </c>
      <c r="B313" s="1">
        <v>45378</v>
      </c>
      <c r="C313">
        <v>13</v>
      </c>
      <c r="D313">
        <v>3</v>
      </c>
      <c r="E313" t="s">
        <v>338</v>
      </c>
      <c r="F313" t="s">
        <v>86</v>
      </c>
      <c r="G313" t="s">
        <v>17</v>
      </c>
      <c r="H313">
        <v>2</v>
      </c>
      <c r="I313">
        <v>940</v>
      </c>
      <c r="J313">
        <v>0</v>
      </c>
      <c r="K313" t="s">
        <v>1944</v>
      </c>
      <c r="L313">
        <v>450</v>
      </c>
      <c r="M313">
        <v>1880</v>
      </c>
      <c r="N313">
        <v>900</v>
      </c>
      <c r="O313">
        <v>980</v>
      </c>
      <c r="P313">
        <v>0.52127659574468099</v>
      </c>
      <c r="Q313">
        <v>0</v>
      </c>
      <c r="R313">
        <v>0</v>
      </c>
      <c r="S313">
        <v>2</v>
      </c>
      <c r="T313">
        <v>1880</v>
      </c>
    </row>
    <row r="314" spans="1:20">
      <c r="A314" t="s">
        <v>447</v>
      </c>
      <c r="B314" s="1">
        <v>45379</v>
      </c>
      <c r="C314">
        <v>13</v>
      </c>
      <c r="D314">
        <v>3</v>
      </c>
      <c r="E314" t="s">
        <v>338</v>
      </c>
      <c r="F314" t="s">
        <v>349</v>
      </c>
      <c r="G314" t="s">
        <v>221</v>
      </c>
      <c r="H314">
        <v>3</v>
      </c>
      <c r="I314">
        <v>400</v>
      </c>
      <c r="J314">
        <v>0</v>
      </c>
      <c r="K314" t="s">
        <v>1948</v>
      </c>
      <c r="L314">
        <v>200</v>
      </c>
      <c r="M314">
        <v>1200</v>
      </c>
      <c r="N314">
        <v>600</v>
      </c>
      <c r="O314">
        <v>600</v>
      </c>
      <c r="P314">
        <v>0.5</v>
      </c>
      <c r="Q314">
        <v>0</v>
      </c>
      <c r="R314">
        <v>0</v>
      </c>
      <c r="S314">
        <v>3</v>
      </c>
      <c r="T314">
        <v>1200</v>
      </c>
    </row>
    <row r="315" spans="1:20">
      <c r="A315" t="s">
        <v>449</v>
      </c>
      <c r="B315" s="1">
        <v>45379</v>
      </c>
      <c r="C315">
        <v>13</v>
      </c>
      <c r="D315">
        <v>3</v>
      </c>
      <c r="E315" t="s">
        <v>338</v>
      </c>
      <c r="F315" t="s">
        <v>35</v>
      </c>
      <c r="G315" t="s">
        <v>17</v>
      </c>
      <c r="H315">
        <v>1</v>
      </c>
      <c r="I315">
        <v>2677.5</v>
      </c>
      <c r="J315">
        <v>15</v>
      </c>
      <c r="K315" t="s">
        <v>1942</v>
      </c>
      <c r="L315">
        <v>1500</v>
      </c>
      <c r="M315">
        <v>2677.5</v>
      </c>
      <c r="N315">
        <v>1500</v>
      </c>
      <c r="O315">
        <v>1177.5</v>
      </c>
      <c r="P315">
        <v>0.43977591036414598</v>
      </c>
      <c r="Q315">
        <v>0</v>
      </c>
      <c r="R315">
        <v>0</v>
      </c>
      <c r="S315">
        <v>1</v>
      </c>
      <c r="T315">
        <v>2677.5</v>
      </c>
    </row>
    <row r="316" spans="1:20">
      <c r="A316" t="s">
        <v>450</v>
      </c>
      <c r="B316" s="1">
        <v>45379</v>
      </c>
      <c r="C316">
        <v>13</v>
      </c>
      <c r="D316">
        <v>3</v>
      </c>
      <c r="E316" t="s">
        <v>338</v>
      </c>
      <c r="F316" t="s">
        <v>349</v>
      </c>
      <c r="G316" t="s">
        <v>221</v>
      </c>
      <c r="H316">
        <v>4</v>
      </c>
      <c r="I316">
        <v>400</v>
      </c>
      <c r="J316">
        <v>0</v>
      </c>
      <c r="K316" t="s">
        <v>1948</v>
      </c>
      <c r="L316">
        <v>200</v>
      </c>
      <c r="M316">
        <v>1600</v>
      </c>
      <c r="N316">
        <v>800</v>
      </c>
      <c r="O316">
        <v>800</v>
      </c>
      <c r="P316">
        <v>0.5</v>
      </c>
      <c r="Q316">
        <v>0</v>
      </c>
      <c r="R316">
        <v>0</v>
      </c>
      <c r="S316">
        <v>4</v>
      </c>
      <c r="T316">
        <v>1600</v>
      </c>
    </row>
    <row r="317" spans="1:20">
      <c r="A317" t="s">
        <v>451</v>
      </c>
      <c r="B317" s="1">
        <v>45379</v>
      </c>
      <c r="C317">
        <v>13</v>
      </c>
      <c r="D317">
        <v>3</v>
      </c>
      <c r="E317" t="s">
        <v>338</v>
      </c>
      <c r="F317" t="s">
        <v>94</v>
      </c>
      <c r="G317" t="s">
        <v>17</v>
      </c>
      <c r="H317">
        <v>1</v>
      </c>
      <c r="I317">
        <v>1596</v>
      </c>
      <c r="J317">
        <v>5</v>
      </c>
      <c r="K317" t="s">
        <v>1943</v>
      </c>
      <c r="L317">
        <v>800</v>
      </c>
      <c r="M317">
        <v>1596</v>
      </c>
      <c r="N317">
        <v>800</v>
      </c>
      <c r="O317">
        <v>796</v>
      </c>
      <c r="P317">
        <v>0.49874686716791999</v>
      </c>
      <c r="Q317">
        <v>0</v>
      </c>
      <c r="R317">
        <v>0</v>
      </c>
      <c r="S317">
        <v>1</v>
      </c>
      <c r="T317">
        <v>1596</v>
      </c>
    </row>
    <row r="318" spans="1:20">
      <c r="A318" t="s">
        <v>452</v>
      </c>
      <c r="B318" s="1">
        <v>45379</v>
      </c>
      <c r="C318">
        <v>13</v>
      </c>
      <c r="D318">
        <v>3</v>
      </c>
      <c r="E318" t="s">
        <v>338</v>
      </c>
      <c r="F318" t="s">
        <v>364</v>
      </c>
      <c r="G318" t="s">
        <v>221</v>
      </c>
      <c r="H318">
        <v>2</v>
      </c>
      <c r="I318">
        <v>960</v>
      </c>
      <c r="J318">
        <v>0</v>
      </c>
      <c r="K318" t="s">
        <v>1946</v>
      </c>
      <c r="L318">
        <v>480</v>
      </c>
      <c r="M318">
        <v>1920</v>
      </c>
      <c r="N318">
        <v>960</v>
      </c>
      <c r="O318">
        <v>960</v>
      </c>
      <c r="P318">
        <v>0.5</v>
      </c>
      <c r="Q318">
        <v>2</v>
      </c>
      <c r="R318">
        <v>2</v>
      </c>
      <c r="S318">
        <v>0</v>
      </c>
      <c r="T318">
        <v>0</v>
      </c>
    </row>
    <row r="319" spans="1:20">
      <c r="A319" t="s">
        <v>453</v>
      </c>
      <c r="B319" s="1">
        <v>45380</v>
      </c>
      <c r="C319">
        <v>13</v>
      </c>
      <c r="D319">
        <v>3</v>
      </c>
      <c r="E319" t="s">
        <v>338</v>
      </c>
      <c r="F319" t="s">
        <v>13</v>
      </c>
      <c r="G319" t="s">
        <v>14</v>
      </c>
      <c r="H319">
        <v>1</v>
      </c>
      <c r="I319">
        <v>480</v>
      </c>
      <c r="J319">
        <v>0</v>
      </c>
      <c r="K319" t="s">
        <v>1925</v>
      </c>
      <c r="L319">
        <v>220</v>
      </c>
      <c r="M319">
        <v>480</v>
      </c>
      <c r="N319">
        <v>220</v>
      </c>
      <c r="O319">
        <v>260</v>
      </c>
      <c r="P319">
        <v>0.54166666666666696</v>
      </c>
      <c r="Q319">
        <v>0</v>
      </c>
      <c r="R319">
        <v>0</v>
      </c>
      <c r="S319">
        <v>1</v>
      </c>
      <c r="T319">
        <v>480</v>
      </c>
    </row>
    <row r="320" spans="1:20">
      <c r="A320" t="s">
        <v>455</v>
      </c>
      <c r="B320" s="1">
        <v>45380</v>
      </c>
      <c r="C320">
        <v>13</v>
      </c>
      <c r="D320">
        <v>3</v>
      </c>
      <c r="E320" t="s">
        <v>338</v>
      </c>
      <c r="F320" t="s">
        <v>37</v>
      </c>
      <c r="G320" t="s">
        <v>20</v>
      </c>
      <c r="H320">
        <v>2</v>
      </c>
      <c r="I320">
        <v>2340</v>
      </c>
      <c r="J320">
        <v>0</v>
      </c>
      <c r="K320" t="s">
        <v>1935</v>
      </c>
      <c r="L320">
        <v>1300</v>
      </c>
      <c r="M320">
        <v>4680</v>
      </c>
      <c r="N320">
        <v>2600</v>
      </c>
      <c r="O320">
        <v>2080</v>
      </c>
      <c r="P320">
        <v>0.44444444444444398</v>
      </c>
      <c r="Q320">
        <v>0</v>
      </c>
      <c r="R320">
        <v>0</v>
      </c>
      <c r="S320">
        <v>2</v>
      </c>
      <c r="T320">
        <v>4680</v>
      </c>
    </row>
    <row r="321" spans="1:20">
      <c r="A321" t="s">
        <v>456</v>
      </c>
      <c r="B321" s="1">
        <v>45380</v>
      </c>
      <c r="C321">
        <v>13</v>
      </c>
      <c r="D321">
        <v>3</v>
      </c>
      <c r="E321" t="s">
        <v>338</v>
      </c>
      <c r="F321" t="s">
        <v>42</v>
      </c>
      <c r="G321" t="s">
        <v>23</v>
      </c>
      <c r="H321">
        <v>4</v>
      </c>
      <c r="I321">
        <v>570</v>
      </c>
      <c r="J321">
        <v>5</v>
      </c>
      <c r="K321" t="s">
        <v>1928</v>
      </c>
      <c r="L321">
        <v>300</v>
      </c>
      <c r="M321">
        <v>2280</v>
      </c>
      <c r="N321">
        <v>1200</v>
      </c>
      <c r="O321">
        <v>1080</v>
      </c>
      <c r="P321">
        <v>0.47368421052631599</v>
      </c>
      <c r="Q321">
        <v>0</v>
      </c>
      <c r="R321">
        <v>0</v>
      </c>
      <c r="S321">
        <v>4</v>
      </c>
      <c r="T321">
        <v>2280</v>
      </c>
    </row>
    <row r="322" spans="1:20">
      <c r="A322" t="s">
        <v>457</v>
      </c>
      <c r="B322" s="1">
        <v>45380</v>
      </c>
      <c r="C322">
        <v>13</v>
      </c>
      <c r="D322">
        <v>3</v>
      </c>
      <c r="E322" t="s">
        <v>338</v>
      </c>
      <c r="F322" t="s">
        <v>25</v>
      </c>
      <c r="G322" t="s">
        <v>26</v>
      </c>
      <c r="H322">
        <v>3</v>
      </c>
      <c r="I322">
        <v>950</v>
      </c>
      <c r="J322">
        <v>5</v>
      </c>
      <c r="K322" t="s">
        <v>1940</v>
      </c>
      <c r="L322">
        <v>400</v>
      </c>
      <c r="M322">
        <v>2850</v>
      </c>
      <c r="N322">
        <v>1200</v>
      </c>
      <c r="O322">
        <v>1650</v>
      </c>
      <c r="P322">
        <v>0.57894736842105299</v>
      </c>
      <c r="Q322">
        <v>0</v>
      </c>
      <c r="R322">
        <v>0</v>
      </c>
      <c r="S322">
        <v>3</v>
      </c>
      <c r="T322">
        <v>2850</v>
      </c>
    </row>
    <row r="323" spans="1:20">
      <c r="A323" t="s">
        <v>458</v>
      </c>
      <c r="B323" s="1">
        <v>45380</v>
      </c>
      <c r="C323">
        <v>13</v>
      </c>
      <c r="D323">
        <v>3</v>
      </c>
      <c r="E323" t="s">
        <v>338</v>
      </c>
      <c r="F323" t="s">
        <v>364</v>
      </c>
      <c r="G323" t="s">
        <v>221</v>
      </c>
      <c r="H323">
        <v>1</v>
      </c>
      <c r="I323">
        <v>960</v>
      </c>
      <c r="J323">
        <v>0</v>
      </c>
      <c r="K323" t="s">
        <v>1946</v>
      </c>
      <c r="L323">
        <v>480</v>
      </c>
      <c r="M323">
        <v>960</v>
      </c>
      <c r="N323">
        <v>480</v>
      </c>
      <c r="O323">
        <v>480</v>
      </c>
      <c r="P323">
        <v>0.5</v>
      </c>
      <c r="Q323">
        <v>0</v>
      </c>
      <c r="R323">
        <v>0</v>
      </c>
      <c r="S323">
        <v>1</v>
      </c>
      <c r="T323">
        <v>960</v>
      </c>
    </row>
    <row r="324" spans="1:20">
      <c r="A324" t="s">
        <v>459</v>
      </c>
      <c r="B324" s="1">
        <v>45380</v>
      </c>
      <c r="C324">
        <v>13</v>
      </c>
      <c r="D324">
        <v>3</v>
      </c>
      <c r="E324" t="s">
        <v>338</v>
      </c>
      <c r="F324" t="s">
        <v>39</v>
      </c>
      <c r="G324" t="s">
        <v>14</v>
      </c>
      <c r="H324">
        <v>5</v>
      </c>
      <c r="I324">
        <v>880</v>
      </c>
      <c r="J324">
        <v>0</v>
      </c>
      <c r="K324" t="s">
        <v>1921</v>
      </c>
      <c r="L324">
        <v>400</v>
      </c>
      <c r="M324">
        <v>4400</v>
      </c>
      <c r="N324">
        <v>2000</v>
      </c>
      <c r="O324">
        <v>2400</v>
      </c>
      <c r="P324">
        <v>0.54545454545454497</v>
      </c>
      <c r="Q324">
        <v>0</v>
      </c>
      <c r="R324">
        <v>0</v>
      </c>
      <c r="S324">
        <v>5</v>
      </c>
      <c r="T324">
        <v>4400</v>
      </c>
    </row>
    <row r="325" spans="1:20">
      <c r="A325" t="s">
        <v>460</v>
      </c>
      <c r="B325" s="1">
        <v>45380</v>
      </c>
      <c r="C325">
        <v>13</v>
      </c>
      <c r="D325">
        <v>3</v>
      </c>
      <c r="E325" t="s">
        <v>338</v>
      </c>
      <c r="F325" t="s">
        <v>369</v>
      </c>
      <c r="G325" t="s">
        <v>221</v>
      </c>
      <c r="H325">
        <v>5</v>
      </c>
      <c r="I325">
        <v>700</v>
      </c>
      <c r="J325">
        <v>0</v>
      </c>
      <c r="K325" t="s">
        <v>1949</v>
      </c>
      <c r="L325">
        <v>350</v>
      </c>
      <c r="M325">
        <v>3500</v>
      </c>
      <c r="N325">
        <v>1750</v>
      </c>
      <c r="O325">
        <v>1750</v>
      </c>
      <c r="P325">
        <v>0.5</v>
      </c>
      <c r="Q325">
        <v>0</v>
      </c>
      <c r="R325">
        <v>0</v>
      </c>
      <c r="S325">
        <v>5</v>
      </c>
      <c r="T325">
        <v>3500</v>
      </c>
    </row>
    <row r="326" spans="1:20">
      <c r="A326" t="s">
        <v>461</v>
      </c>
      <c r="B326" s="1">
        <v>45381</v>
      </c>
      <c r="C326">
        <v>13</v>
      </c>
      <c r="D326">
        <v>3</v>
      </c>
      <c r="E326" t="s">
        <v>338</v>
      </c>
      <c r="F326" t="s">
        <v>22</v>
      </c>
      <c r="G326" t="s">
        <v>23</v>
      </c>
      <c r="H326">
        <v>2</v>
      </c>
      <c r="I326">
        <v>500</v>
      </c>
      <c r="J326">
        <v>0</v>
      </c>
      <c r="K326" t="s">
        <v>1929</v>
      </c>
      <c r="L326">
        <v>250</v>
      </c>
      <c r="M326">
        <v>1000</v>
      </c>
      <c r="N326">
        <v>500</v>
      </c>
      <c r="O326">
        <v>500</v>
      </c>
      <c r="P326">
        <v>0.5</v>
      </c>
      <c r="Q326">
        <v>0</v>
      </c>
      <c r="R326">
        <v>0</v>
      </c>
      <c r="S326">
        <v>2</v>
      </c>
      <c r="T326">
        <v>1000</v>
      </c>
    </row>
    <row r="327" spans="1:20">
      <c r="A327" t="s">
        <v>463</v>
      </c>
      <c r="B327" s="1">
        <v>45382</v>
      </c>
      <c r="C327">
        <v>13</v>
      </c>
      <c r="D327">
        <v>3</v>
      </c>
      <c r="E327" t="s">
        <v>338</v>
      </c>
      <c r="F327" t="s">
        <v>16</v>
      </c>
      <c r="G327" t="s">
        <v>17</v>
      </c>
      <c r="H327">
        <v>4</v>
      </c>
      <c r="I327">
        <v>442</v>
      </c>
      <c r="J327">
        <v>15</v>
      </c>
      <c r="K327" t="s">
        <v>1945</v>
      </c>
      <c r="L327">
        <v>250</v>
      </c>
      <c r="M327">
        <v>1768</v>
      </c>
      <c r="N327">
        <v>1000</v>
      </c>
      <c r="O327">
        <v>768</v>
      </c>
      <c r="P327">
        <v>0.434389140271493</v>
      </c>
      <c r="Q327">
        <v>0</v>
      </c>
      <c r="R327">
        <v>0</v>
      </c>
      <c r="S327">
        <v>4</v>
      </c>
      <c r="T327">
        <v>1768</v>
      </c>
    </row>
    <row r="328" spans="1:20">
      <c r="A328" t="s">
        <v>465</v>
      </c>
      <c r="B328" s="1">
        <v>45382</v>
      </c>
      <c r="C328">
        <v>13</v>
      </c>
      <c r="D328">
        <v>3</v>
      </c>
      <c r="E328" t="s">
        <v>338</v>
      </c>
      <c r="F328" t="s">
        <v>80</v>
      </c>
      <c r="G328" t="s">
        <v>14</v>
      </c>
      <c r="H328">
        <v>1</v>
      </c>
      <c r="I328">
        <v>400</v>
      </c>
      <c r="J328">
        <v>0</v>
      </c>
      <c r="K328" t="s">
        <v>1922</v>
      </c>
      <c r="L328">
        <v>180</v>
      </c>
      <c r="M328">
        <v>400</v>
      </c>
      <c r="N328">
        <v>180</v>
      </c>
      <c r="O328">
        <v>220</v>
      </c>
      <c r="P328">
        <v>0.55000000000000004</v>
      </c>
      <c r="Q328">
        <v>0</v>
      </c>
      <c r="R328">
        <v>0</v>
      </c>
      <c r="S328">
        <v>1</v>
      </c>
      <c r="T328">
        <v>400</v>
      </c>
    </row>
    <row r="329" spans="1:20">
      <c r="A329" t="s">
        <v>466</v>
      </c>
      <c r="B329" s="1">
        <v>45382</v>
      </c>
      <c r="C329">
        <v>13</v>
      </c>
      <c r="D329">
        <v>3</v>
      </c>
      <c r="E329" t="s">
        <v>338</v>
      </c>
      <c r="F329" t="s">
        <v>369</v>
      </c>
      <c r="G329" t="s">
        <v>221</v>
      </c>
      <c r="H329">
        <v>2</v>
      </c>
      <c r="I329">
        <v>595</v>
      </c>
      <c r="J329">
        <v>15</v>
      </c>
      <c r="K329" t="s">
        <v>1949</v>
      </c>
      <c r="L329">
        <v>350</v>
      </c>
      <c r="M329">
        <v>1190</v>
      </c>
      <c r="N329">
        <v>700</v>
      </c>
      <c r="O329">
        <v>490</v>
      </c>
      <c r="P329">
        <v>0.41176470588235298</v>
      </c>
      <c r="Q329">
        <v>0</v>
      </c>
      <c r="R329">
        <v>0</v>
      </c>
      <c r="S329">
        <v>2</v>
      </c>
      <c r="T329">
        <v>1190</v>
      </c>
    </row>
    <row r="330" spans="1:20">
      <c r="A330" t="s">
        <v>467</v>
      </c>
      <c r="B330" s="1">
        <v>45382</v>
      </c>
      <c r="C330">
        <v>13</v>
      </c>
      <c r="D330">
        <v>3</v>
      </c>
      <c r="E330" t="s">
        <v>338</v>
      </c>
      <c r="F330" t="s">
        <v>97</v>
      </c>
      <c r="G330" t="s">
        <v>20</v>
      </c>
      <c r="H330">
        <v>5</v>
      </c>
      <c r="I330">
        <v>1980</v>
      </c>
      <c r="J330">
        <v>0</v>
      </c>
      <c r="K330" t="s">
        <v>1932</v>
      </c>
      <c r="L330">
        <v>1100</v>
      </c>
      <c r="M330">
        <v>9900</v>
      </c>
      <c r="N330">
        <v>5500</v>
      </c>
      <c r="O330">
        <v>4400</v>
      </c>
      <c r="P330">
        <v>0.44444444444444398</v>
      </c>
      <c r="Q330">
        <v>0</v>
      </c>
      <c r="R330">
        <v>0</v>
      </c>
      <c r="S330">
        <v>5</v>
      </c>
      <c r="T330">
        <v>9900</v>
      </c>
    </row>
    <row r="331" spans="1:20">
      <c r="A331" t="s">
        <v>468</v>
      </c>
      <c r="B331" s="1">
        <v>45382</v>
      </c>
      <c r="C331">
        <v>13</v>
      </c>
      <c r="D331">
        <v>3</v>
      </c>
      <c r="E331" t="s">
        <v>338</v>
      </c>
      <c r="F331" t="s">
        <v>94</v>
      </c>
      <c r="G331" t="s">
        <v>17</v>
      </c>
      <c r="H331">
        <v>5</v>
      </c>
      <c r="I331">
        <v>1428</v>
      </c>
      <c r="J331">
        <v>15</v>
      </c>
      <c r="K331" t="s">
        <v>1943</v>
      </c>
      <c r="L331">
        <v>800</v>
      </c>
      <c r="M331">
        <v>7140</v>
      </c>
      <c r="N331">
        <v>4000</v>
      </c>
      <c r="O331">
        <v>3140</v>
      </c>
      <c r="P331">
        <v>0.43977591036414598</v>
      </c>
      <c r="Q331">
        <v>0</v>
      </c>
      <c r="R331">
        <v>0</v>
      </c>
      <c r="S331">
        <v>5</v>
      </c>
      <c r="T331">
        <v>7140</v>
      </c>
    </row>
    <row r="332" spans="1:20">
      <c r="A332" t="s">
        <v>469</v>
      </c>
      <c r="B332" s="1">
        <v>45383</v>
      </c>
      <c r="C332">
        <v>14</v>
      </c>
      <c r="D332">
        <v>4</v>
      </c>
      <c r="E332" t="s">
        <v>471</v>
      </c>
      <c r="F332" t="s">
        <v>364</v>
      </c>
      <c r="G332" t="s">
        <v>221</v>
      </c>
      <c r="H332">
        <v>1</v>
      </c>
      <c r="I332">
        <v>912</v>
      </c>
      <c r="J332">
        <v>5</v>
      </c>
      <c r="K332" t="s">
        <v>1946</v>
      </c>
      <c r="L332">
        <v>480</v>
      </c>
      <c r="M332">
        <v>912</v>
      </c>
      <c r="N332">
        <v>480</v>
      </c>
      <c r="O332">
        <v>432</v>
      </c>
      <c r="P332">
        <v>0.47368421052631599</v>
      </c>
      <c r="Q332">
        <v>0</v>
      </c>
      <c r="R332">
        <v>0</v>
      </c>
      <c r="S332">
        <v>1</v>
      </c>
      <c r="T332">
        <v>912</v>
      </c>
    </row>
    <row r="333" spans="1:20">
      <c r="A333" t="s">
        <v>472</v>
      </c>
      <c r="B333" s="1">
        <v>45383</v>
      </c>
      <c r="C333">
        <v>14</v>
      </c>
      <c r="D333">
        <v>4</v>
      </c>
      <c r="E333" t="s">
        <v>471</v>
      </c>
      <c r="F333" t="s">
        <v>187</v>
      </c>
      <c r="G333" t="s">
        <v>14</v>
      </c>
      <c r="H333">
        <v>5</v>
      </c>
      <c r="I333">
        <v>4400</v>
      </c>
      <c r="J333">
        <v>0</v>
      </c>
      <c r="K333" t="s">
        <v>1924</v>
      </c>
      <c r="L333">
        <v>2000</v>
      </c>
      <c r="M333">
        <v>22000</v>
      </c>
      <c r="N333">
        <v>10000</v>
      </c>
      <c r="O333">
        <v>12000</v>
      </c>
      <c r="P333">
        <v>0.54545454545454497</v>
      </c>
      <c r="Q333">
        <v>0</v>
      </c>
      <c r="R333">
        <v>0</v>
      </c>
      <c r="S333">
        <v>5</v>
      </c>
      <c r="T333">
        <v>22000</v>
      </c>
    </row>
    <row r="334" spans="1:20">
      <c r="A334" t="s">
        <v>473</v>
      </c>
      <c r="B334" s="1">
        <v>45384</v>
      </c>
      <c r="C334">
        <v>14</v>
      </c>
      <c r="D334">
        <v>4</v>
      </c>
      <c r="E334" t="s">
        <v>471</v>
      </c>
      <c r="F334" t="s">
        <v>28</v>
      </c>
      <c r="G334" t="s">
        <v>26</v>
      </c>
      <c r="H334">
        <v>4</v>
      </c>
      <c r="I334">
        <v>1500</v>
      </c>
      <c r="J334">
        <v>0</v>
      </c>
      <c r="K334" t="s">
        <v>1939</v>
      </c>
      <c r="L334">
        <v>600</v>
      </c>
      <c r="M334">
        <v>6000</v>
      </c>
      <c r="N334">
        <v>2400</v>
      </c>
      <c r="O334">
        <v>3600</v>
      </c>
      <c r="P334">
        <v>0.6</v>
      </c>
      <c r="Q334">
        <v>0</v>
      </c>
      <c r="R334">
        <v>0</v>
      </c>
      <c r="S334">
        <v>4</v>
      </c>
      <c r="T334">
        <v>6000</v>
      </c>
    </row>
    <row r="335" spans="1:20">
      <c r="A335" t="s">
        <v>475</v>
      </c>
      <c r="B335" s="1">
        <v>45384</v>
      </c>
      <c r="C335">
        <v>14</v>
      </c>
      <c r="D335">
        <v>4</v>
      </c>
      <c r="E335" t="s">
        <v>471</v>
      </c>
      <c r="F335" t="s">
        <v>369</v>
      </c>
      <c r="G335" t="s">
        <v>221</v>
      </c>
      <c r="H335">
        <v>5</v>
      </c>
      <c r="I335">
        <v>700</v>
      </c>
      <c r="J335">
        <v>0</v>
      </c>
      <c r="K335" t="s">
        <v>1949</v>
      </c>
      <c r="L335">
        <v>350</v>
      </c>
      <c r="M335">
        <v>3500</v>
      </c>
      <c r="N335">
        <v>1750</v>
      </c>
      <c r="O335">
        <v>1750</v>
      </c>
      <c r="P335">
        <v>0.5</v>
      </c>
      <c r="Q335">
        <v>0</v>
      </c>
      <c r="R335">
        <v>0</v>
      </c>
      <c r="S335">
        <v>5</v>
      </c>
      <c r="T335">
        <v>3500</v>
      </c>
    </row>
    <row r="336" spans="1:20">
      <c r="A336" t="s">
        <v>476</v>
      </c>
      <c r="B336" s="1">
        <v>45384</v>
      </c>
      <c r="C336">
        <v>14</v>
      </c>
      <c r="D336">
        <v>4</v>
      </c>
      <c r="E336" t="s">
        <v>471</v>
      </c>
      <c r="F336" t="s">
        <v>66</v>
      </c>
      <c r="G336" t="s">
        <v>17</v>
      </c>
      <c r="H336">
        <v>2</v>
      </c>
      <c r="I336">
        <v>1323</v>
      </c>
      <c r="J336">
        <v>10</v>
      </c>
      <c r="K336" t="s">
        <v>1941</v>
      </c>
      <c r="L336">
        <v>700</v>
      </c>
      <c r="M336">
        <v>2646</v>
      </c>
      <c r="N336">
        <v>1400</v>
      </c>
      <c r="O336">
        <v>1246</v>
      </c>
      <c r="P336">
        <v>0.47089947089947098</v>
      </c>
      <c r="Q336">
        <v>0</v>
      </c>
      <c r="R336">
        <v>0</v>
      </c>
      <c r="S336">
        <v>2</v>
      </c>
      <c r="T336">
        <v>2646</v>
      </c>
    </row>
    <row r="337" spans="1:20">
      <c r="A337" t="s">
        <v>477</v>
      </c>
      <c r="B337" s="1">
        <v>45384</v>
      </c>
      <c r="C337">
        <v>14</v>
      </c>
      <c r="D337">
        <v>4</v>
      </c>
      <c r="E337" t="s">
        <v>471</v>
      </c>
      <c r="F337" t="s">
        <v>349</v>
      </c>
      <c r="G337" t="s">
        <v>221</v>
      </c>
      <c r="H337">
        <v>3</v>
      </c>
      <c r="I337">
        <v>400</v>
      </c>
      <c r="J337">
        <v>0</v>
      </c>
      <c r="K337" t="s">
        <v>1948</v>
      </c>
      <c r="L337">
        <v>200</v>
      </c>
      <c r="M337">
        <v>1200</v>
      </c>
      <c r="N337">
        <v>600</v>
      </c>
      <c r="O337">
        <v>600</v>
      </c>
      <c r="P337">
        <v>0.5</v>
      </c>
      <c r="Q337">
        <v>0</v>
      </c>
      <c r="R337">
        <v>0</v>
      </c>
      <c r="S337">
        <v>3</v>
      </c>
      <c r="T337">
        <v>1200</v>
      </c>
    </row>
    <row r="338" spans="1:20">
      <c r="A338" t="s">
        <v>478</v>
      </c>
      <c r="B338" s="1">
        <v>45384</v>
      </c>
      <c r="C338">
        <v>14</v>
      </c>
      <c r="D338">
        <v>4</v>
      </c>
      <c r="E338" t="s">
        <v>471</v>
      </c>
      <c r="F338" t="s">
        <v>369</v>
      </c>
      <c r="G338" t="s">
        <v>221</v>
      </c>
      <c r="H338">
        <v>4</v>
      </c>
      <c r="I338">
        <v>700</v>
      </c>
      <c r="J338">
        <v>0</v>
      </c>
      <c r="K338" t="s">
        <v>1949</v>
      </c>
      <c r="L338">
        <v>350</v>
      </c>
      <c r="M338">
        <v>2800</v>
      </c>
      <c r="N338">
        <v>1400</v>
      </c>
      <c r="O338">
        <v>1400</v>
      </c>
      <c r="P338">
        <v>0.5</v>
      </c>
      <c r="Q338">
        <v>0</v>
      </c>
      <c r="R338">
        <v>0</v>
      </c>
      <c r="S338">
        <v>4</v>
      </c>
      <c r="T338">
        <v>2800</v>
      </c>
    </row>
    <row r="339" spans="1:20">
      <c r="A339" t="s">
        <v>479</v>
      </c>
      <c r="B339" s="1">
        <v>45385</v>
      </c>
      <c r="C339">
        <v>14</v>
      </c>
      <c r="D339">
        <v>4</v>
      </c>
      <c r="E339" t="s">
        <v>471</v>
      </c>
      <c r="F339" t="s">
        <v>16</v>
      </c>
      <c r="G339" t="s">
        <v>17</v>
      </c>
      <c r="H339">
        <v>5</v>
      </c>
      <c r="I339">
        <v>442</v>
      </c>
      <c r="J339">
        <v>15</v>
      </c>
      <c r="K339" t="s">
        <v>1945</v>
      </c>
      <c r="L339">
        <v>250</v>
      </c>
      <c r="M339">
        <v>2210</v>
      </c>
      <c r="N339">
        <v>1250</v>
      </c>
      <c r="O339">
        <v>960</v>
      </c>
      <c r="P339">
        <v>0.434389140271493</v>
      </c>
      <c r="Q339">
        <v>0</v>
      </c>
      <c r="R339">
        <v>0</v>
      </c>
      <c r="S339">
        <v>5</v>
      </c>
      <c r="T339">
        <v>2210</v>
      </c>
    </row>
    <row r="340" spans="1:20">
      <c r="A340" t="s">
        <v>481</v>
      </c>
      <c r="B340" s="1">
        <v>45385</v>
      </c>
      <c r="C340">
        <v>14</v>
      </c>
      <c r="D340">
        <v>4</v>
      </c>
      <c r="E340" t="s">
        <v>471</v>
      </c>
      <c r="F340" t="s">
        <v>146</v>
      </c>
      <c r="G340" t="s">
        <v>20</v>
      </c>
      <c r="H340">
        <v>5</v>
      </c>
      <c r="I340">
        <v>630</v>
      </c>
      <c r="J340">
        <v>0</v>
      </c>
      <c r="K340" t="s">
        <v>1934</v>
      </c>
      <c r="L340">
        <v>350</v>
      </c>
      <c r="M340">
        <v>3150</v>
      </c>
      <c r="N340">
        <v>1750</v>
      </c>
      <c r="O340">
        <v>1400</v>
      </c>
      <c r="P340">
        <v>0.44444444444444398</v>
      </c>
      <c r="Q340">
        <v>0</v>
      </c>
      <c r="R340">
        <v>0</v>
      </c>
      <c r="S340">
        <v>5</v>
      </c>
      <c r="T340">
        <v>3150</v>
      </c>
    </row>
    <row r="341" spans="1:20">
      <c r="A341" t="s">
        <v>482</v>
      </c>
      <c r="B341" s="1">
        <v>45385</v>
      </c>
      <c r="C341">
        <v>14</v>
      </c>
      <c r="D341">
        <v>4</v>
      </c>
      <c r="E341" t="s">
        <v>471</v>
      </c>
      <c r="F341" t="s">
        <v>349</v>
      </c>
      <c r="G341" t="s">
        <v>221</v>
      </c>
      <c r="H341">
        <v>5</v>
      </c>
      <c r="I341">
        <v>400</v>
      </c>
      <c r="J341">
        <v>0</v>
      </c>
      <c r="K341" t="s">
        <v>1948</v>
      </c>
      <c r="L341">
        <v>200</v>
      </c>
      <c r="M341">
        <v>2000</v>
      </c>
      <c r="N341">
        <v>1000</v>
      </c>
      <c r="O341">
        <v>1000</v>
      </c>
      <c r="P341">
        <v>0.5</v>
      </c>
      <c r="Q341">
        <v>4</v>
      </c>
      <c r="R341">
        <v>4</v>
      </c>
      <c r="S341">
        <v>1</v>
      </c>
      <c r="T341">
        <v>400</v>
      </c>
    </row>
    <row r="342" spans="1:20">
      <c r="A342" t="s">
        <v>483</v>
      </c>
      <c r="B342" s="1">
        <v>45385</v>
      </c>
      <c r="C342">
        <v>14</v>
      </c>
      <c r="D342">
        <v>4</v>
      </c>
      <c r="E342" t="s">
        <v>471</v>
      </c>
      <c r="F342" t="s">
        <v>25</v>
      </c>
      <c r="G342" t="s">
        <v>26</v>
      </c>
      <c r="H342">
        <v>4</v>
      </c>
      <c r="I342">
        <v>850</v>
      </c>
      <c r="J342">
        <v>15</v>
      </c>
      <c r="K342" t="s">
        <v>1940</v>
      </c>
      <c r="L342">
        <v>400</v>
      </c>
      <c r="M342">
        <v>3400</v>
      </c>
      <c r="N342">
        <v>1600</v>
      </c>
      <c r="O342">
        <v>1800</v>
      </c>
      <c r="P342">
        <v>0.52941176470588203</v>
      </c>
      <c r="Q342">
        <v>0</v>
      </c>
      <c r="R342">
        <v>0</v>
      </c>
      <c r="S342">
        <v>4</v>
      </c>
      <c r="T342">
        <v>3400</v>
      </c>
    </row>
    <row r="343" spans="1:20">
      <c r="A343" t="s">
        <v>484</v>
      </c>
      <c r="B343" s="1">
        <v>45386</v>
      </c>
      <c r="C343">
        <v>14</v>
      </c>
      <c r="D343">
        <v>4</v>
      </c>
      <c r="E343" t="s">
        <v>471</v>
      </c>
      <c r="F343" t="s">
        <v>86</v>
      </c>
      <c r="G343" t="s">
        <v>17</v>
      </c>
      <c r="H343">
        <v>1</v>
      </c>
      <c r="I343">
        <v>846</v>
      </c>
      <c r="J343">
        <v>10</v>
      </c>
      <c r="K343" t="s">
        <v>1944</v>
      </c>
      <c r="L343">
        <v>450</v>
      </c>
      <c r="M343">
        <v>846</v>
      </c>
      <c r="N343">
        <v>450</v>
      </c>
      <c r="O343">
        <v>396</v>
      </c>
      <c r="P343">
        <v>0.46808510638297901</v>
      </c>
      <c r="Q343">
        <v>0</v>
      </c>
      <c r="R343">
        <v>0</v>
      </c>
      <c r="S343">
        <v>1</v>
      </c>
      <c r="T343">
        <v>846</v>
      </c>
    </row>
    <row r="344" spans="1:20">
      <c r="A344" t="s">
        <v>486</v>
      </c>
      <c r="B344" s="1">
        <v>45387</v>
      </c>
      <c r="C344">
        <v>14</v>
      </c>
      <c r="D344">
        <v>4</v>
      </c>
      <c r="E344" t="s">
        <v>471</v>
      </c>
      <c r="F344" t="s">
        <v>80</v>
      </c>
      <c r="G344" t="s">
        <v>14</v>
      </c>
      <c r="H344">
        <v>5</v>
      </c>
      <c r="I344">
        <v>340</v>
      </c>
      <c r="J344">
        <v>15</v>
      </c>
      <c r="K344" t="s">
        <v>1922</v>
      </c>
      <c r="L344">
        <v>180</v>
      </c>
      <c r="M344">
        <v>1700</v>
      </c>
      <c r="N344">
        <v>900</v>
      </c>
      <c r="O344">
        <v>800</v>
      </c>
      <c r="P344">
        <v>0.47058823529411797</v>
      </c>
      <c r="Q344">
        <v>0</v>
      </c>
      <c r="R344">
        <v>0</v>
      </c>
      <c r="S344">
        <v>5</v>
      </c>
      <c r="T344">
        <v>1700</v>
      </c>
    </row>
    <row r="345" spans="1:20">
      <c r="A345" t="s">
        <v>488</v>
      </c>
      <c r="B345" s="1">
        <v>45387</v>
      </c>
      <c r="C345">
        <v>14</v>
      </c>
      <c r="D345">
        <v>4</v>
      </c>
      <c r="E345" t="s">
        <v>471</v>
      </c>
      <c r="F345" t="s">
        <v>39</v>
      </c>
      <c r="G345" t="s">
        <v>14</v>
      </c>
      <c r="H345">
        <v>4</v>
      </c>
      <c r="I345">
        <v>880</v>
      </c>
      <c r="J345">
        <v>0</v>
      </c>
      <c r="K345" t="s">
        <v>1921</v>
      </c>
      <c r="L345">
        <v>400</v>
      </c>
      <c r="M345">
        <v>3520</v>
      </c>
      <c r="N345">
        <v>1600</v>
      </c>
      <c r="O345">
        <v>1920</v>
      </c>
      <c r="P345">
        <v>0.54545454545454497</v>
      </c>
      <c r="Q345">
        <v>0</v>
      </c>
      <c r="R345">
        <v>0</v>
      </c>
      <c r="S345">
        <v>4</v>
      </c>
      <c r="T345">
        <v>3520</v>
      </c>
    </row>
    <row r="346" spans="1:20">
      <c r="A346" t="s">
        <v>489</v>
      </c>
      <c r="B346" s="1">
        <v>45387</v>
      </c>
      <c r="C346">
        <v>14</v>
      </c>
      <c r="D346">
        <v>4</v>
      </c>
      <c r="E346" t="s">
        <v>471</v>
      </c>
      <c r="F346" t="s">
        <v>37</v>
      </c>
      <c r="G346" t="s">
        <v>20</v>
      </c>
      <c r="H346">
        <v>2</v>
      </c>
      <c r="I346">
        <v>1989</v>
      </c>
      <c r="J346">
        <v>15</v>
      </c>
      <c r="K346" t="s">
        <v>1935</v>
      </c>
      <c r="L346">
        <v>1300</v>
      </c>
      <c r="M346">
        <v>3978</v>
      </c>
      <c r="N346">
        <v>2600</v>
      </c>
      <c r="O346">
        <v>1378</v>
      </c>
      <c r="P346">
        <v>0.34640522875816998</v>
      </c>
      <c r="Q346">
        <v>0</v>
      </c>
      <c r="R346">
        <v>0</v>
      </c>
      <c r="S346">
        <v>2</v>
      </c>
      <c r="T346">
        <v>3978</v>
      </c>
    </row>
    <row r="347" spans="1:20">
      <c r="A347" t="s">
        <v>490</v>
      </c>
      <c r="B347" s="1">
        <v>45387</v>
      </c>
      <c r="C347">
        <v>14</v>
      </c>
      <c r="D347">
        <v>4</v>
      </c>
      <c r="E347" t="s">
        <v>471</v>
      </c>
      <c r="F347" t="s">
        <v>58</v>
      </c>
      <c r="G347" t="s">
        <v>23</v>
      </c>
      <c r="H347">
        <v>3</v>
      </c>
      <c r="I347">
        <v>1000</v>
      </c>
      <c r="J347">
        <v>0</v>
      </c>
      <c r="K347" t="s">
        <v>1927</v>
      </c>
      <c r="L347">
        <v>500</v>
      </c>
      <c r="M347">
        <v>3000</v>
      </c>
      <c r="N347">
        <v>1500</v>
      </c>
      <c r="O347">
        <v>1500</v>
      </c>
      <c r="P347">
        <v>0.5</v>
      </c>
      <c r="Q347">
        <v>0</v>
      </c>
      <c r="R347">
        <v>0</v>
      </c>
      <c r="S347">
        <v>3</v>
      </c>
      <c r="T347">
        <v>3000</v>
      </c>
    </row>
    <row r="348" spans="1:20">
      <c r="A348" t="s">
        <v>491</v>
      </c>
      <c r="B348" s="1">
        <v>45388</v>
      </c>
      <c r="C348">
        <v>14</v>
      </c>
      <c r="D348">
        <v>4</v>
      </c>
      <c r="E348" t="s">
        <v>471</v>
      </c>
      <c r="F348" t="s">
        <v>97</v>
      </c>
      <c r="G348" t="s">
        <v>20</v>
      </c>
      <c r="H348">
        <v>5</v>
      </c>
      <c r="I348">
        <v>1980</v>
      </c>
      <c r="J348">
        <v>0</v>
      </c>
      <c r="K348" t="s">
        <v>1932</v>
      </c>
      <c r="L348">
        <v>1100</v>
      </c>
      <c r="M348">
        <v>9900</v>
      </c>
      <c r="N348">
        <v>5500</v>
      </c>
      <c r="O348">
        <v>4400</v>
      </c>
      <c r="P348">
        <v>0.44444444444444398</v>
      </c>
      <c r="Q348">
        <v>0</v>
      </c>
      <c r="R348">
        <v>0</v>
      </c>
      <c r="S348">
        <v>5</v>
      </c>
      <c r="T348">
        <v>9900</v>
      </c>
    </row>
    <row r="349" spans="1:20">
      <c r="A349" t="s">
        <v>493</v>
      </c>
      <c r="B349" s="1">
        <v>45388</v>
      </c>
      <c r="C349">
        <v>14</v>
      </c>
      <c r="D349">
        <v>4</v>
      </c>
      <c r="E349" t="s">
        <v>471</v>
      </c>
      <c r="F349" t="s">
        <v>64</v>
      </c>
      <c r="G349" t="s">
        <v>14</v>
      </c>
      <c r="H349">
        <v>1</v>
      </c>
      <c r="I349">
        <v>2376</v>
      </c>
      <c r="J349">
        <v>10</v>
      </c>
      <c r="K349" t="s">
        <v>1923</v>
      </c>
      <c r="L349">
        <v>1200</v>
      </c>
      <c r="M349">
        <v>2376</v>
      </c>
      <c r="N349">
        <v>1200</v>
      </c>
      <c r="O349">
        <v>1176</v>
      </c>
      <c r="P349">
        <v>0.49494949494949497</v>
      </c>
      <c r="Q349">
        <v>0</v>
      </c>
      <c r="R349">
        <v>0</v>
      </c>
      <c r="S349">
        <v>1</v>
      </c>
      <c r="T349">
        <v>2376</v>
      </c>
    </row>
    <row r="350" spans="1:20">
      <c r="A350" t="s">
        <v>494</v>
      </c>
      <c r="B350" s="1">
        <v>45388</v>
      </c>
      <c r="C350">
        <v>14</v>
      </c>
      <c r="D350">
        <v>4</v>
      </c>
      <c r="E350" t="s">
        <v>471</v>
      </c>
      <c r="F350" t="s">
        <v>94</v>
      </c>
      <c r="G350" t="s">
        <v>17</v>
      </c>
      <c r="H350">
        <v>3</v>
      </c>
      <c r="I350">
        <v>1428</v>
      </c>
      <c r="J350">
        <v>15</v>
      </c>
      <c r="K350" t="s">
        <v>1943</v>
      </c>
      <c r="L350">
        <v>800</v>
      </c>
      <c r="M350">
        <v>4284</v>
      </c>
      <c r="N350">
        <v>2400</v>
      </c>
      <c r="O350">
        <v>1884</v>
      </c>
      <c r="P350">
        <v>0.43977591036414598</v>
      </c>
      <c r="Q350">
        <v>0</v>
      </c>
      <c r="R350">
        <v>0</v>
      </c>
      <c r="S350">
        <v>3</v>
      </c>
      <c r="T350">
        <v>4284</v>
      </c>
    </row>
    <row r="351" spans="1:20">
      <c r="A351" t="s">
        <v>495</v>
      </c>
      <c r="B351" s="1">
        <v>45389</v>
      </c>
      <c r="C351">
        <v>14</v>
      </c>
      <c r="D351">
        <v>4</v>
      </c>
      <c r="E351" t="s">
        <v>471</v>
      </c>
      <c r="F351" t="s">
        <v>119</v>
      </c>
      <c r="G351" t="s">
        <v>14</v>
      </c>
      <c r="H351">
        <v>1</v>
      </c>
      <c r="I351">
        <v>770</v>
      </c>
      <c r="J351">
        <v>0</v>
      </c>
      <c r="K351" t="s">
        <v>1920</v>
      </c>
      <c r="L351">
        <v>350</v>
      </c>
      <c r="M351">
        <v>770</v>
      </c>
      <c r="N351">
        <v>350</v>
      </c>
      <c r="O351">
        <v>420</v>
      </c>
      <c r="P351">
        <v>0.54545454545454497</v>
      </c>
      <c r="Q351">
        <v>0</v>
      </c>
      <c r="R351">
        <v>0</v>
      </c>
      <c r="S351">
        <v>1</v>
      </c>
      <c r="T351">
        <v>770</v>
      </c>
    </row>
    <row r="352" spans="1:20">
      <c r="A352" t="s">
        <v>497</v>
      </c>
      <c r="B352" s="1">
        <v>45389</v>
      </c>
      <c r="C352">
        <v>14</v>
      </c>
      <c r="D352">
        <v>4</v>
      </c>
      <c r="E352" t="s">
        <v>471</v>
      </c>
      <c r="F352" t="s">
        <v>349</v>
      </c>
      <c r="G352" t="s">
        <v>221</v>
      </c>
      <c r="H352">
        <v>1</v>
      </c>
      <c r="I352">
        <v>380</v>
      </c>
      <c r="J352">
        <v>5</v>
      </c>
      <c r="K352" t="s">
        <v>1948</v>
      </c>
      <c r="L352">
        <v>200</v>
      </c>
      <c r="M352">
        <v>380</v>
      </c>
      <c r="N352">
        <v>200</v>
      </c>
      <c r="O352">
        <v>180</v>
      </c>
      <c r="P352">
        <v>0.47368421052631599</v>
      </c>
      <c r="Q352">
        <v>0</v>
      </c>
      <c r="R352">
        <v>0</v>
      </c>
      <c r="S352">
        <v>1</v>
      </c>
      <c r="T352">
        <v>380</v>
      </c>
    </row>
    <row r="353" spans="1:20">
      <c r="A353" t="s">
        <v>498</v>
      </c>
      <c r="B353" s="1">
        <v>45389</v>
      </c>
      <c r="C353">
        <v>14</v>
      </c>
      <c r="D353">
        <v>4</v>
      </c>
      <c r="E353" t="s">
        <v>471</v>
      </c>
      <c r="F353" t="s">
        <v>31</v>
      </c>
      <c r="G353" t="s">
        <v>23</v>
      </c>
      <c r="H353">
        <v>2</v>
      </c>
      <c r="I353">
        <v>1330</v>
      </c>
      <c r="J353">
        <v>5</v>
      </c>
      <c r="K353" t="s">
        <v>1930</v>
      </c>
      <c r="L353">
        <v>700</v>
      </c>
      <c r="M353">
        <v>2660</v>
      </c>
      <c r="N353">
        <v>1400</v>
      </c>
      <c r="O353">
        <v>1260</v>
      </c>
      <c r="P353">
        <v>0.47368421052631599</v>
      </c>
      <c r="Q353">
        <v>0</v>
      </c>
      <c r="R353">
        <v>0</v>
      </c>
      <c r="S353">
        <v>2</v>
      </c>
      <c r="T353">
        <v>2660</v>
      </c>
    </row>
    <row r="354" spans="1:20">
      <c r="A354" t="s">
        <v>499</v>
      </c>
      <c r="B354" s="1">
        <v>45390</v>
      </c>
      <c r="C354">
        <v>15</v>
      </c>
      <c r="D354">
        <v>4</v>
      </c>
      <c r="E354" t="s">
        <v>471</v>
      </c>
      <c r="F354" t="s">
        <v>51</v>
      </c>
      <c r="G354" t="s">
        <v>26</v>
      </c>
      <c r="H354">
        <v>4</v>
      </c>
      <c r="I354">
        <v>500</v>
      </c>
      <c r="J354">
        <v>0</v>
      </c>
      <c r="K354" t="s">
        <v>1936</v>
      </c>
      <c r="L354">
        <v>200</v>
      </c>
      <c r="M354">
        <v>2000</v>
      </c>
      <c r="N354">
        <v>800</v>
      </c>
      <c r="O354">
        <v>1200</v>
      </c>
      <c r="P354">
        <v>0.6</v>
      </c>
      <c r="Q354">
        <v>0</v>
      </c>
      <c r="R354">
        <v>0</v>
      </c>
      <c r="S354">
        <v>4</v>
      </c>
      <c r="T354">
        <v>2000</v>
      </c>
    </row>
    <row r="355" spans="1:20">
      <c r="A355" t="s">
        <v>501</v>
      </c>
      <c r="B355" s="1">
        <v>45390</v>
      </c>
      <c r="C355">
        <v>15</v>
      </c>
      <c r="D355">
        <v>4</v>
      </c>
      <c r="E355" t="s">
        <v>471</v>
      </c>
      <c r="F355" t="s">
        <v>58</v>
      </c>
      <c r="G355" t="s">
        <v>23</v>
      </c>
      <c r="H355">
        <v>3</v>
      </c>
      <c r="I355">
        <v>1000</v>
      </c>
      <c r="J355">
        <v>0</v>
      </c>
      <c r="K355" t="s">
        <v>1927</v>
      </c>
      <c r="L355">
        <v>500</v>
      </c>
      <c r="M355">
        <v>3000</v>
      </c>
      <c r="N355">
        <v>1500</v>
      </c>
      <c r="O355">
        <v>1500</v>
      </c>
      <c r="P355">
        <v>0.5</v>
      </c>
      <c r="Q355">
        <v>0</v>
      </c>
      <c r="R355">
        <v>0</v>
      </c>
      <c r="S355">
        <v>3</v>
      </c>
      <c r="T355">
        <v>3000</v>
      </c>
    </row>
    <row r="356" spans="1:20">
      <c r="A356" t="s">
        <v>502</v>
      </c>
      <c r="B356" s="1">
        <v>45390</v>
      </c>
      <c r="C356">
        <v>15</v>
      </c>
      <c r="D356">
        <v>4</v>
      </c>
      <c r="E356" t="s">
        <v>471</v>
      </c>
      <c r="F356" t="s">
        <v>16</v>
      </c>
      <c r="G356" t="s">
        <v>17</v>
      </c>
      <c r="H356">
        <v>3</v>
      </c>
      <c r="I356">
        <v>520</v>
      </c>
      <c r="J356">
        <v>0</v>
      </c>
      <c r="K356" t="s">
        <v>1945</v>
      </c>
      <c r="L356">
        <v>250</v>
      </c>
      <c r="M356">
        <v>1560</v>
      </c>
      <c r="N356">
        <v>750</v>
      </c>
      <c r="O356">
        <v>810</v>
      </c>
      <c r="P356">
        <v>0.51923076923076905</v>
      </c>
      <c r="Q356">
        <v>2</v>
      </c>
      <c r="R356">
        <v>2</v>
      </c>
      <c r="S356">
        <v>1</v>
      </c>
      <c r="T356">
        <v>520</v>
      </c>
    </row>
    <row r="357" spans="1:20">
      <c r="A357" t="s">
        <v>503</v>
      </c>
      <c r="B357" s="1">
        <v>45390</v>
      </c>
      <c r="C357">
        <v>15</v>
      </c>
      <c r="D357">
        <v>4</v>
      </c>
      <c r="E357" t="s">
        <v>471</v>
      </c>
      <c r="F357" t="s">
        <v>45</v>
      </c>
      <c r="G357" t="s">
        <v>26</v>
      </c>
      <c r="H357">
        <v>1</v>
      </c>
      <c r="I357">
        <v>4500</v>
      </c>
      <c r="J357">
        <v>0</v>
      </c>
      <c r="K357" t="s">
        <v>1938</v>
      </c>
      <c r="L357">
        <v>1800</v>
      </c>
      <c r="M357">
        <v>4500</v>
      </c>
      <c r="N357">
        <v>1800</v>
      </c>
      <c r="O357">
        <v>2700</v>
      </c>
      <c r="P357">
        <v>0.6</v>
      </c>
      <c r="Q357">
        <v>0</v>
      </c>
      <c r="R357">
        <v>0</v>
      </c>
      <c r="S357">
        <v>1</v>
      </c>
      <c r="T357">
        <v>4500</v>
      </c>
    </row>
    <row r="358" spans="1:20">
      <c r="A358" t="s">
        <v>504</v>
      </c>
      <c r="B358" s="1">
        <v>45390</v>
      </c>
      <c r="C358">
        <v>15</v>
      </c>
      <c r="D358">
        <v>4</v>
      </c>
      <c r="E358" t="s">
        <v>471</v>
      </c>
      <c r="F358" t="s">
        <v>13</v>
      </c>
      <c r="G358" t="s">
        <v>14</v>
      </c>
      <c r="H358">
        <v>4</v>
      </c>
      <c r="I358">
        <v>480</v>
      </c>
      <c r="J358">
        <v>0</v>
      </c>
      <c r="K358" t="s">
        <v>1925</v>
      </c>
      <c r="L358">
        <v>220</v>
      </c>
      <c r="M358">
        <v>1920</v>
      </c>
      <c r="N358">
        <v>880</v>
      </c>
      <c r="O358">
        <v>1040</v>
      </c>
      <c r="P358">
        <v>0.54166666666666696</v>
      </c>
      <c r="Q358">
        <v>0</v>
      </c>
      <c r="R358">
        <v>0</v>
      </c>
      <c r="S358">
        <v>4</v>
      </c>
      <c r="T358">
        <v>1920</v>
      </c>
    </row>
    <row r="359" spans="1:20">
      <c r="A359" t="s">
        <v>505</v>
      </c>
      <c r="B359" s="1">
        <v>45390</v>
      </c>
      <c r="C359">
        <v>15</v>
      </c>
      <c r="D359">
        <v>4</v>
      </c>
      <c r="E359" t="s">
        <v>471</v>
      </c>
      <c r="F359" t="s">
        <v>45</v>
      </c>
      <c r="G359" t="s">
        <v>26</v>
      </c>
      <c r="H359">
        <v>4</v>
      </c>
      <c r="I359">
        <v>4500</v>
      </c>
      <c r="J359">
        <v>0</v>
      </c>
      <c r="K359" t="s">
        <v>1938</v>
      </c>
      <c r="L359">
        <v>1800</v>
      </c>
      <c r="M359">
        <v>18000</v>
      </c>
      <c r="N359">
        <v>7200</v>
      </c>
      <c r="O359">
        <v>10800</v>
      </c>
      <c r="P359">
        <v>0.6</v>
      </c>
      <c r="Q359">
        <v>0</v>
      </c>
      <c r="R359">
        <v>0</v>
      </c>
      <c r="S359">
        <v>4</v>
      </c>
      <c r="T359">
        <v>18000</v>
      </c>
    </row>
    <row r="360" spans="1:20">
      <c r="A360" t="s">
        <v>506</v>
      </c>
      <c r="B360" s="1">
        <v>45390</v>
      </c>
      <c r="C360">
        <v>15</v>
      </c>
      <c r="D360">
        <v>4</v>
      </c>
      <c r="E360" t="s">
        <v>471</v>
      </c>
      <c r="F360" t="s">
        <v>16</v>
      </c>
      <c r="G360" t="s">
        <v>17</v>
      </c>
      <c r="H360">
        <v>2</v>
      </c>
      <c r="I360">
        <v>520</v>
      </c>
      <c r="J360">
        <v>0</v>
      </c>
      <c r="K360" t="s">
        <v>1945</v>
      </c>
      <c r="L360">
        <v>250</v>
      </c>
      <c r="M360">
        <v>1040</v>
      </c>
      <c r="N360">
        <v>500</v>
      </c>
      <c r="O360">
        <v>540</v>
      </c>
      <c r="P360">
        <v>0.51923076923076905</v>
      </c>
      <c r="Q360">
        <v>0</v>
      </c>
      <c r="R360">
        <v>0</v>
      </c>
      <c r="S360">
        <v>2</v>
      </c>
      <c r="T360">
        <v>1040</v>
      </c>
    </row>
    <row r="361" spans="1:20">
      <c r="A361" t="s">
        <v>507</v>
      </c>
      <c r="B361" s="1">
        <v>45390</v>
      </c>
      <c r="C361">
        <v>15</v>
      </c>
      <c r="D361">
        <v>4</v>
      </c>
      <c r="E361" t="s">
        <v>471</v>
      </c>
      <c r="F361" t="s">
        <v>349</v>
      </c>
      <c r="G361" t="s">
        <v>221</v>
      </c>
      <c r="H361">
        <v>2</v>
      </c>
      <c r="I361">
        <v>340</v>
      </c>
      <c r="J361">
        <v>15</v>
      </c>
      <c r="K361" t="s">
        <v>1948</v>
      </c>
      <c r="L361">
        <v>200</v>
      </c>
      <c r="M361">
        <v>680</v>
      </c>
      <c r="N361">
        <v>400</v>
      </c>
      <c r="O361">
        <v>280</v>
      </c>
      <c r="P361">
        <v>0.41176470588235298</v>
      </c>
      <c r="Q361">
        <v>0</v>
      </c>
      <c r="R361">
        <v>0</v>
      </c>
      <c r="S361">
        <v>2</v>
      </c>
      <c r="T361">
        <v>680</v>
      </c>
    </row>
    <row r="362" spans="1:20">
      <c r="A362" t="s">
        <v>508</v>
      </c>
      <c r="B362" s="1">
        <v>45391</v>
      </c>
      <c r="C362">
        <v>15</v>
      </c>
      <c r="D362">
        <v>4</v>
      </c>
      <c r="E362" t="s">
        <v>471</v>
      </c>
      <c r="F362" t="s">
        <v>115</v>
      </c>
      <c r="G362" t="s">
        <v>23</v>
      </c>
      <c r="H362">
        <v>1</v>
      </c>
      <c r="I362">
        <v>1140</v>
      </c>
      <c r="J362">
        <v>5</v>
      </c>
      <c r="K362" t="s">
        <v>1926</v>
      </c>
      <c r="L362">
        <v>600</v>
      </c>
      <c r="M362">
        <v>1140</v>
      </c>
      <c r="N362">
        <v>600</v>
      </c>
      <c r="O362">
        <v>540</v>
      </c>
      <c r="P362">
        <v>0.47368421052631599</v>
      </c>
      <c r="Q362">
        <v>0</v>
      </c>
      <c r="R362">
        <v>0</v>
      </c>
      <c r="S362">
        <v>1</v>
      </c>
      <c r="T362">
        <v>1140</v>
      </c>
    </row>
    <row r="363" spans="1:20">
      <c r="A363" t="s">
        <v>510</v>
      </c>
      <c r="B363" s="1">
        <v>45391</v>
      </c>
      <c r="C363">
        <v>15</v>
      </c>
      <c r="D363">
        <v>4</v>
      </c>
      <c r="E363" t="s">
        <v>471</v>
      </c>
      <c r="F363" t="s">
        <v>68</v>
      </c>
      <c r="G363" t="s">
        <v>26</v>
      </c>
      <c r="H363">
        <v>5</v>
      </c>
      <c r="I363">
        <v>361</v>
      </c>
      <c r="J363">
        <v>5</v>
      </c>
      <c r="K363" t="s">
        <v>1937</v>
      </c>
      <c r="L363">
        <v>150</v>
      </c>
      <c r="M363">
        <v>1805</v>
      </c>
      <c r="N363">
        <v>750</v>
      </c>
      <c r="O363">
        <v>1055</v>
      </c>
      <c r="P363">
        <v>0.58448753462603897</v>
      </c>
      <c r="Q363">
        <v>0</v>
      </c>
      <c r="R363">
        <v>0</v>
      </c>
      <c r="S363">
        <v>5</v>
      </c>
      <c r="T363">
        <v>1805</v>
      </c>
    </row>
    <row r="364" spans="1:20">
      <c r="A364" t="s">
        <v>511</v>
      </c>
      <c r="B364" s="1">
        <v>45391</v>
      </c>
      <c r="C364">
        <v>15</v>
      </c>
      <c r="D364">
        <v>4</v>
      </c>
      <c r="E364" t="s">
        <v>471</v>
      </c>
      <c r="F364" t="s">
        <v>45</v>
      </c>
      <c r="G364" t="s">
        <v>26</v>
      </c>
      <c r="H364">
        <v>2</v>
      </c>
      <c r="I364">
        <v>4275</v>
      </c>
      <c r="J364">
        <v>5</v>
      </c>
      <c r="K364" t="s">
        <v>1938</v>
      </c>
      <c r="L364">
        <v>1800</v>
      </c>
      <c r="M364">
        <v>8550</v>
      </c>
      <c r="N364">
        <v>3600</v>
      </c>
      <c r="O364">
        <v>4950</v>
      </c>
      <c r="P364">
        <v>0.57894736842105299</v>
      </c>
      <c r="Q364">
        <v>0</v>
      </c>
      <c r="R364">
        <v>0</v>
      </c>
      <c r="S364">
        <v>2</v>
      </c>
      <c r="T364">
        <v>8550</v>
      </c>
    </row>
    <row r="365" spans="1:20">
      <c r="A365" t="s">
        <v>512</v>
      </c>
      <c r="B365" s="1">
        <v>45391</v>
      </c>
      <c r="C365">
        <v>15</v>
      </c>
      <c r="D365">
        <v>4</v>
      </c>
      <c r="E365" t="s">
        <v>471</v>
      </c>
      <c r="F365" t="s">
        <v>58</v>
      </c>
      <c r="G365" t="s">
        <v>23</v>
      </c>
      <c r="H365">
        <v>5</v>
      </c>
      <c r="I365">
        <v>1000</v>
      </c>
      <c r="J365">
        <v>0</v>
      </c>
      <c r="K365" t="s">
        <v>1927</v>
      </c>
      <c r="L365">
        <v>500</v>
      </c>
      <c r="M365">
        <v>5000</v>
      </c>
      <c r="N365">
        <v>2500</v>
      </c>
      <c r="O365">
        <v>2500</v>
      </c>
      <c r="P365">
        <v>0.5</v>
      </c>
      <c r="Q365">
        <v>0</v>
      </c>
      <c r="R365">
        <v>0</v>
      </c>
      <c r="S365">
        <v>5</v>
      </c>
      <c r="T365">
        <v>5000</v>
      </c>
    </row>
    <row r="366" spans="1:20">
      <c r="A366" t="s">
        <v>513</v>
      </c>
      <c r="B366" s="1">
        <v>45391</v>
      </c>
      <c r="C366">
        <v>15</v>
      </c>
      <c r="D366">
        <v>4</v>
      </c>
      <c r="E366" t="s">
        <v>471</v>
      </c>
      <c r="F366" t="s">
        <v>115</v>
      </c>
      <c r="G366" t="s">
        <v>23</v>
      </c>
      <c r="H366">
        <v>2</v>
      </c>
      <c r="I366">
        <v>1080</v>
      </c>
      <c r="J366">
        <v>10</v>
      </c>
      <c r="K366" t="s">
        <v>1926</v>
      </c>
      <c r="L366">
        <v>600</v>
      </c>
      <c r="M366">
        <v>2160</v>
      </c>
      <c r="N366">
        <v>1200</v>
      </c>
      <c r="O366">
        <v>960</v>
      </c>
      <c r="P366">
        <v>0.44444444444444398</v>
      </c>
      <c r="Q366">
        <v>0</v>
      </c>
      <c r="R366">
        <v>0</v>
      </c>
      <c r="S366">
        <v>2</v>
      </c>
      <c r="T366">
        <v>2160</v>
      </c>
    </row>
    <row r="367" spans="1:20">
      <c r="A367" t="s">
        <v>514</v>
      </c>
      <c r="B367" s="1">
        <v>45392</v>
      </c>
      <c r="C367">
        <v>15</v>
      </c>
      <c r="D367">
        <v>4</v>
      </c>
      <c r="E367" t="s">
        <v>471</v>
      </c>
      <c r="F367" t="s">
        <v>13</v>
      </c>
      <c r="G367" t="s">
        <v>14</v>
      </c>
      <c r="H367">
        <v>3</v>
      </c>
      <c r="I367">
        <v>456</v>
      </c>
      <c r="J367">
        <v>5</v>
      </c>
      <c r="K367" t="s">
        <v>1925</v>
      </c>
      <c r="L367">
        <v>220</v>
      </c>
      <c r="M367">
        <v>1368</v>
      </c>
      <c r="N367">
        <v>660</v>
      </c>
      <c r="O367">
        <v>708</v>
      </c>
      <c r="P367">
        <v>0.51754385964912297</v>
      </c>
      <c r="Q367">
        <v>3</v>
      </c>
      <c r="R367">
        <v>3</v>
      </c>
      <c r="S367">
        <v>0</v>
      </c>
      <c r="T367">
        <v>0</v>
      </c>
    </row>
    <row r="368" spans="1:20">
      <c r="A368" t="s">
        <v>516</v>
      </c>
      <c r="B368" s="1">
        <v>45392</v>
      </c>
      <c r="C368">
        <v>15</v>
      </c>
      <c r="D368">
        <v>4</v>
      </c>
      <c r="E368" t="s">
        <v>471</v>
      </c>
      <c r="F368" t="s">
        <v>39</v>
      </c>
      <c r="G368" t="s">
        <v>14</v>
      </c>
      <c r="H368">
        <v>5</v>
      </c>
      <c r="I368">
        <v>880</v>
      </c>
      <c r="J368">
        <v>0</v>
      </c>
      <c r="K368" t="s">
        <v>1921</v>
      </c>
      <c r="L368">
        <v>400</v>
      </c>
      <c r="M368">
        <v>4400</v>
      </c>
      <c r="N368">
        <v>2000</v>
      </c>
      <c r="O368">
        <v>2400</v>
      </c>
      <c r="P368">
        <v>0.54545454545454497</v>
      </c>
      <c r="Q368">
        <v>0</v>
      </c>
      <c r="R368">
        <v>0</v>
      </c>
      <c r="S368">
        <v>5</v>
      </c>
      <c r="T368">
        <v>4400</v>
      </c>
    </row>
    <row r="369" spans="1:20">
      <c r="A369" t="s">
        <v>517</v>
      </c>
      <c r="B369" s="1">
        <v>45393</v>
      </c>
      <c r="C369">
        <v>15</v>
      </c>
      <c r="D369">
        <v>4</v>
      </c>
      <c r="E369" t="s">
        <v>471</v>
      </c>
      <c r="F369" t="s">
        <v>115</v>
      </c>
      <c r="G369" t="s">
        <v>23</v>
      </c>
      <c r="H369">
        <v>4</v>
      </c>
      <c r="I369">
        <v>1200</v>
      </c>
      <c r="J369">
        <v>0</v>
      </c>
      <c r="K369" t="s">
        <v>1926</v>
      </c>
      <c r="L369">
        <v>600</v>
      </c>
      <c r="M369">
        <v>4800</v>
      </c>
      <c r="N369">
        <v>2400</v>
      </c>
      <c r="O369">
        <v>2400</v>
      </c>
      <c r="P369">
        <v>0.5</v>
      </c>
      <c r="Q369">
        <v>0</v>
      </c>
      <c r="R369">
        <v>0</v>
      </c>
      <c r="S369">
        <v>4</v>
      </c>
      <c r="T369">
        <v>4800</v>
      </c>
    </row>
    <row r="370" spans="1:20">
      <c r="A370" t="s">
        <v>519</v>
      </c>
      <c r="B370" s="1">
        <v>45393</v>
      </c>
      <c r="C370">
        <v>15</v>
      </c>
      <c r="D370">
        <v>4</v>
      </c>
      <c r="E370" t="s">
        <v>471</v>
      </c>
      <c r="F370" t="s">
        <v>19</v>
      </c>
      <c r="G370" t="s">
        <v>20</v>
      </c>
      <c r="H370">
        <v>1</v>
      </c>
      <c r="I370">
        <v>1458</v>
      </c>
      <c r="J370">
        <v>10</v>
      </c>
      <c r="K370" t="s">
        <v>1931</v>
      </c>
      <c r="L370">
        <v>900</v>
      </c>
      <c r="M370">
        <v>1458</v>
      </c>
      <c r="N370">
        <v>900</v>
      </c>
      <c r="O370">
        <v>558</v>
      </c>
      <c r="P370">
        <v>0.38271604938271597</v>
      </c>
      <c r="Q370">
        <v>0</v>
      </c>
      <c r="R370">
        <v>0</v>
      </c>
      <c r="S370">
        <v>1</v>
      </c>
      <c r="T370">
        <v>1458</v>
      </c>
    </row>
    <row r="371" spans="1:20">
      <c r="A371" t="s">
        <v>520</v>
      </c>
      <c r="B371" s="1">
        <v>45393</v>
      </c>
      <c r="C371">
        <v>15</v>
      </c>
      <c r="D371">
        <v>4</v>
      </c>
      <c r="E371" t="s">
        <v>471</v>
      </c>
      <c r="F371" t="s">
        <v>66</v>
      </c>
      <c r="G371" t="s">
        <v>17</v>
      </c>
      <c r="H371">
        <v>3</v>
      </c>
      <c r="I371">
        <v>1396.5</v>
      </c>
      <c r="J371">
        <v>5</v>
      </c>
      <c r="K371" t="s">
        <v>1941</v>
      </c>
      <c r="L371">
        <v>700</v>
      </c>
      <c r="M371">
        <v>4189.5</v>
      </c>
      <c r="N371">
        <v>2100</v>
      </c>
      <c r="O371">
        <v>2089.5</v>
      </c>
      <c r="P371">
        <v>0.49874686716791999</v>
      </c>
      <c r="Q371">
        <v>0</v>
      </c>
      <c r="R371">
        <v>0</v>
      </c>
      <c r="S371">
        <v>3</v>
      </c>
      <c r="T371">
        <v>4189.5</v>
      </c>
    </row>
    <row r="372" spans="1:20">
      <c r="A372" t="s">
        <v>521</v>
      </c>
      <c r="B372" s="1">
        <v>45393</v>
      </c>
      <c r="C372">
        <v>15</v>
      </c>
      <c r="D372">
        <v>4</v>
      </c>
      <c r="E372" t="s">
        <v>471</v>
      </c>
      <c r="F372" t="s">
        <v>28</v>
      </c>
      <c r="G372" t="s">
        <v>26</v>
      </c>
      <c r="H372">
        <v>4</v>
      </c>
      <c r="I372">
        <v>1500</v>
      </c>
      <c r="J372">
        <v>0</v>
      </c>
      <c r="K372" t="s">
        <v>1939</v>
      </c>
      <c r="L372">
        <v>600</v>
      </c>
      <c r="M372">
        <v>6000</v>
      </c>
      <c r="N372">
        <v>2400</v>
      </c>
      <c r="O372">
        <v>3600</v>
      </c>
      <c r="P372">
        <v>0.6</v>
      </c>
      <c r="Q372">
        <v>0</v>
      </c>
      <c r="R372">
        <v>0</v>
      </c>
      <c r="S372">
        <v>4</v>
      </c>
      <c r="T372">
        <v>6000</v>
      </c>
    </row>
    <row r="373" spans="1:20">
      <c r="A373" t="s">
        <v>522</v>
      </c>
      <c r="B373" s="1">
        <v>45393</v>
      </c>
      <c r="C373">
        <v>15</v>
      </c>
      <c r="D373">
        <v>4</v>
      </c>
      <c r="E373" t="s">
        <v>471</v>
      </c>
      <c r="F373" t="s">
        <v>31</v>
      </c>
      <c r="G373" t="s">
        <v>23</v>
      </c>
      <c r="H373">
        <v>3</v>
      </c>
      <c r="I373">
        <v>1400</v>
      </c>
      <c r="J373">
        <v>0</v>
      </c>
      <c r="K373" t="s">
        <v>1930</v>
      </c>
      <c r="L373">
        <v>700</v>
      </c>
      <c r="M373">
        <v>4200</v>
      </c>
      <c r="N373">
        <v>2100</v>
      </c>
      <c r="O373">
        <v>2100</v>
      </c>
      <c r="P373">
        <v>0.5</v>
      </c>
      <c r="Q373">
        <v>0</v>
      </c>
      <c r="R373">
        <v>0</v>
      </c>
      <c r="S373">
        <v>3</v>
      </c>
      <c r="T373">
        <v>4200</v>
      </c>
    </row>
    <row r="374" spans="1:20">
      <c r="A374" t="s">
        <v>523</v>
      </c>
      <c r="B374" s="1">
        <v>45393</v>
      </c>
      <c r="C374">
        <v>15</v>
      </c>
      <c r="D374">
        <v>4</v>
      </c>
      <c r="E374" t="s">
        <v>471</v>
      </c>
      <c r="F374" t="s">
        <v>37</v>
      </c>
      <c r="G374" t="s">
        <v>20</v>
      </c>
      <c r="H374">
        <v>2</v>
      </c>
      <c r="I374">
        <v>2223</v>
      </c>
      <c r="J374">
        <v>5</v>
      </c>
      <c r="K374" t="s">
        <v>1935</v>
      </c>
      <c r="L374">
        <v>1300</v>
      </c>
      <c r="M374">
        <v>4446</v>
      </c>
      <c r="N374">
        <v>2600</v>
      </c>
      <c r="O374">
        <v>1846</v>
      </c>
      <c r="P374">
        <v>0.41520467836257302</v>
      </c>
      <c r="Q374">
        <v>0</v>
      </c>
      <c r="R374">
        <v>0</v>
      </c>
      <c r="S374">
        <v>2</v>
      </c>
      <c r="T374">
        <v>4446</v>
      </c>
    </row>
    <row r="375" spans="1:20">
      <c r="A375" t="s">
        <v>524</v>
      </c>
      <c r="B375" s="1">
        <v>45393</v>
      </c>
      <c r="C375">
        <v>15</v>
      </c>
      <c r="D375">
        <v>4</v>
      </c>
      <c r="E375" t="s">
        <v>471</v>
      </c>
      <c r="F375" t="s">
        <v>80</v>
      </c>
      <c r="G375" t="s">
        <v>14</v>
      </c>
      <c r="H375">
        <v>3</v>
      </c>
      <c r="I375">
        <v>380</v>
      </c>
      <c r="J375">
        <v>5</v>
      </c>
      <c r="K375" t="s">
        <v>1922</v>
      </c>
      <c r="L375">
        <v>180</v>
      </c>
      <c r="M375">
        <v>1140</v>
      </c>
      <c r="N375">
        <v>540</v>
      </c>
      <c r="O375">
        <v>600</v>
      </c>
      <c r="P375">
        <v>0.52631578947368396</v>
      </c>
      <c r="Q375">
        <v>0</v>
      </c>
      <c r="R375">
        <v>0</v>
      </c>
      <c r="S375">
        <v>3</v>
      </c>
      <c r="T375">
        <v>1140</v>
      </c>
    </row>
    <row r="376" spans="1:20">
      <c r="A376" t="s">
        <v>525</v>
      </c>
      <c r="B376" s="1">
        <v>45395</v>
      </c>
      <c r="C376">
        <v>15</v>
      </c>
      <c r="D376">
        <v>4</v>
      </c>
      <c r="E376" t="s">
        <v>471</v>
      </c>
      <c r="F376" t="s">
        <v>68</v>
      </c>
      <c r="G376" t="s">
        <v>26</v>
      </c>
      <c r="H376">
        <v>3</v>
      </c>
      <c r="I376">
        <v>380</v>
      </c>
      <c r="J376">
        <v>0</v>
      </c>
      <c r="K376" t="s">
        <v>1937</v>
      </c>
      <c r="L376">
        <v>150</v>
      </c>
      <c r="M376">
        <v>1140</v>
      </c>
      <c r="N376">
        <v>450</v>
      </c>
      <c r="O376">
        <v>690</v>
      </c>
      <c r="P376">
        <v>0.60526315789473695</v>
      </c>
      <c r="Q376">
        <v>0</v>
      </c>
      <c r="R376">
        <v>0</v>
      </c>
      <c r="S376">
        <v>3</v>
      </c>
      <c r="T376">
        <v>1140</v>
      </c>
    </row>
    <row r="377" spans="1:20">
      <c r="A377" t="s">
        <v>527</v>
      </c>
      <c r="B377" s="1">
        <v>45395</v>
      </c>
      <c r="C377">
        <v>15</v>
      </c>
      <c r="D377">
        <v>4</v>
      </c>
      <c r="E377" t="s">
        <v>471</v>
      </c>
      <c r="F377" t="s">
        <v>364</v>
      </c>
      <c r="G377" t="s">
        <v>221</v>
      </c>
      <c r="H377">
        <v>4</v>
      </c>
      <c r="I377">
        <v>912</v>
      </c>
      <c r="J377">
        <v>5</v>
      </c>
      <c r="K377" t="s">
        <v>1946</v>
      </c>
      <c r="L377">
        <v>480</v>
      </c>
      <c r="M377">
        <v>3648</v>
      </c>
      <c r="N377">
        <v>1920</v>
      </c>
      <c r="O377">
        <v>1728</v>
      </c>
      <c r="P377">
        <v>0.47368421052631599</v>
      </c>
      <c r="Q377">
        <v>0</v>
      </c>
      <c r="R377">
        <v>0</v>
      </c>
      <c r="S377">
        <v>4</v>
      </c>
      <c r="T377">
        <v>3648</v>
      </c>
    </row>
    <row r="378" spans="1:20">
      <c r="A378" t="s">
        <v>528</v>
      </c>
      <c r="B378" s="1">
        <v>45395</v>
      </c>
      <c r="C378">
        <v>15</v>
      </c>
      <c r="D378">
        <v>4</v>
      </c>
      <c r="E378" t="s">
        <v>471</v>
      </c>
      <c r="F378" t="s">
        <v>13</v>
      </c>
      <c r="G378" t="s">
        <v>14</v>
      </c>
      <c r="H378">
        <v>2</v>
      </c>
      <c r="I378">
        <v>408</v>
      </c>
      <c r="J378">
        <v>15</v>
      </c>
      <c r="K378" t="s">
        <v>1925</v>
      </c>
      <c r="L378">
        <v>220</v>
      </c>
      <c r="M378">
        <v>816</v>
      </c>
      <c r="N378">
        <v>440</v>
      </c>
      <c r="O378">
        <v>376</v>
      </c>
      <c r="P378">
        <v>0.46078431372549</v>
      </c>
      <c r="Q378">
        <v>0</v>
      </c>
      <c r="R378">
        <v>0</v>
      </c>
      <c r="S378">
        <v>2</v>
      </c>
      <c r="T378">
        <v>816</v>
      </c>
    </row>
    <row r="379" spans="1:20">
      <c r="A379" t="s">
        <v>529</v>
      </c>
      <c r="B379" s="1">
        <v>45395</v>
      </c>
      <c r="C379">
        <v>15</v>
      </c>
      <c r="D379">
        <v>4</v>
      </c>
      <c r="E379" t="s">
        <v>471</v>
      </c>
      <c r="F379" t="s">
        <v>349</v>
      </c>
      <c r="G379" t="s">
        <v>221</v>
      </c>
      <c r="H379">
        <v>4</v>
      </c>
      <c r="I379">
        <v>400</v>
      </c>
      <c r="J379">
        <v>0</v>
      </c>
      <c r="K379" t="s">
        <v>1948</v>
      </c>
      <c r="L379">
        <v>200</v>
      </c>
      <c r="M379">
        <v>1600</v>
      </c>
      <c r="N379">
        <v>800</v>
      </c>
      <c r="O379">
        <v>800</v>
      </c>
      <c r="P379">
        <v>0.5</v>
      </c>
      <c r="Q379">
        <v>0</v>
      </c>
      <c r="R379">
        <v>0</v>
      </c>
      <c r="S379">
        <v>4</v>
      </c>
      <c r="T379">
        <v>1600</v>
      </c>
    </row>
    <row r="380" spans="1:20">
      <c r="A380" t="s">
        <v>530</v>
      </c>
      <c r="B380" s="1">
        <v>45395</v>
      </c>
      <c r="C380">
        <v>15</v>
      </c>
      <c r="D380">
        <v>4</v>
      </c>
      <c r="E380" t="s">
        <v>471</v>
      </c>
      <c r="F380" t="s">
        <v>68</v>
      </c>
      <c r="G380" t="s">
        <v>26</v>
      </c>
      <c r="H380">
        <v>1</v>
      </c>
      <c r="I380">
        <v>361</v>
      </c>
      <c r="J380">
        <v>5</v>
      </c>
      <c r="K380" t="s">
        <v>1937</v>
      </c>
      <c r="L380">
        <v>150</v>
      </c>
      <c r="M380">
        <v>361</v>
      </c>
      <c r="N380">
        <v>150</v>
      </c>
      <c r="O380">
        <v>211</v>
      </c>
      <c r="P380">
        <v>0.58448753462603897</v>
      </c>
      <c r="Q380">
        <v>0</v>
      </c>
      <c r="R380">
        <v>0</v>
      </c>
      <c r="S380">
        <v>1</v>
      </c>
      <c r="T380">
        <v>361</v>
      </c>
    </row>
    <row r="381" spans="1:20">
      <c r="A381" t="s">
        <v>531</v>
      </c>
      <c r="B381" s="1">
        <v>45395</v>
      </c>
      <c r="C381">
        <v>15</v>
      </c>
      <c r="D381">
        <v>4</v>
      </c>
      <c r="E381" t="s">
        <v>471</v>
      </c>
      <c r="F381" t="s">
        <v>115</v>
      </c>
      <c r="G381" t="s">
        <v>23</v>
      </c>
      <c r="H381">
        <v>3</v>
      </c>
      <c r="I381">
        <v>1080</v>
      </c>
      <c r="J381">
        <v>10</v>
      </c>
      <c r="K381" t="s">
        <v>1926</v>
      </c>
      <c r="L381">
        <v>600</v>
      </c>
      <c r="M381">
        <v>3240</v>
      </c>
      <c r="N381">
        <v>1800</v>
      </c>
      <c r="O381">
        <v>1440</v>
      </c>
      <c r="P381">
        <v>0.44444444444444398</v>
      </c>
      <c r="Q381">
        <v>0</v>
      </c>
      <c r="R381">
        <v>0</v>
      </c>
      <c r="S381">
        <v>3</v>
      </c>
      <c r="T381">
        <v>3240</v>
      </c>
    </row>
    <row r="382" spans="1:20">
      <c r="A382" t="s">
        <v>532</v>
      </c>
      <c r="B382" s="1">
        <v>45396</v>
      </c>
      <c r="C382">
        <v>15</v>
      </c>
      <c r="D382">
        <v>4</v>
      </c>
      <c r="E382" t="s">
        <v>471</v>
      </c>
      <c r="F382" t="s">
        <v>28</v>
      </c>
      <c r="G382" t="s">
        <v>26</v>
      </c>
      <c r="H382">
        <v>3</v>
      </c>
      <c r="I382">
        <v>1425</v>
      </c>
      <c r="J382">
        <v>5</v>
      </c>
      <c r="K382" t="s">
        <v>1939</v>
      </c>
      <c r="L382">
        <v>600</v>
      </c>
      <c r="M382">
        <v>4275</v>
      </c>
      <c r="N382">
        <v>1800</v>
      </c>
      <c r="O382">
        <v>2475</v>
      </c>
      <c r="P382">
        <v>0.57894736842105299</v>
      </c>
      <c r="Q382">
        <v>0</v>
      </c>
      <c r="R382">
        <v>0</v>
      </c>
      <c r="S382">
        <v>3</v>
      </c>
      <c r="T382">
        <v>4275</v>
      </c>
    </row>
    <row r="383" spans="1:20">
      <c r="A383" t="s">
        <v>534</v>
      </c>
      <c r="B383" s="1">
        <v>45396</v>
      </c>
      <c r="C383">
        <v>15</v>
      </c>
      <c r="D383">
        <v>4</v>
      </c>
      <c r="E383" t="s">
        <v>471</v>
      </c>
      <c r="F383" t="s">
        <v>28</v>
      </c>
      <c r="G383" t="s">
        <v>26</v>
      </c>
      <c r="H383">
        <v>3</v>
      </c>
      <c r="I383">
        <v>1350</v>
      </c>
      <c r="J383">
        <v>10</v>
      </c>
      <c r="K383" t="s">
        <v>1939</v>
      </c>
      <c r="L383">
        <v>600</v>
      </c>
      <c r="M383">
        <v>4050</v>
      </c>
      <c r="N383">
        <v>1800</v>
      </c>
      <c r="O383">
        <v>2250</v>
      </c>
      <c r="P383">
        <v>0.55555555555555602</v>
      </c>
      <c r="Q383">
        <v>0</v>
      </c>
      <c r="R383">
        <v>0</v>
      </c>
      <c r="S383">
        <v>3</v>
      </c>
      <c r="T383">
        <v>4050</v>
      </c>
    </row>
    <row r="384" spans="1:20">
      <c r="A384" t="s">
        <v>535</v>
      </c>
      <c r="B384" s="1">
        <v>45396</v>
      </c>
      <c r="C384">
        <v>15</v>
      </c>
      <c r="D384">
        <v>4</v>
      </c>
      <c r="E384" t="s">
        <v>471</v>
      </c>
      <c r="F384" t="s">
        <v>64</v>
      </c>
      <c r="G384" t="s">
        <v>14</v>
      </c>
      <c r="H384">
        <v>4</v>
      </c>
      <c r="I384">
        <v>2640</v>
      </c>
      <c r="J384">
        <v>0</v>
      </c>
      <c r="K384" t="s">
        <v>1923</v>
      </c>
      <c r="L384">
        <v>1200</v>
      </c>
      <c r="M384">
        <v>10560</v>
      </c>
      <c r="N384">
        <v>4800</v>
      </c>
      <c r="O384">
        <v>5760</v>
      </c>
      <c r="P384">
        <v>0.54545454545454497</v>
      </c>
      <c r="Q384">
        <v>0</v>
      </c>
      <c r="R384">
        <v>0</v>
      </c>
      <c r="S384">
        <v>4</v>
      </c>
      <c r="T384">
        <v>10560</v>
      </c>
    </row>
    <row r="385" spans="1:20">
      <c r="A385" t="s">
        <v>536</v>
      </c>
      <c r="B385" s="1">
        <v>45397</v>
      </c>
      <c r="C385">
        <v>16</v>
      </c>
      <c r="D385">
        <v>4</v>
      </c>
      <c r="E385" t="s">
        <v>471</v>
      </c>
      <c r="F385" t="s">
        <v>364</v>
      </c>
      <c r="G385" t="s">
        <v>221</v>
      </c>
      <c r="H385">
        <v>2</v>
      </c>
      <c r="I385">
        <v>960</v>
      </c>
      <c r="J385">
        <v>0</v>
      </c>
      <c r="K385" t="s">
        <v>1946</v>
      </c>
      <c r="L385">
        <v>480</v>
      </c>
      <c r="M385">
        <v>1920</v>
      </c>
      <c r="N385">
        <v>960</v>
      </c>
      <c r="O385">
        <v>960</v>
      </c>
      <c r="P385">
        <v>0.5</v>
      </c>
      <c r="Q385">
        <v>0</v>
      </c>
      <c r="R385">
        <v>0</v>
      </c>
      <c r="S385">
        <v>2</v>
      </c>
      <c r="T385">
        <v>1920</v>
      </c>
    </row>
    <row r="386" spans="1:20">
      <c r="A386" t="s">
        <v>538</v>
      </c>
      <c r="B386" s="1">
        <v>45397</v>
      </c>
      <c r="C386">
        <v>16</v>
      </c>
      <c r="D386">
        <v>4</v>
      </c>
      <c r="E386" t="s">
        <v>471</v>
      </c>
      <c r="F386" t="s">
        <v>220</v>
      </c>
      <c r="G386" t="s">
        <v>221</v>
      </c>
      <c r="H386">
        <v>1</v>
      </c>
      <c r="I386">
        <v>600</v>
      </c>
      <c r="J386">
        <v>0</v>
      </c>
      <c r="K386" t="s">
        <v>1947</v>
      </c>
      <c r="L386">
        <v>300</v>
      </c>
      <c r="M386">
        <v>600</v>
      </c>
      <c r="N386">
        <v>300</v>
      </c>
      <c r="O386">
        <v>300</v>
      </c>
      <c r="P386">
        <v>0.5</v>
      </c>
      <c r="Q386">
        <v>0</v>
      </c>
      <c r="R386">
        <v>0</v>
      </c>
      <c r="S386">
        <v>1</v>
      </c>
      <c r="T386">
        <v>600</v>
      </c>
    </row>
    <row r="387" spans="1:20">
      <c r="A387" t="s">
        <v>539</v>
      </c>
      <c r="B387" s="1">
        <v>45397</v>
      </c>
      <c r="C387">
        <v>16</v>
      </c>
      <c r="D387">
        <v>4</v>
      </c>
      <c r="E387" t="s">
        <v>471</v>
      </c>
      <c r="F387" t="s">
        <v>349</v>
      </c>
      <c r="G387" t="s">
        <v>221</v>
      </c>
      <c r="H387">
        <v>1</v>
      </c>
      <c r="I387">
        <v>380</v>
      </c>
      <c r="J387">
        <v>5</v>
      </c>
      <c r="K387" t="s">
        <v>1948</v>
      </c>
      <c r="L387">
        <v>200</v>
      </c>
      <c r="M387">
        <v>380</v>
      </c>
      <c r="N387">
        <v>200</v>
      </c>
      <c r="O387">
        <v>180</v>
      </c>
      <c r="P387">
        <v>0.47368421052631599</v>
      </c>
      <c r="Q387">
        <v>0</v>
      </c>
      <c r="R387">
        <v>0</v>
      </c>
      <c r="S387">
        <v>1</v>
      </c>
      <c r="T387">
        <v>380</v>
      </c>
    </row>
    <row r="388" spans="1:20">
      <c r="A388" t="s">
        <v>540</v>
      </c>
      <c r="B388" s="1">
        <v>45397</v>
      </c>
      <c r="C388">
        <v>16</v>
      </c>
      <c r="D388">
        <v>4</v>
      </c>
      <c r="E388" t="s">
        <v>471</v>
      </c>
      <c r="F388" t="s">
        <v>369</v>
      </c>
      <c r="G388" t="s">
        <v>221</v>
      </c>
      <c r="H388">
        <v>5</v>
      </c>
      <c r="I388">
        <v>700</v>
      </c>
      <c r="J388">
        <v>0</v>
      </c>
      <c r="K388" t="s">
        <v>1949</v>
      </c>
      <c r="L388">
        <v>350</v>
      </c>
      <c r="M388">
        <v>3500</v>
      </c>
      <c r="N388">
        <v>1750</v>
      </c>
      <c r="O388">
        <v>1750</v>
      </c>
      <c r="P388">
        <v>0.5</v>
      </c>
      <c r="Q388">
        <v>0</v>
      </c>
      <c r="R388">
        <v>0</v>
      </c>
      <c r="S388">
        <v>5</v>
      </c>
      <c r="T388">
        <v>3500</v>
      </c>
    </row>
    <row r="389" spans="1:20">
      <c r="A389" t="s">
        <v>541</v>
      </c>
      <c r="B389" s="1">
        <v>45397</v>
      </c>
      <c r="C389">
        <v>16</v>
      </c>
      <c r="D389">
        <v>4</v>
      </c>
      <c r="E389" t="s">
        <v>471</v>
      </c>
      <c r="F389" t="s">
        <v>16</v>
      </c>
      <c r="G389" t="s">
        <v>17</v>
      </c>
      <c r="H389">
        <v>3</v>
      </c>
      <c r="I389">
        <v>520</v>
      </c>
      <c r="J389">
        <v>0</v>
      </c>
      <c r="K389" t="s">
        <v>1945</v>
      </c>
      <c r="L389">
        <v>250</v>
      </c>
      <c r="M389">
        <v>1560</v>
      </c>
      <c r="N389">
        <v>750</v>
      </c>
      <c r="O389">
        <v>810</v>
      </c>
      <c r="P389">
        <v>0.51923076923076905</v>
      </c>
      <c r="Q389">
        <v>0</v>
      </c>
      <c r="R389">
        <v>0</v>
      </c>
      <c r="S389">
        <v>3</v>
      </c>
      <c r="T389">
        <v>1560</v>
      </c>
    </row>
    <row r="390" spans="1:20">
      <c r="A390" t="s">
        <v>542</v>
      </c>
      <c r="B390" s="1">
        <v>45397</v>
      </c>
      <c r="C390">
        <v>16</v>
      </c>
      <c r="D390">
        <v>4</v>
      </c>
      <c r="E390" t="s">
        <v>471</v>
      </c>
      <c r="F390" t="s">
        <v>220</v>
      </c>
      <c r="G390" t="s">
        <v>221</v>
      </c>
      <c r="H390">
        <v>4</v>
      </c>
      <c r="I390">
        <v>570</v>
      </c>
      <c r="J390">
        <v>5</v>
      </c>
      <c r="K390" t="s">
        <v>1947</v>
      </c>
      <c r="L390">
        <v>300</v>
      </c>
      <c r="M390">
        <v>2280</v>
      </c>
      <c r="N390">
        <v>1200</v>
      </c>
      <c r="O390">
        <v>1080</v>
      </c>
      <c r="P390">
        <v>0.47368421052631599</v>
      </c>
      <c r="Q390">
        <v>0</v>
      </c>
      <c r="R390">
        <v>0</v>
      </c>
      <c r="S390">
        <v>4</v>
      </c>
      <c r="T390">
        <v>2280</v>
      </c>
    </row>
    <row r="391" spans="1:20">
      <c r="A391" t="s">
        <v>543</v>
      </c>
      <c r="B391" s="1">
        <v>45397</v>
      </c>
      <c r="C391">
        <v>16</v>
      </c>
      <c r="D391">
        <v>4</v>
      </c>
      <c r="E391" t="s">
        <v>471</v>
      </c>
      <c r="F391" t="s">
        <v>58</v>
      </c>
      <c r="G391" t="s">
        <v>23</v>
      </c>
      <c r="H391">
        <v>1</v>
      </c>
      <c r="I391">
        <v>1000</v>
      </c>
      <c r="J391">
        <v>0</v>
      </c>
      <c r="K391" t="s">
        <v>1927</v>
      </c>
      <c r="L391">
        <v>500</v>
      </c>
      <c r="M391">
        <v>1000</v>
      </c>
      <c r="N391">
        <v>500</v>
      </c>
      <c r="O391">
        <v>500</v>
      </c>
      <c r="P391">
        <v>0.5</v>
      </c>
      <c r="Q391">
        <v>0</v>
      </c>
      <c r="R391">
        <v>0</v>
      </c>
      <c r="S391">
        <v>1</v>
      </c>
      <c r="T391">
        <v>1000</v>
      </c>
    </row>
    <row r="392" spans="1:20">
      <c r="A392" t="s">
        <v>544</v>
      </c>
      <c r="B392" s="1">
        <v>45397</v>
      </c>
      <c r="C392">
        <v>16</v>
      </c>
      <c r="D392">
        <v>4</v>
      </c>
      <c r="E392" t="s">
        <v>471</v>
      </c>
      <c r="F392" t="s">
        <v>97</v>
      </c>
      <c r="G392" t="s">
        <v>20</v>
      </c>
      <c r="H392">
        <v>1</v>
      </c>
      <c r="I392">
        <v>1881</v>
      </c>
      <c r="J392">
        <v>5</v>
      </c>
      <c r="K392" t="s">
        <v>1932</v>
      </c>
      <c r="L392">
        <v>1100</v>
      </c>
      <c r="M392">
        <v>1881</v>
      </c>
      <c r="N392">
        <v>1100</v>
      </c>
      <c r="O392">
        <v>781</v>
      </c>
      <c r="P392">
        <v>0.41520467836257302</v>
      </c>
      <c r="Q392">
        <v>0</v>
      </c>
      <c r="R392">
        <v>0</v>
      </c>
      <c r="S392">
        <v>1</v>
      </c>
      <c r="T392">
        <v>1881</v>
      </c>
    </row>
    <row r="393" spans="1:20">
      <c r="A393" t="s">
        <v>545</v>
      </c>
      <c r="B393" s="1">
        <v>45398</v>
      </c>
      <c r="C393">
        <v>16</v>
      </c>
      <c r="D393">
        <v>4</v>
      </c>
      <c r="E393" t="s">
        <v>471</v>
      </c>
      <c r="F393" t="s">
        <v>68</v>
      </c>
      <c r="G393" t="s">
        <v>26</v>
      </c>
      <c r="H393">
        <v>5</v>
      </c>
      <c r="I393">
        <v>342</v>
      </c>
      <c r="J393">
        <v>10</v>
      </c>
      <c r="K393" t="s">
        <v>1937</v>
      </c>
      <c r="L393">
        <v>150</v>
      </c>
      <c r="M393">
        <v>1710</v>
      </c>
      <c r="N393">
        <v>750</v>
      </c>
      <c r="O393">
        <v>960</v>
      </c>
      <c r="P393">
        <v>0.56140350877193002</v>
      </c>
      <c r="Q393">
        <v>0</v>
      </c>
      <c r="R393">
        <v>0</v>
      </c>
      <c r="S393">
        <v>5</v>
      </c>
      <c r="T393">
        <v>1710</v>
      </c>
    </row>
    <row r="394" spans="1:20">
      <c r="A394" t="s">
        <v>547</v>
      </c>
      <c r="B394" s="1">
        <v>45398</v>
      </c>
      <c r="C394">
        <v>16</v>
      </c>
      <c r="D394">
        <v>4</v>
      </c>
      <c r="E394" t="s">
        <v>471</v>
      </c>
      <c r="F394" t="s">
        <v>16</v>
      </c>
      <c r="G394" t="s">
        <v>17</v>
      </c>
      <c r="H394">
        <v>1</v>
      </c>
      <c r="I394">
        <v>520</v>
      </c>
      <c r="J394">
        <v>0</v>
      </c>
      <c r="K394" t="s">
        <v>1945</v>
      </c>
      <c r="L394">
        <v>250</v>
      </c>
      <c r="M394">
        <v>520</v>
      </c>
      <c r="N394">
        <v>250</v>
      </c>
      <c r="O394">
        <v>270</v>
      </c>
      <c r="P394">
        <v>0.51923076923076905</v>
      </c>
      <c r="Q394">
        <v>0</v>
      </c>
      <c r="R394">
        <v>0</v>
      </c>
      <c r="S394">
        <v>1</v>
      </c>
      <c r="T394">
        <v>520</v>
      </c>
    </row>
    <row r="395" spans="1:20">
      <c r="A395" t="s">
        <v>548</v>
      </c>
      <c r="B395" s="1">
        <v>45398</v>
      </c>
      <c r="C395">
        <v>16</v>
      </c>
      <c r="D395">
        <v>4</v>
      </c>
      <c r="E395" t="s">
        <v>471</v>
      </c>
      <c r="F395" t="s">
        <v>97</v>
      </c>
      <c r="G395" t="s">
        <v>20</v>
      </c>
      <c r="H395">
        <v>2</v>
      </c>
      <c r="I395">
        <v>1980</v>
      </c>
      <c r="J395">
        <v>0</v>
      </c>
      <c r="K395" t="s">
        <v>1932</v>
      </c>
      <c r="L395">
        <v>1100</v>
      </c>
      <c r="M395">
        <v>3960</v>
      </c>
      <c r="N395">
        <v>2200</v>
      </c>
      <c r="O395">
        <v>1760</v>
      </c>
      <c r="P395">
        <v>0.44444444444444398</v>
      </c>
      <c r="Q395">
        <v>0</v>
      </c>
      <c r="R395">
        <v>0</v>
      </c>
      <c r="S395">
        <v>2</v>
      </c>
      <c r="T395">
        <v>3960</v>
      </c>
    </row>
    <row r="396" spans="1:20">
      <c r="A396" t="s">
        <v>549</v>
      </c>
      <c r="B396" s="1">
        <v>45398</v>
      </c>
      <c r="C396">
        <v>16</v>
      </c>
      <c r="D396">
        <v>4</v>
      </c>
      <c r="E396" t="s">
        <v>471</v>
      </c>
      <c r="F396" t="s">
        <v>31</v>
      </c>
      <c r="G396" t="s">
        <v>23</v>
      </c>
      <c r="H396">
        <v>3</v>
      </c>
      <c r="I396">
        <v>1190</v>
      </c>
      <c r="J396">
        <v>15</v>
      </c>
      <c r="K396" t="s">
        <v>1930</v>
      </c>
      <c r="L396">
        <v>700</v>
      </c>
      <c r="M396">
        <v>3570</v>
      </c>
      <c r="N396">
        <v>2100</v>
      </c>
      <c r="O396">
        <v>1470</v>
      </c>
      <c r="P396">
        <v>0.41176470588235298</v>
      </c>
      <c r="Q396">
        <v>3</v>
      </c>
      <c r="R396">
        <v>3</v>
      </c>
      <c r="S396">
        <v>0</v>
      </c>
      <c r="T396">
        <v>0</v>
      </c>
    </row>
    <row r="397" spans="1:20">
      <c r="A397" t="s">
        <v>550</v>
      </c>
      <c r="B397" s="1">
        <v>45398</v>
      </c>
      <c r="C397">
        <v>16</v>
      </c>
      <c r="D397">
        <v>4</v>
      </c>
      <c r="E397" t="s">
        <v>471</v>
      </c>
      <c r="F397" t="s">
        <v>80</v>
      </c>
      <c r="G397" t="s">
        <v>14</v>
      </c>
      <c r="H397">
        <v>3</v>
      </c>
      <c r="I397">
        <v>340</v>
      </c>
      <c r="J397">
        <v>15</v>
      </c>
      <c r="K397" t="s">
        <v>1922</v>
      </c>
      <c r="L397">
        <v>180</v>
      </c>
      <c r="M397">
        <v>1020</v>
      </c>
      <c r="N397">
        <v>540</v>
      </c>
      <c r="O397">
        <v>480</v>
      </c>
      <c r="P397">
        <v>0.47058823529411797</v>
      </c>
      <c r="Q397">
        <v>0</v>
      </c>
      <c r="R397">
        <v>0</v>
      </c>
      <c r="S397">
        <v>3</v>
      </c>
      <c r="T397">
        <v>1020</v>
      </c>
    </row>
    <row r="398" spans="1:20">
      <c r="A398" t="s">
        <v>551</v>
      </c>
      <c r="B398" s="1">
        <v>45398</v>
      </c>
      <c r="C398">
        <v>16</v>
      </c>
      <c r="D398">
        <v>4</v>
      </c>
      <c r="E398" t="s">
        <v>471</v>
      </c>
      <c r="F398" t="s">
        <v>364</v>
      </c>
      <c r="G398" t="s">
        <v>221</v>
      </c>
      <c r="H398">
        <v>2</v>
      </c>
      <c r="I398">
        <v>960</v>
      </c>
      <c r="J398">
        <v>0</v>
      </c>
      <c r="K398" t="s">
        <v>1946</v>
      </c>
      <c r="L398">
        <v>480</v>
      </c>
      <c r="M398">
        <v>1920</v>
      </c>
      <c r="N398">
        <v>960</v>
      </c>
      <c r="O398">
        <v>960</v>
      </c>
      <c r="P398">
        <v>0.5</v>
      </c>
      <c r="Q398">
        <v>0</v>
      </c>
      <c r="R398">
        <v>0</v>
      </c>
      <c r="S398">
        <v>2</v>
      </c>
      <c r="T398">
        <v>1920</v>
      </c>
    </row>
    <row r="399" spans="1:20">
      <c r="A399" t="s">
        <v>552</v>
      </c>
      <c r="B399" s="1">
        <v>45399</v>
      </c>
      <c r="C399">
        <v>16</v>
      </c>
      <c r="D399">
        <v>4</v>
      </c>
      <c r="E399" t="s">
        <v>471</v>
      </c>
      <c r="F399" t="s">
        <v>31</v>
      </c>
      <c r="G399" t="s">
        <v>23</v>
      </c>
      <c r="H399">
        <v>2</v>
      </c>
      <c r="I399">
        <v>1330</v>
      </c>
      <c r="J399">
        <v>5</v>
      </c>
      <c r="K399" t="s">
        <v>1930</v>
      </c>
      <c r="L399">
        <v>700</v>
      </c>
      <c r="M399">
        <v>2660</v>
      </c>
      <c r="N399">
        <v>1400</v>
      </c>
      <c r="O399">
        <v>1260</v>
      </c>
      <c r="P399">
        <v>0.47368421052631599</v>
      </c>
      <c r="Q399">
        <v>0</v>
      </c>
      <c r="R399">
        <v>0</v>
      </c>
      <c r="S399">
        <v>2</v>
      </c>
      <c r="T399">
        <v>2660</v>
      </c>
    </row>
    <row r="400" spans="1:20">
      <c r="A400" t="s">
        <v>554</v>
      </c>
      <c r="B400" s="1">
        <v>45399</v>
      </c>
      <c r="C400">
        <v>16</v>
      </c>
      <c r="D400">
        <v>4</v>
      </c>
      <c r="E400" t="s">
        <v>471</v>
      </c>
      <c r="F400" t="s">
        <v>119</v>
      </c>
      <c r="G400" t="s">
        <v>14</v>
      </c>
      <c r="H400">
        <v>4</v>
      </c>
      <c r="I400">
        <v>654.5</v>
      </c>
      <c r="J400">
        <v>15</v>
      </c>
      <c r="K400" t="s">
        <v>1920</v>
      </c>
      <c r="L400">
        <v>350</v>
      </c>
      <c r="M400">
        <v>2618</v>
      </c>
      <c r="N400">
        <v>1400</v>
      </c>
      <c r="O400">
        <v>1218</v>
      </c>
      <c r="P400">
        <v>0.46524064171122997</v>
      </c>
      <c r="Q400">
        <v>0</v>
      </c>
      <c r="R400">
        <v>0</v>
      </c>
      <c r="S400">
        <v>4</v>
      </c>
      <c r="T400">
        <v>2618</v>
      </c>
    </row>
    <row r="401" spans="1:20">
      <c r="A401" t="s">
        <v>555</v>
      </c>
      <c r="B401" s="1">
        <v>45399</v>
      </c>
      <c r="C401">
        <v>16</v>
      </c>
      <c r="D401">
        <v>4</v>
      </c>
      <c r="E401" t="s">
        <v>471</v>
      </c>
      <c r="F401" t="s">
        <v>42</v>
      </c>
      <c r="G401" t="s">
        <v>23</v>
      </c>
      <c r="H401">
        <v>4</v>
      </c>
      <c r="I401">
        <v>570</v>
      </c>
      <c r="J401">
        <v>5</v>
      </c>
      <c r="K401" t="s">
        <v>1928</v>
      </c>
      <c r="L401">
        <v>300</v>
      </c>
      <c r="M401">
        <v>2280</v>
      </c>
      <c r="N401">
        <v>1200</v>
      </c>
      <c r="O401">
        <v>1080</v>
      </c>
      <c r="P401">
        <v>0.47368421052631599</v>
      </c>
      <c r="Q401">
        <v>0</v>
      </c>
      <c r="R401">
        <v>0</v>
      </c>
      <c r="S401">
        <v>4</v>
      </c>
      <c r="T401">
        <v>2280</v>
      </c>
    </row>
    <row r="402" spans="1:20">
      <c r="A402" t="s">
        <v>556</v>
      </c>
      <c r="B402" s="1">
        <v>45400</v>
      </c>
      <c r="C402">
        <v>16</v>
      </c>
      <c r="D402">
        <v>4</v>
      </c>
      <c r="E402" t="s">
        <v>471</v>
      </c>
      <c r="F402" t="s">
        <v>28</v>
      </c>
      <c r="G402" t="s">
        <v>26</v>
      </c>
      <c r="H402">
        <v>3</v>
      </c>
      <c r="I402">
        <v>1500</v>
      </c>
      <c r="J402">
        <v>0</v>
      </c>
      <c r="K402" t="s">
        <v>1939</v>
      </c>
      <c r="L402">
        <v>600</v>
      </c>
      <c r="M402">
        <v>4500</v>
      </c>
      <c r="N402">
        <v>1800</v>
      </c>
      <c r="O402">
        <v>2700</v>
      </c>
      <c r="P402">
        <v>0.6</v>
      </c>
      <c r="Q402">
        <v>0</v>
      </c>
      <c r="R402">
        <v>0</v>
      </c>
      <c r="S402">
        <v>3</v>
      </c>
      <c r="T402">
        <v>4500</v>
      </c>
    </row>
    <row r="403" spans="1:20">
      <c r="A403" t="s">
        <v>558</v>
      </c>
      <c r="B403" s="1">
        <v>45400</v>
      </c>
      <c r="C403">
        <v>16</v>
      </c>
      <c r="D403">
        <v>4</v>
      </c>
      <c r="E403" t="s">
        <v>471</v>
      </c>
      <c r="F403" t="s">
        <v>349</v>
      </c>
      <c r="G403" t="s">
        <v>221</v>
      </c>
      <c r="H403">
        <v>1</v>
      </c>
      <c r="I403">
        <v>340</v>
      </c>
      <c r="J403">
        <v>15</v>
      </c>
      <c r="K403" t="s">
        <v>1948</v>
      </c>
      <c r="L403">
        <v>200</v>
      </c>
      <c r="M403">
        <v>340</v>
      </c>
      <c r="N403">
        <v>200</v>
      </c>
      <c r="O403">
        <v>140</v>
      </c>
      <c r="P403">
        <v>0.41176470588235298</v>
      </c>
      <c r="Q403">
        <v>0</v>
      </c>
      <c r="R403">
        <v>0</v>
      </c>
      <c r="S403">
        <v>1</v>
      </c>
      <c r="T403">
        <v>340</v>
      </c>
    </row>
    <row r="404" spans="1:20">
      <c r="A404" t="s">
        <v>559</v>
      </c>
      <c r="B404" s="1">
        <v>45400</v>
      </c>
      <c r="C404">
        <v>16</v>
      </c>
      <c r="D404">
        <v>4</v>
      </c>
      <c r="E404" t="s">
        <v>471</v>
      </c>
      <c r="F404" t="s">
        <v>220</v>
      </c>
      <c r="G404" t="s">
        <v>221</v>
      </c>
      <c r="H404">
        <v>1</v>
      </c>
      <c r="I404">
        <v>540</v>
      </c>
      <c r="J404">
        <v>10</v>
      </c>
      <c r="K404" t="s">
        <v>1947</v>
      </c>
      <c r="L404">
        <v>300</v>
      </c>
      <c r="M404">
        <v>540</v>
      </c>
      <c r="N404">
        <v>300</v>
      </c>
      <c r="O404">
        <v>240</v>
      </c>
      <c r="P404">
        <v>0.44444444444444398</v>
      </c>
      <c r="Q404">
        <v>0</v>
      </c>
      <c r="R404">
        <v>0</v>
      </c>
      <c r="S404">
        <v>1</v>
      </c>
      <c r="T404">
        <v>540</v>
      </c>
    </row>
    <row r="405" spans="1:20">
      <c r="A405" t="s">
        <v>560</v>
      </c>
      <c r="B405" s="1">
        <v>45401</v>
      </c>
      <c r="C405">
        <v>16</v>
      </c>
      <c r="D405">
        <v>4</v>
      </c>
      <c r="E405" t="s">
        <v>471</v>
      </c>
      <c r="F405" t="s">
        <v>119</v>
      </c>
      <c r="G405" t="s">
        <v>14</v>
      </c>
      <c r="H405">
        <v>2</v>
      </c>
      <c r="I405">
        <v>693</v>
      </c>
      <c r="J405">
        <v>10</v>
      </c>
      <c r="K405" t="s">
        <v>1920</v>
      </c>
      <c r="L405">
        <v>350</v>
      </c>
      <c r="M405">
        <v>1386</v>
      </c>
      <c r="N405">
        <v>700</v>
      </c>
      <c r="O405">
        <v>686</v>
      </c>
      <c r="P405">
        <v>0.49494949494949497</v>
      </c>
      <c r="Q405">
        <v>0</v>
      </c>
      <c r="R405">
        <v>0</v>
      </c>
      <c r="S405">
        <v>2</v>
      </c>
      <c r="T405">
        <v>1386</v>
      </c>
    </row>
    <row r="406" spans="1:20">
      <c r="A406" t="s">
        <v>562</v>
      </c>
      <c r="B406" s="1">
        <v>45401</v>
      </c>
      <c r="C406">
        <v>16</v>
      </c>
      <c r="D406">
        <v>4</v>
      </c>
      <c r="E406" t="s">
        <v>471</v>
      </c>
      <c r="F406" t="s">
        <v>119</v>
      </c>
      <c r="G406" t="s">
        <v>14</v>
      </c>
      <c r="H406">
        <v>1</v>
      </c>
      <c r="I406">
        <v>770</v>
      </c>
      <c r="J406">
        <v>0</v>
      </c>
      <c r="K406" t="s">
        <v>1920</v>
      </c>
      <c r="L406">
        <v>350</v>
      </c>
      <c r="M406">
        <v>770</v>
      </c>
      <c r="N406">
        <v>350</v>
      </c>
      <c r="O406">
        <v>420</v>
      </c>
      <c r="P406">
        <v>0.54545454545454497</v>
      </c>
      <c r="Q406">
        <v>0</v>
      </c>
      <c r="R406">
        <v>0</v>
      </c>
      <c r="S406">
        <v>1</v>
      </c>
      <c r="T406">
        <v>770</v>
      </c>
    </row>
    <row r="407" spans="1:20">
      <c r="A407" t="s">
        <v>563</v>
      </c>
      <c r="B407" s="1">
        <v>45402</v>
      </c>
      <c r="C407">
        <v>16</v>
      </c>
      <c r="D407">
        <v>4</v>
      </c>
      <c r="E407" t="s">
        <v>471</v>
      </c>
      <c r="F407" t="s">
        <v>45</v>
      </c>
      <c r="G407" t="s">
        <v>26</v>
      </c>
      <c r="H407">
        <v>5</v>
      </c>
      <c r="I407">
        <v>3825</v>
      </c>
      <c r="J407">
        <v>15</v>
      </c>
      <c r="K407" t="s">
        <v>1938</v>
      </c>
      <c r="L407">
        <v>1800</v>
      </c>
      <c r="M407">
        <v>19125</v>
      </c>
      <c r="N407">
        <v>9000</v>
      </c>
      <c r="O407">
        <v>10125</v>
      </c>
      <c r="P407">
        <v>0.52941176470588203</v>
      </c>
      <c r="Q407">
        <v>0</v>
      </c>
      <c r="R407">
        <v>0</v>
      </c>
      <c r="S407">
        <v>5</v>
      </c>
      <c r="T407">
        <v>19125</v>
      </c>
    </row>
    <row r="408" spans="1:20">
      <c r="A408" t="s">
        <v>565</v>
      </c>
      <c r="B408" s="1">
        <v>45402</v>
      </c>
      <c r="C408">
        <v>16</v>
      </c>
      <c r="D408">
        <v>4</v>
      </c>
      <c r="E408" t="s">
        <v>471</v>
      </c>
      <c r="F408" t="s">
        <v>22</v>
      </c>
      <c r="G408" t="s">
        <v>23</v>
      </c>
      <c r="H408">
        <v>5</v>
      </c>
      <c r="I408">
        <v>450</v>
      </c>
      <c r="J408">
        <v>10</v>
      </c>
      <c r="K408" t="s">
        <v>1929</v>
      </c>
      <c r="L408">
        <v>250</v>
      </c>
      <c r="M408">
        <v>2250</v>
      </c>
      <c r="N408">
        <v>1250</v>
      </c>
      <c r="O408">
        <v>1000</v>
      </c>
      <c r="P408">
        <v>0.44444444444444398</v>
      </c>
      <c r="Q408">
        <v>0</v>
      </c>
      <c r="R408">
        <v>0</v>
      </c>
      <c r="S408">
        <v>5</v>
      </c>
      <c r="T408">
        <v>2250</v>
      </c>
    </row>
    <row r="409" spans="1:20">
      <c r="A409" t="s">
        <v>566</v>
      </c>
      <c r="B409" s="1">
        <v>45402</v>
      </c>
      <c r="C409">
        <v>16</v>
      </c>
      <c r="D409">
        <v>4</v>
      </c>
      <c r="E409" t="s">
        <v>471</v>
      </c>
      <c r="F409" t="s">
        <v>31</v>
      </c>
      <c r="G409" t="s">
        <v>23</v>
      </c>
      <c r="H409">
        <v>3</v>
      </c>
      <c r="I409">
        <v>1190</v>
      </c>
      <c r="J409">
        <v>15</v>
      </c>
      <c r="K409" t="s">
        <v>1930</v>
      </c>
      <c r="L409">
        <v>700</v>
      </c>
      <c r="M409">
        <v>3570</v>
      </c>
      <c r="N409">
        <v>2100</v>
      </c>
      <c r="O409">
        <v>1470</v>
      </c>
      <c r="P409">
        <v>0.41176470588235298</v>
      </c>
      <c r="Q409">
        <v>0</v>
      </c>
      <c r="R409">
        <v>0</v>
      </c>
      <c r="S409">
        <v>3</v>
      </c>
      <c r="T409">
        <v>3570</v>
      </c>
    </row>
    <row r="410" spans="1:20">
      <c r="A410" t="s">
        <v>567</v>
      </c>
      <c r="B410" s="1">
        <v>45402</v>
      </c>
      <c r="C410">
        <v>16</v>
      </c>
      <c r="D410">
        <v>4</v>
      </c>
      <c r="E410" t="s">
        <v>471</v>
      </c>
      <c r="F410" t="s">
        <v>119</v>
      </c>
      <c r="G410" t="s">
        <v>14</v>
      </c>
      <c r="H410">
        <v>5</v>
      </c>
      <c r="I410">
        <v>654.5</v>
      </c>
      <c r="J410">
        <v>15</v>
      </c>
      <c r="K410" t="s">
        <v>1920</v>
      </c>
      <c r="L410">
        <v>350</v>
      </c>
      <c r="M410">
        <v>3272.5</v>
      </c>
      <c r="N410">
        <v>1750</v>
      </c>
      <c r="O410">
        <v>1522.5</v>
      </c>
      <c r="P410">
        <v>0.46524064171122997</v>
      </c>
      <c r="Q410">
        <v>0</v>
      </c>
      <c r="R410">
        <v>0</v>
      </c>
      <c r="S410">
        <v>5</v>
      </c>
      <c r="T410">
        <v>3272.5</v>
      </c>
    </row>
    <row r="411" spans="1:20">
      <c r="A411" t="s">
        <v>568</v>
      </c>
      <c r="B411" s="1">
        <v>45402</v>
      </c>
      <c r="C411">
        <v>16</v>
      </c>
      <c r="D411">
        <v>4</v>
      </c>
      <c r="E411" t="s">
        <v>471</v>
      </c>
      <c r="F411" t="s">
        <v>94</v>
      </c>
      <c r="G411" t="s">
        <v>17</v>
      </c>
      <c r="H411">
        <v>2</v>
      </c>
      <c r="I411">
        <v>1680</v>
      </c>
      <c r="J411">
        <v>0</v>
      </c>
      <c r="K411" t="s">
        <v>1943</v>
      </c>
      <c r="L411">
        <v>800</v>
      </c>
      <c r="M411">
        <v>3360</v>
      </c>
      <c r="N411">
        <v>1600</v>
      </c>
      <c r="O411">
        <v>1760</v>
      </c>
      <c r="P411">
        <v>0.52380952380952395</v>
      </c>
      <c r="Q411">
        <v>0</v>
      </c>
      <c r="R411">
        <v>0</v>
      </c>
      <c r="S411">
        <v>2</v>
      </c>
      <c r="T411">
        <v>3360</v>
      </c>
    </row>
    <row r="412" spans="1:20">
      <c r="A412" t="s">
        <v>569</v>
      </c>
      <c r="B412" s="1">
        <v>45403</v>
      </c>
      <c r="C412">
        <v>16</v>
      </c>
      <c r="D412">
        <v>4</v>
      </c>
      <c r="E412" t="s">
        <v>471</v>
      </c>
      <c r="F412" t="s">
        <v>364</v>
      </c>
      <c r="G412" t="s">
        <v>221</v>
      </c>
      <c r="H412">
        <v>1</v>
      </c>
      <c r="I412">
        <v>864</v>
      </c>
      <c r="J412">
        <v>10</v>
      </c>
      <c r="K412" t="s">
        <v>1946</v>
      </c>
      <c r="L412">
        <v>480</v>
      </c>
      <c r="M412">
        <v>864</v>
      </c>
      <c r="N412">
        <v>480</v>
      </c>
      <c r="O412">
        <v>384</v>
      </c>
      <c r="P412">
        <v>0.44444444444444398</v>
      </c>
      <c r="Q412">
        <v>0</v>
      </c>
      <c r="R412">
        <v>0</v>
      </c>
      <c r="S412">
        <v>1</v>
      </c>
      <c r="T412">
        <v>864</v>
      </c>
    </row>
    <row r="413" spans="1:20">
      <c r="A413" t="s">
        <v>571</v>
      </c>
      <c r="B413" s="1">
        <v>45404</v>
      </c>
      <c r="C413">
        <v>17</v>
      </c>
      <c r="D413">
        <v>4</v>
      </c>
      <c r="E413" t="s">
        <v>471</v>
      </c>
      <c r="F413" t="s">
        <v>16</v>
      </c>
      <c r="G413" t="s">
        <v>17</v>
      </c>
      <c r="H413">
        <v>2</v>
      </c>
      <c r="I413">
        <v>520</v>
      </c>
      <c r="J413">
        <v>0</v>
      </c>
      <c r="K413" t="s">
        <v>1945</v>
      </c>
      <c r="L413">
        <v>250</v>
      </c>
      <c r="M413">
        <v>1040</v>
      </c>
      <c r="N413">
        <v>500</v>
      </c>
      <c r="O413">
        <v>540</v>
      </c>
      <c r="P413">
        <v>0.51923076923076905</v>
      </c>
      <c r="Q413">
        <v>0</v>
      </c>
      <c r="R413">
        <v>0</v>
      </c>
      <c r="S413">
        <v>2</v>
      </c>
      <c r="T413">
        <v>1040</v>
      </c>
    </row>
    <row r="414" spans="1:20">
      <c r="A414" t="s">
        <v>573</v>
      </c>
      <c r="B414" s="1">
        <v>45404</v>
      </c>
      <c r="C414">
        <v>17</v>
      </c>
      <c r="D414">
        <v>4</v>
      </c>
      <c r="E414" t="s">
        <v>471</v>
      </c>
      <c r="F414" t="s">
        <v>16</v>
      </c>
      <c r="G414" t="s">
        <v>17</v>
      </c>
      <c r="H414">
        <v>3</v>
      </c>
      <c r="I414">
        <v>520</v>
      </c>
      <c r="J414">
        <v>0</v>
      </c>
      <c r="K414" t="s">
        <v>1945</v>
      </c>
      <c r="L414">
        <v>250</v>
      </c>
      <c r="M414">
        <v>1560</v>
      </c>
      <c r="N414">
        <v>750</v>
      </c>
      <c r="O414">
        <v>810</v>
      </c>
      <c r="P414">
        <v>0.51923076923076905</v>
      </c>
      <c r="Q414">
        <v>0</v>
      </c>
      <c r="R414">
        <v>0</v>
      </c>
      <c r="S414">
        <v>3</v>
      </c>
      <c r="T414">
        <v>1560</v>
      </c>
    </row>
    <row r="415" spans="1:20">
      <c r="A415" t="s">
        <v>574</v>
      </c>
      <c r="B415" s="1">
        <v>45404</v>
      </c>
      <c r="C415">
        <v>17</v>
      </c>
      <c r="D415">
        <v>4</v>
      </c>
      <c r="E415" t="s">
        <v>471</v>
      </c>
      <c r="F415" t="s">
        <v>51</v>
      </c>
      <c r="G415" t="s">
        <v>26</v>
      </c>
      <c r="H415">
        <v>5</v>
      </c>
      <c r="I415">
        <v>500</v>
      </c>
      <c r="J415">
        <v>0</v>
      </c>
      <c r="K415" t="s">
        <v>1936</v>
      </c>
      <c r="L415">
        <v>200</v>
      </c>
      <c r="M415">
        <v>2500</v>
      </c>
      <c r="N415">
        <v>1000</v>
      </c>
      <c r="O415">
        <v>1500</v>
      </c>
      <c r="P415">
        <v>0.6</v>
      </c>
      <c r="Q415">
        <v>1</v>
      </c>
      <c r="R415">
        <v>1</v>
      </c>
      <c r="S415">
        <v>4</v>
      </c>
      <c r="T415">
        <v>2000</v>
      </c>
    </row>
    <row r="416" spans="1:20">
      <c r="A416" t="s">
        <v>575</v>
      </c>
      <c r="B416" s="1">
        <v>45404</v>
      </c>
      <c r="C416">
        <v>17</v>
      </c>
      <c r="D416">
        <v>4</v>
      </c>
      <c r="E416" t="s">
        <v>471</v>
      </c>
      <c r="F416" t="s">
        <v>80</v>
      </c>
      <c r="G416" t="s">
        <v>14</v>
      </c>
      <c r="H416">
        <v>4</v>
      </c>
      <c r="I416">
        <v>360</v>
      </c>
      <c r="J416">
        <v>10</v>
      </c>
      <c r="K416" t="s">
        <v>1922</v>
      </c>
      <c r="L416">
        <v>180</v>
      </c>
      <c r="M416">
        <v>1440</v>
      </c>
      <c r="N416">
        <v>720</v>
      </c>
      <c r="O416">
        <v>720</v>
      </c>
      <c r="P416">
        <v>0.5</v>
      </c>
      <c r="Q416">
        <v>0</v>
      </c>
      <c r="R416">
        <v>0</v>
      </c>
      <c r="S416">
        <v>4</v>
      </c>
      <c r="T416">
        <v>1440</v>
      </c>
    </row>
    <row r="417" spans="1:20">
      <c r="A417" t="s">
        <v>576</v>
      </c>
      <c r="B417" s="1">
        <v>45404</v>
      </c>
      <c r="C417">
        <v>17</v>
      </c>
      <c r="D417">
        <v>4</v>
      </c>
      <c r="E417" t="s">
        <v>471</v>
      </c>
      <c r="F417" t="s">
        <v>68</v>
      </c>
      <c r="G417" t="s">
        <v>26</v>
      </c>
      <c r="H417">
        <v>3</v>
      </c>
      <c r="I417">
        <v>323</v>
      </c>
      <c r="J417">
        <v>15</v>
      </c>
      <c r="K417" t="s">
        <v>1937</v>
      </c>
      <c r="L417">
        <v>150</v>
      </c>
      <c r="M417">
        <v>969</v>
      </c>
      <c r="N417">
        <v>450</v>
      </c>
      <c r="O417">
        <v>519</v>
      </c>
      <c r="P417">
        <v>0.53560371517027905</v>
      </c>
      <c r="Q417">
        <v>0</v>
      </c>
      <c r="R417">
        <v>0</v>
      </c>
      <c r="S417">
        <v>3</v>
      </c>
      <c r="T417">
        <v>969</v>
      </c>
    </row>
    <row r="418" spans="1:20">
      <c r="A418" t="s">
        <v>577</v>
      </c>
      <c r="B418" s="1">
        <v>45405</v>
      </c>
      <c r="C418">
        <v>17</v>
      </c>
      <c r="D418">
        <v>4</v>
      </c>
      <c r="E418" t="s">
        <v>471</v>
      </c>
      <c r="F418" t="s">
        <v>364</v>
      </c>
      <c r="G418" t="s">
        <v>221</v>
      </c>
      <c r="H418">
        <v>5</v>
      </c>
      <c r="I418">
        <v>960</v>
      </c>
      <c r="J418">
        <v>0</v>
      </c>
      <c r="K418" t="s">
        <v>1946</v>
      </c>
      <c r="L418">
        <v>480</v>
      </c>
      <c r="M418">
        <v>4800</v>
      </c>
      <c r="N418">
        <v>2400</v>
      </c>
      <c r="O418">
        <v>2400</v>
      </c>
      <c r="P418">
        <v>0.5</v>
      </c>
      <c r="Q418">
        <v>0</v>
      </c>
      <c r="R418">
        <v>0</v>
      </c>
      <c r="S418">
        <v>5</v>
      </c>
      <c r="T418">
        <v>4800</v>
      </c>
    </row>
    <row r="419" spans="1:20">
      <c r="A419" t="s">
        <v>579</v>
      </c>
      <c r="B419" s="1">
        <v>45405</v>
      </c>
      <c r="C419">
        <v>17</v>
      </c>
      <c r="D419">
        <v>4</v>
      </c>
      <c r="E419" t="s">
        <v>471</v>
      </c>
      <c r="F419" t="s">
        <v>220</v>
      </c>
      <c r="G419" t="s">
        <v>221</v>
      </c>
      <c r="H419">
        <v>2</v>
      </c>
      <c r="I419">
        <v>510</v>
      </c>
      <c r="J419">
        <v>15</v>
      </c>
      <c r="K419" t="s">
        <v>1947</v>
      </c>
      <c r="L419">
        <v>300</v>
      </c>
      <c r="M419">
        <v>1020</v>
      </c>
      <c r="N419">
        <v>600</v>
      </c>
      <c r="O419">
        <v>420</v>
      </c>
      <c r="P419">
        <v>0.41176470588235298</v>
      </c>
      <c r="Q419">
        <v>0</v>
      </c>
      <c r="R419">
        <v>0</v>
      </c>
      <c r="S419">
        <v>2</v>
      </c>
      <c r="T419">
        <v>1020</v>
      </c>
    </row>
    <row r="420" spans="1:20">
      <c r="A420" t="s">
        <v>580</v>
      </c>
      <c r="B420" s="1">
        <v>45405</v>
      </c>
      <c r="C420">
        <v>17</v>
      </c>
      <c r="D420">
        <v>4</v>
      </c>
      <c r="E420" t="s">
        <v>471</v>
      </c>
      <c r="F420" t="s">
        <v>28</v>
      </c>
      <c r="G420" t="s">
        <v>26</v>
      </c>
      <c r="H420">
        <v>5</v>
      </c>
      <c r="I420">
        <v>1500</v>
      </c>
      <c r="J420">
        <v>0</v>
      </c>
      <c r="K420" t="s">
        <v>1939</v>
      </c>
      <c r="L420">
        <v>600</v>
      </c>
      <c r="M420">
        <v>7500</v>
      </c>
      <c r="N420">
        <v>3000</v>
      </c>
      <c r="O420">
        <v>4500</v>
      </c>
      <c r="P420">
        <v>0.6</v>
      </c>
      <c r="Q420">
        <v>0</v>
      </c>
      <c r="R420">
        <v>0</v>
      </c>
      <c r="S420">
        <v>5</v>
      </c>
      <c r="T420">
        <v>7500</v>
      </c>
    </row>
    <row r="421" spans="1:20">
      <c r="A421" t="s">
        <v>581</v>
      </c>
      <c r="B421" s="1">
        <v>45405</v>
      </c>
      <c r="C421">
        <v>17</v>
      </c>
      <c r="D421">
        <v>4</v>
      </c>
      <c r="E421" t="s">
        <v>471</v>
      </c>
      <c r="F421" t="s">
        <v>25</v>
      </c>
      <c r="G421" t="s">
        <v>26</v>
      </c>
      <c r="H421">
        <v>5</v>
      </c>
      <c r="I421">
        <v>1000</v>
      </c>
      <c r="J421">
        <v>0</v>
      </c>
      <c r="K421" t="s">
        <v>1940</v>
      </c>
      <c r="L421">
        <v>400</v>
      </c>
      <c r="M421">
        <v>5000</v>
      </c>
      <c r="N421">
        <v>2000</v>
      </c>
      <c r="O421">
        <v>3000</v>
      </c>
      <c r="P421">
        <v>0.6</v>
      </c>
      <c r="Q421">
        <v>0</v>
      </c>
      <c r="R421">
        <v>0</v>
      </c>
      <c r="S421">
        <v>5</v>
      </c>
      <c r="T421">
        <v>5000</v>
      </c>
    </row>
    <row r="422" spans="1:20">
      <c r="A422" t="s">
        <v>582</v>
      </c>
      <c r="B422" s="1">
        <v>45405</v>
      </c>
      <c r="C422">
        <v>17</v>
      </c>
      <c r="D422">
        <v>4</v>
      </c>
      <c r="E422" t="s">
        <v>471</v>
      </c>
      <c r="F422" t="s">
        <v>64</v>
      </c>
      <c r="G422" t="s">
        <v>14</v>
      </c>
      <c r="H422">
        <v>5</v>
      </c>
      <c r="I422">
        <v>2640</v>
      </c>
      <c r="J422">
        <v>0</v>
      </c>
      <c r="K422" t="s">
        <v>1923</v>
      </c>
      <c r="L422">
        <v>1200</v>
      </c>
      <c r="M422">
        <v>13200</v>
      </c>
      <c r="N422">
        <v>6000</v>
      </c>
      <c r="O422">
        <v>7200</v>
      </c>
      <c r="P422">
        <v>0.54545454545454497</v>
      </c>
      <c r="Q422">
        <v>0</v>
      </c>
      <c r="R422">
        <v>0</v>
      </c>
      <c r="S422">
        <v>5</v>
      </c>
      <c r="T422">
        <v>13200</v>
      </c>
    </row>
    <row r="423" spans="1:20">
      <c r="A423" t="s">
        <v>583</v>
      </c>
      <c r="B423" s="1">
        <v>45405</v>
      </c>
      <c r="C423">
        <v>17</v>
      </c>
      <c r="D423">
        <v>4</v>
      </c>
      <c r="E423" t="s">
        <v>471</v>
      </c>
      <c r="F423" t="s">
        <v>39</v>
      </c>
      <c r="G423" t="s">
        <v>14</v>
      </c>
      <c r="H423">
        <v>4</v>
      </c>
      <c r="I423">
        <v>880</v>
      </c>
      <c r="J423">
        <v>0</v>
      </c>
      <c r="K423" t="s">
        <v>1921</v>
      </c>
      <c r="L423">
        <v>400</v>
      </c>
      <c r="M423">
        <v>3520</v>
      </c>
      <c r="N423">
        <v>1600</v>
      </c>
      <c r="O423">
        <v>1920</v>
      </c>
      <c r="P423">
        <v>0.54545454545454497</v>
      </c>
      <c r="Q423">
        <v>0</v>
      </c>
      <c r="R423">
        <v>0</v>
      </c>
      <c r="S423">
        <v>4</v>
      </c>
      <c r="T423">
        <v>3520</v>
      </c>
    </row>
    <row r="424" spans="1:20">
      <c r="A424" t="s">
        <v>584</v>
      </c>
      <c r="B424" s="1">
        <v>45406</v>
      </c>
      <c r="C424">
        <v>17</v>
      </c>
      <c r="D424">
        <v>4</v>
      </c>
      <c r="E424" t="s">
        <v>471</v>
      </c>
      <c r="F424" t="s">
        <v>187</v>
      </c>
      <c r="G424" t="s">
        <v>14</v>
      </c>
      <c r="H424">
        <v>5</v>
      </c>
      <c r="I424">
        <v>4400</v>
      </c>
      <c r="J424">
        <v>0</v>
      </c>
      <c r="K424" t="s">
        <v>1924</v>
      </c>
      <c r="L424">
        <v>2000</v>
      </c>
      <c r="M424">
        <v>22000</v>
      </c>
      <c r="N424">
        <v>10000</v>
      </c>
      <c r="O424">
        <v>12000</v>
      </c>
      <c r="P424">
        <v>0.54545454545454497</v>
      </c>
      <c r="Q424">
        <v>5</v>
      </c>
      <c r="R424">
        <v>5</v>
      </c>
      <c r="S424">
        <v>0</v>
      </c>
      <c r="T424">
        <v>0</v>
      </c>
    </row>
    <row r="425" spans="1:20">
      <c r="A425" t="s">
        <v>586</v>
      </c>
      <c r="B425" s="1">
        <v>45406</v>
      </c>
      <c r="C425">
        <v>17</v>
      </c>
      <c r="D425">
        <v>4</v>
      </c>
      <c r="E425" t="s">
        <v>471</v>
      </c>
      <c r="F425" t="s">
        <v>220</v>
      </c>
      <c r="G425" t="s">
        <v>221</v>
      </c>
      <c r="H425">
        <v>1</v>
      </c>
      <c r="I425">
        <v>540</v>
      </c>
      <c r="J425">
        <v>10</v>
      </c>
      <c r="K425" t="s">
        <v>1947</v>
      </c>
      <c r="L425">
        <v>300</v>
      </c>
      <c r="M425">
        <v>540</v>
      </c>
      <c r="N425">
        <v>300</v>
      </c>
      <c r="O425">
        <v>240</v>
      </c>
      <c r="P425">
        <v>0.44444444444444398</v>
      </c>
      <c r="Q425">
        <v>1</v>
      </c>
      <c r="R425">
        <v>1</v>
      </c>
      <c r="S425">
        <v>0</v>
      </c>
      <c r="T425">
        <v>0</v>
      </c>
    </row>
    <row r="426" spans="1:20">
      <c r="A426" t="s">
        <v>587</v>
      </c>
      <c r="B426" s="1">
        <v>45406</v>
      </c>
      <c r="C426">
        <v>17</v>
      </c>
      <c r="D426">
        <v>4</v>
      </c>
      <c r="E426" t="s">
        <v>471</v>
      </c>
      <c r="F426" t="s">
        <v>31</v>
      </c>
      <c r="G426" t="s">
        <v>23</v>
      </c>
      <c r="H426">
        <v>2</v>
      </c>
      <c r="I426">
        <v>1260</v>
      </c>
      <c r="J426">
        <v>10</v>
      </c>
      <c r="K426" t="s">
        <v>1930</v>
      </c>
      <c r="L426">
        <v>700</v>
      </c>
      <c r="M426">
        <v>2520</v>
      </c>
      <c r="N426">
        <v>1400</v>
      </c>
      <c r="O426">
        <v>1120</v>
      </c>
      <c r="P426">
        <v>0.44444444444444398</v>
      </c>
      <c r="Q426">
        <v>0</v>
      </c>
      <c r="R426">
        <v>0</v>
      </c>
      <c r="S426">
        <v>2</v>
      </c>
      <c r="T426">
        <v>2520</v>
      </c>
    </row>
    <row r="427" spans="1:20">
      <c r="A427" t="s">
        <v>588</v>
      </c>
      <c r="B427" s="1">
        <v>45406</v>
      </c>
      <c r="C427">
        <v>17</v>
      </c>
      <c r="D427">
        <v>4</v>
      </c>
      <c r="E427" t="s">
        <v>471</v>
      </c>
      <c r="F427" t="s">
        <v>51</v>
      </c>
      <c r="G427" t="s">
        <v>26</v>
      </c>
      <c r="H427">
        <v>3</v>
      </c>
      <c r="I427">
        <v>475</v>
      </c>
      <c r="J427">
        <v>5</v>
      </c>
      <c r="K427" t="s">
        <v>1936</v>
      </c>
      <c r="L427">
        <v>200</v>
      </c>
      <c r="M427">
        <v>1425</v>
      </c>
      <c r="N427">
        <v>600</v>
      </c>
      <c r="O427">
        <v>825</v>
      </c>
      <c r="P427">
        <v>0.57894736842105299</v>
      </c>
      <c r="Q427">
        <v>0</v>
      </c>
      <c r="R427">
        <v>0</v>
      </c>
      <c r="S427">
        <v>3</v>
      </c>
      <c r="T427">
        <v>1425</v>
      </c>
    </row>
    <row r="428" spans="1:20">
      <c r="A428" t="s">
        <v>589</v>
      </c>
      <c r="B428" s="1">
        <v>45407</v>
      </c>
      <c r="C428">
        <v>17</v>
      </c>
      <c r="D428">
        <v>4</v>
      </c>
      <c r="E428" t="s">
        <v>471</v>
      </c>
      <c r="F428" t="s">
        <v>187</v>
      </c>
      <c r="G428" t="s">
        <v>14</v>
      </c>
      <c r="H428">
        <v>4</v>
      </c>
      <c r="I428">
        <v>4400</v>
      </c>
      <c r="J428">
        <v>0</v>
      </c>
      <c r="K428" t="s">
        <v>1924</v>
      </c>
      <c r="L428">
        <v>2000</v>
      </c>
      <c r="M428">
        <v>17600</v>
      </c>
      <c r="N428">
        <v>8000</v>
      </c>
      <c r="O428">
        <v>9600</v>
      </c>
      <c r="P428">
        <v>0.54545454545454497</v>
      </c>
      <c r="Q428">
        <v>4</v>
      </c>
      <c r="R428">
        <v>4</v>
      </c>
      <c r="S428">
        <v>0</v>
      </c>
      <c r="T428">
        <v>0</v>
      </c>
    </row>
    <row r="429" spans="1:20">
      <c r="A429" t="s">
        <v>591</v>
      </c>
      <c r="B429" s="1">
        <v>45407</v>
      </c>
      <c r="C429">
        <v>17</v>
      </c>
      <c r="D429">
        <v>4</v>
      </c>
      <c r="E429" t="s">
        <v>471</v>
      </c>
      <c r="F429" t="s">
        <v>68</v>
      </c>
      <c r="G429" t="s">
        <v>26</v>
      </c>
      <c r="H429">
        <v>2</v>
      </c>
      <c r="I429">
        <v>361</v>
      </c>
      <c r="J429">
        <v>5</v>
      </c>
      <c r="K429" t="s">
        <v>1937</v>
      </c>
      <c r="L429">
        <v>150</v>
      </c>
      <c r="M429">
        <v>722</v>
      </c>
      <c r="N429">
        <v>300</v>
      </c>
      <c r="O429">
        <v>422</v>
      </c>
      <c r="P429">
        <v>0.58448753462603897</v>
      </c>
      <c r="Q429">
        <v>0</v>
      </c>
      <c r="R429">
        <v>0</v>
      </c>
      <c r="S429">
        <v>2</v>
      </c>
      <c r="T429">
        <v>722</v>
      </c>
    </row>
    <row r="430" spans="1:20">
      <c r="A430" t="s">
        <v>592</v>
      </c>
      <c r="B430" s="1">
        <v>45407</v>
      </c>
      <c r="C430">
        <v>17</v>
      </c>
      <c r="D430">
        <v>4</v>
      </c>
      <c r="E430" t="s">
        <v>471</v>
      </c>
      <c r="F430" t="s">
        <v>45</v>
      </c>
      <c r="G430" t="s">
        <v>26</v>
      </c>
      <c r="H430">
        <v>2</v>
      </c>
      <c r="I430">
        <v>4500</v>
      </c>
      <c r="J430">
        <v>0</v>
      </c>
      <c r="K430" t="s">
        <v>1938</v>
      </c>
      <c r="L430">
        <v>1800</v>
      </c>
      <c r="M430">
        <v>9000</v>
      </c>
      <c r="N430">
        <v>3600</v>
      </c>
      <c r="O430">
        <v>5400</v>
      </c>
      <c r="P430">
        <v>0.6</v>
      </c>
      <c r="Q430">
        <v>1</v>
      </c>
      <c r="R430">
        <v>1</v>
      </c>
      <c r="S430">
        <v>1</v>
      </c>
      <c r="T430">
        <v>4500</v>
      </c>
    </row>
    <row r="431" spans="1:20">
      <c r="A431" t="s">
        <v>593</v>
      </c>
      <c r="B431" s="1">
        <v>45407</v>
      </c>
      <c r="C431">
        <v>17</v>
      </c>
      <c r="D431">
        <v>4</v>
      </c>
      <c r="E431" t="s">
        <v>471</v>
      </c>
      <c r="F431" t="s">
        <v>97</v>
      </c>
      <c r="G431" t="s">
        <v>20</v>
      </c>
      <c r="H431">
        <v>5</v>
      </c>
      <c r="I431">
        <v>1980</v>
      </c>
      <c r="J431">
        <v>0</v>
      </c>
      <c r="K431" t="s">
        <v>1932</v>
      </c>
      <c r="L431">
        <v>1100</v>
      </c>
      <c r="M431">
        <v>9900</v>
      </c>
      <c r="N431">
        <v>5500</v>
      </c>
      <c r="O431">
        <v>4400</v>
      </c>
      <c r="P431">
        <v>0.44444444444444398</v>
      </c>
      <c r="Q431">
        <v>0</v>
      </c>
      <c r="R431">
        <v>0</v>
      </c>
      <c r="S431">
        <v>5</v>
      </c>
      <c r="T431">
        <v>9900</v>
      </c>
    </row>
    <row r="432" spans="1:20">
      <c r="A432" t="s">
        <v>594</v>
      </c>
      <c r="B432" s="1">
        <v>45408</v>
      </c>
      <c r="C432">
        <v>17</v>
      </c>
      <c r="D432">
        <v>4</v>
      </c>
      <c r="E432" t="s">
        <v>471</v>
      </c>
      <c r="F432" t="s">
        <v>25</v>
      </c>
      <c r="G432" t="s">
        <v>26</v>
      </c>
      <c r="H432">
        <v>2</v>
      </c>
      <c r="I432">
        <v>950</v>
      </c>
      <c r="J432">
        <v>5</v>
      </c>
      <c r="K432" t="s">
        <v>1940</v>
      </c>
      <c r="L432">
        <v>400</v>
      </c>
      <c r="M432">
        <v>1900</v>
      </c>
      <c r="N432">
        <v>800</v>
      </c>
      <c r="O432">
        <v>1100</v>
      </c>
      <c r="P432">
        <v>0.57894736842105299</v>
      </c>
      <c r="Q432">
        <v>0</v>
      </c>
      <c r="R432">
        <v>0</v>
      </c>
      <c r="S432">
        <v>2</v>
      </c>
      <c r="T432">
        <v>1900</v>
      </c>
    </row>
    <row r="433" spans="1:20">
      <c r="A433" t="s">
        <v>596</v>
      </c>
      <c r="B433" s="1">
        <v>45408</v>
      </c>
      <c r="C433">
        <v>17</v>
      </c>
      <c r="D433">
        <v>4</v>
      </c>
      <c r="E433" t="s">
        <v>471</v>
      </c>
      <c r="F433" t="s">
        <v>35</v>
      </c>
      <c r="G433" t="s">
        <v>17</v>
      </c>
      <c r="H433">
        <v>3</v>
      </c>
      <c r="I433">
        <v>2835</v>
      </c>
      <c r="J433">
        <v>10</v>
      </c>
      <c r="K433" t="s">
        <v>1942</v>
      </c>
      <c r="L433">
        <v>1500</v>
      </c>
      <c r="M433">
        <v>8505</v>
      </c>
      <c r="N433">
        <v>4500</v>
      </c>
      <c r="O433">
        <v>4005</v>
      </c>
      <c r="P433">
        <v>0.47089947089947098</v>
      </c>
      <c r="Q433">
        <v>0</v>
      </c>
      <c r="R433">
        <v>0</v>
      </c>
      <c r="S433">
        <v>3</v>
      </c>
      <c r="T433">
        <v>8505</v>
      </c>
    </row>
    <row r="434" spans="1:20">
      <c r="A434" t="s">
        <v>597</v>
      </c>
      <c r="B434" s="1">
        <v>45408</v>
      </c>
      <c r="C434">
        <v>17</v>
      </c>
      <c r="D434">
        <v>4</v>
      </c>
      <c r="E434" t="s">
        <v>471</v>
      </c>
      <c r="F434" t="s">
        <v>13</v>
      </c>
      <c r="G434" t="s">
        <v>14</v>
      </c>
      <c r="H434">
        <v>5</v>
      </c>
      <c r="I434">
        <v>432</v>
      </c>
      <c r="J434">
        <v>10</v>
      </c>
      <c r="K434" t="s">
        <v>1925</v>
      </c>
      <c r="L434">
        <v>220</v>
      </c>
      <c r="M434">
        <v>2160</v>
      </c>
      <c r="N434">
        <v>1100</v>
      </c>
      <c r="O434">
        <v>1060</v>
      </c>
      <c r="P434">
        <v>0.49074074074074098</v>
      </c>
      <c r="Q434">
        <v>1</v>
      </c>
      <c r="R434">
        <v>1</v>
      </c>
      <c r="S434">
        <v>4</v>
      </c>
      <c r="T434">
        <v>1728</v>
      </c>
    </row>
    <row r="435" spans="1:20">
      <c r="A435" t="s">
        <v>598</v>
      </c>
      <c r="B435" s="1">
        <v>45408</v>
      </c>
      <c r="C435">
        <v>17</v>
      </c>
      <c r="D435">
        <v>4</v>
      </c>
      <c r="E435" t="s">
        <v>471</v>
      </c>
      <c r="F435" t="s">
        <v>45</v>
      </c>
      <c r="G435" t="s">
        <v>26</v>
      </c>
      <c r="H435">
        <v>2</v>
      </c>
      <c r="I435">
        <v>3825</v>
      </c>
      <c r="J435">
        <v>15</v>
      </c>
      <c r="K435" t="s">
        <v>1938</v>
      </c>
      <c r="L435">
        <v>1800</v>
      </c>
      <c r="M435">
        <v>7650</v>
      </c>
      <c r="N435">
        <v>3600</v>
      </c>
      <c r="O435">
        <v>4050</v>
      </c>
      <c r="P435">
        <v>0.52941176470588203</v>
      </c>
      <c r="Q435">
        <v>2</v>
      </c>
      <c r="R435">
        <v>2</v>
      </c>
      <c r="S435">
        <v>0</v>
      </c>
      <c r="T435">
        <v>0</v>
      </c>
    </row>
    <row r="436" spans="1:20">
      <c r="A436" t="s">
        <v>599</v>
      </c>
      <c r="B436" s="1">
        <v>45408</v>
      </c>
      <c r="C436">
        <v>17</v>
      </c>
      <c r="D436">
        <v>4</v>
      </c>
      <c r="E436" t="s">
        <v>471</v>
      </c>
      <c r="F436" t="s">
        <v>364</v>
      </c>
      <c r="G436" t="s">
        <v>221</v>
      </c>
      <c r="H436">
        <v>1</v>
      </c>
      <c r="I436">
        <v>816</v>
      </c>
      <c r="J436">
        <v>15</v>
      </c>
      <c r="K436" t="s">
        <v>1946</v>
      </c>
      <c r="L436">
        <v>480</v>
      </c>
      <c r="M436">
        <v>816</v>
      </c>
      <c r="N436">
        <v>480</v>
      </c>
      <c r="O436">
        <v>336</v>
      </c>
      <c r="P436">
        <v>0.41176470588235298</v>
      </c>
      <c r="Q436">
        <v>0</v>
      </c>
      <c r="R436">
        <v>0</v>
      </c>
      <c r="S436">
        <v>1</v>
      </c>
      <c r="T436">
        <v>816</v>
      </c>
    </row>
    <row r="437" spans="1:20">
      <c r="A437" t="s">
        <v>600</v>
      </c>
      <c r="B437" s="1">
        <v>45408</v>
      </c>
      <c r="C437">
        <v>17</v>
      </c>
      <c r="D437">
        <v>4</v>
      </c>
      <c r="E437" t="s">
        <v>471</v>
      </c>
      <c r="F437" t="s">
        <v>349</v>
      </c>
      <c r="G437" t="s">
        <v>221</v>
      </c>
      <c r="H437">
        <v>5</v>
      </c>
      <c r="I437">
        <v>380</v>
      </c>
      <c r="J437">
        <v>5</v>
      </c>
      <c r="K437" t="s">
        <v>1948</v>
      </c>
      <c r="L437">
        <v>200</v>
      </c>
      <c r="M437">
        <v>1900</v>
      </c>
      <c r="N437">
        <v>1000</v>
      </c>
      <c r="O437">
        <v>900</v>
      </c>
      <c r="P437">
        <v>0.47368421052631599</v>
      </c>
      <c r="Q437">
        <v>0</v>
      </c>
      <c r="R437">
        <v>0</v>
      </c>
      <c r="S437">
        <v>5</v>
      </c>
      <c r="T437">
        <v>1900</v>
      </c>
    </row>
    <row r="438" spans="1:20">
      <c r="A438" t="s">
        <v>601</v>
      </c>
      <c r="B438" s="1">
        <v>45409</v>
      </c>
      <c r="C438">
        <v>17</v>
      </c>
      <c r="D438">
        <v>4</v>
      </c>
      <c r="E438" t="s">
        <v>471</v>
      </c>
      <c r="F438" t="s">
        <v>364</v>
      </c>
      <c r="G438" t="s">
        <v>221</v>
      </c>
      <c r="H438">
        <v>5</v>
      </c>
      <c r="I438">
        <v>960</v>
      </c>
      <c r="J438">
        <v>0</v>
      </c>
      <c r="K438" t="s">
        <v>1946</v>
      </c>
      <c r="L438">
        <v>480</v>
      </c>
      <c r="M438">
        <v>4800</v>
      </c>
      <c r="N438">
        <v>2400</v>
      </c>
      <c r="O438">
        <v>2400</v>
      </c>
      <c r="P438">
        <v>0.5</v>
      </c>
      <c r="Q438">
        <v>0</v>
      </c>
      <c r="R438">
        <v>0</v>
      </c>
      <c r="S438">
        <v>5</v>
      </c>
      <c r="T438">
        <v>4800</v>
      </c>
    </row>
    <row r="439" spans="1:20">
      <c r="A439" t="s">
        <v>603</v>
      </c>
      <c r="B439" s="1">
        <v>45409</v>
      </c>
      <c r="C439">
        <v>17</v>
      </c>
      <c r="D439">
        <v>4</v>
      </c>
      <c r="E439" t="s">
        <v>471</v>
      </c>
      <c r="F439" t="s">
        <v>42</v>
      </c>
      <c r="G439" t="s">
        <v>23</v>
      </c>
      <c r="H439">
        <v>4</v>
      </c>
      <c r="I439">
        <v>510</v>
      </c>
      <c r="J439">
        <v>15</v>
      </c>
      <c r="K439" t="s">
        <v>1928</v>
      </c>
      <c r="L439">
        <v>300</v>
      </c>
      <c r="M439">
        <v>2040</v>
      </c>
      <c r="N439">
        <v>1200</v>
      </c>
      <c r="O439">
        <v>840</v>
      </c>
      <c r="P439">
        <v>0.41176470588235298</v>
      </c>
      <c r="Q439">
        <v>0</v>
      </c>
      <c r="R439">
        <v>0</v>
      </c>
      <c r="S439">
        <v>4</v>
      </c>
      <c r="T439">
        <v>2040</v>
      </c>
    </row>
    <row r="440" spans="1:20">
      <c r="A440" t="s">
        <v>604</v>
      </c>
      <c r="B440" s="1">
        <v>45409</v>
      </c>
      <c r="C440">
        <v>17</v>
      </c>
      <c r="D440">
        <v>4</v>
      </c>
      <c r="E440" t="s">
        <v>471</v>
      </c>
      <c r="F440" t="s">
        <v>51</v>
      </c>
      <c r="G440" t="s">
        <v>26</v>
      </c>
      <c r="H440">
        <v>3</v>
      </c>
      <c r="I440">
        <v>475</v>
      </c>
      <c r="J440">
        <v>5</v>
      </c>
      <c r="K440" t="s">
        <v>1936</v>
      </c>
      <c r="L440">
        <v>200</v>
      </c>
      <c r="M440">
        <v>1425</v>
      </c>
      <c r="N440">
        <v>600</v>
      </c>
      <c r="O440">
        <v>825</v>
      </c>
      <c r="P440">
        <v>0.57894736842105299</v>
      </c>
      <c r="Q440">
        <v>0</v>
      </c>
      <c r="R440">
        <v>0</v>
      </c>
      <c r="S440">
        <v>3</v>
      </c>
      <c r="T440">
        <v>1425</v>
      </c>
    </row>
    <row r="441" spans="1:20">
      <c r="A441" t="s">
        <v>605</v>
      </c>
      <c r="B441" s="1">
        <v>45409</v>
      </c>
      <c r="C441">
        <v>17</v>
      </c>
      <c r="D441">
        <v>4</v>
      </c>
      <c r="E441" t="s">
        <v>471</v>
      </c>
      <c r="F441" t="s">
        <v>86</v>
      </c>
      <c r="G441" t="s">
        <v>17</v>
      </c>
      <c r="H441">
        <v>1</v>
      </c>
      <c r="I441">
        <v>893</v>
      </c>
      <c r="J441">
        <v>5</v>
      </c>
      <c r="K441" t="s">
        <v>1944</v>
      </c>
      <c r="L441">
        <v>450</v>
      </c>
      <c r="M441">
        <v>893</v>
      </c>
      <c r="N441">
        <v>450</v>
      </c>
      <c r="O441">
        <v>443</v>
      </c>
      <c r="P441">
        <v>0.496080627099664</v>
      </c>
      <c r="Q441">
        <v>1</v>
      </c>
      <c r="R441">
        <v>1</v>
      </c>
      <c r="S441">
        <v>0</v>
      </c>
      <c r="T441">
        <v>0</v>
      </c>
    </row>
    <row r="442" spans="1:20">
      <c r="A442" t="s">
        <v>606</v>
      </c>
      <c r="B442" s="1">
        <v>45409</v>
      </c>
      <c r="C442">
        <v>17</v>
      </c>
      <c r="D442">
        <v>4</v>
      </c>
      <c r="E442" t="s">
        <v>471</v>
      </c>
      <c r="F442" t="s">
        <v>115</v>
      </c>
      <c r="G442" t="s">
        <v>23</v>
      </c>
      <c r="H442">
        <v>2</v>
      </c>
      <c r="I442">
        <v>1200</v>
      </c>
      <c r="J442">
        <v>0</v>
      </c>
      <c r="K442" t="s">
        <v>1926</v>
      </c>
      <c r="L442">
        <v>600</v>
      </c>
      <c r="M442">
        <v>2400</v>
      </c>
      <c r="N442">
        <v>1200</v>
      </c>
      <c r="O442">
        <v>1200</v>
      </c>
      <c r="P442">
        <v>0.5</v>
      </c>
      <c r="Q442">
        <v>0</v>
      </c>
      <c r="R442">
        <v>0</v>
      </c>
      <c r="S442">
        <v>2</v>
      </c>
      <c r="T442">
        <v>2400</v>
      </c>
    </row>
    <row r="443" spans="1:20">
      <c r="A443" t="s">
        <v>607</v>
      </c>
      <c r="B443" s="1">
        <v>45410</v>
      </c>
      <c r="C443">
        <v>17</v>
      </c>
      <c r="D443">
        <v>4</v>
      </c>
      <c r="E443" t="s">
        <v>471</v>
      </c>
      <c r="F443" t="s">
        <v>35</v>
      </c>
      <c r="G443" t="s">
        <v>17</v>
      </c>
      <c r="H443">
        <v>2</v>
      </c>
      <c r="I443">
        <v>2992.5</v>
      </c>
      <c r="J443">
        <v>5</v>
      </c>
      <c r="K443" t="s">
        <v>1942</v>
      </c>
      <c r="L443">
        <v>1500</v>
      </c>
      <c r="M443">
        <v>5985</v>
      </c>
      <c r="N443">
        <v>3000</v>
      </c>
      <c r="O443">
        <v>2985</v>
      </c>
      <c r="P443">
        <v>0.49874686716791999</v>
      </c>
      <c r="Q443">
        <v>0</v>
      </c>
      <c r="R443">
        <v>0</v>
      </c>
      <c r="S443">
        <v>2</v>
      </c>
      <c r="T443">
        <v>5985</v>
      </c>
    </row>
    <row r="444" spans="1:20">
      <c r="A444" t="s">
        <v>609</v>
      </c>
      <c r="B444" s="1">
        <v>45410</v>
      </c>
      <c r="C444">
        <v>17</v>
      </c>
      <c r="D444">
        <v>4</v>
      </c>
      <c r="E444" t="s">
        <v>471</v>
      </c>
      <c r="F444" t="s">
        <v>220</v>
      </c>
      <c r="G444" t="s">
        <v>221</v>
      </c>
      <c r="H444">
        <v>3</v>
      </c>
      <c r="I444">
        <v>540</v>
      </c>
      <c r="J444">
        <v>10</v>
      </c>
      <c r="K444" t="s">
        <v>1947</v>
      </c>
      <c r="L444">
        <v>300</v>
      </c>
      <c r="M444">
        <v>1620</v>
      </c>
      <c r="N444">
        <v>900</v>
      </c>
      <c r="O444">
        <v>720</v>
      </c>
      <c r="P444">
        <v>0.44444444444444398</v>
      </c>
      <c r="Q444">
        <v>0</v>
      </c>
      <c r="R444">
        <v>0</v>
      </c>
      <c r="S444">
        <v>3</v>
      </c>
      <c r="T444">
        <v>1620</v>
      </c>
    </row>
    <row r="445" spans="1:20">
      <c r="A445" t="s">
        <v>610</v>
      </c>
      <c r="B445" s="1">
        <v>45410</v>
      </c>
      <c r="C445">
        <v>17</v>
      </c>
      <c r="D445">
        <v>4</v>
      </c>
      <c r="E445" t="s">
        <v>471</v>
      </c>
      <c r="F445" t="s">
        <v>146</v>
      </c>
      <c r="G445" t="s">
        <v>20</v>
      </c>
      <c r="H445">
        <v>4</v>
      </c>
      <c r="I445">
        <v>598.5</v>
      </c>
      <c r="J445">
        <v>5</v>
      </c>
      <c r="K445" t="s">
        <v>1934</v>
      </c>
      <c r="L445">
        <v>350</v>
      </c>
      <c r="M445">
        <v>2394</v>
      </c>
      <c r="N445">
        <v>1400</v>
      </c>
      <c r="O445">
        <v>994</v>
      </c>
      <c r="P445">
        <v>0.41520467836257302</v>
      </c>
      <c r="Q445">
        <v>0</v>
      </c>
      <c r="R445">
        <v>0</v>
      </c>
      <c r="S445">
        <v>4</v>
      </c>
      <c r="T445">
        <v>2394</v>
      </c>
    </row>
    <row r="446" spans="1:20">
      <c r="A446" t="s">
        <v>611</v>
      </c>
      <c r="B446" s="1">
        <v>45410</v>
      </c>
      <c r="C446">
        <v>17</v>
      </c>
      <c r="D446">
        <v>4</v>
      </c>
      <c r="E446" t="s">
        <v>471</v>
      </c>
      <c r="F446" t="s">
        <v>220</v>
      </c>
      <c r="G446" t="s">
        <v>221</v>
      </c>
      <c r="H446">
        <v>3</v>
      </c>
      <c r="I446">
        <v>600</v>
      </c>
      <c r="J446">
        <v>0</v>
      </c>
      <c r="K446" t="s">
        <v>1947</v>
      </c>
      <c r="L446">
        <v>300</v>
      </c>
      <c r="M446">
        <v>1800</v>
      </c>
      <c r="N446">
        <v>900</v>
      </c>
      <c r="O446">
        <v>900</v>
      </c>
      <c r="P446">
        <v>0.5</v>
      </c>
      <c r="Q446">
        <v>0</v>
      </c>
      <c r="R446">
        <v>0</v>
      </c>
      <c r="S446">
        <v>3</v>
      </c>
      <c r="T446">
        <v>1800</v>
      </c>
    </row>
    <row r="447" spans="1:20">
      <c r="A447" t="s">
        <v>612</v>
      </c>
      <c r="B447" s="1">
        <v>45411</v>
      </c>
      <c r="C447">
        <v>18</v>
      </c>
      <c r="D447">
        <v>4</v>
      </c>
      <c r="E447" t="s">
        <v>471</v>
      </c>
      <c r="F447" t="s">
        <v>25</v>
      </c>
      <c r="G447" t="s">
        <v>26</v>
      </c>
      <c r="H447">
        <v>1</v>
      </c>
      <c r="I447">
        <v>1000</v>
      </c>
      <c r="J447">
        <v>0</v>
      </c>
      <c r="K447" t="s">
        <v>1940</v>
      </c>
      <c r="L447">
        <v>400</v>
      </c>
      <c r="M447">
        <v>1000</v>
      </c>
      <c r="N447">
        <v>400</v>
      </c>
      <c r="O447">
        <v>600</v>
      </c>
      <c r="P447">
        <v>0.6</v>
      </c>
      <c r="Q447">
        <v>0</v>
      </c>
      <c r="R447">
        <v>0</v>
      </c>
      <c r="S447">
        <v>1</v>
      </c>
      <c r="T447">
        <v>1000</v>
      </c>
    </row>
    <row r="448" spans="1:20">
      <c r="A448" t="s">
        <v>614</v>
      </c>
      <c r="B448" s="1">
        <v>45411</v>
      </c>
      <c r="C448">
        <v>18</v>
      </c>
      <c r="D448">
        <v>4</v>
      </c>
      <c r="E448" t="s">
        <v>471</v>
      </c>
      <c r="F448" t="s">
        <v>39</v>
      </c>
      <c r="G448" t="s">
        <v>14</v>
      </c>
      <c r="H448">
        <v>2</v>
      </c>
      <c r="I448">
        <v>792</v>
      </c>
      <c r="J448">
        <v>10</v>
      </c>
      <c r="K448" t="s">
        <v>1921</v>
      </c>
      <c r="L448">
        <v>400</v>
      </c>
      <c r="M448">
        <v>1584</v>
      </c>
      <c r="N448">
        <v>800</v>
      </c>
      <c r="O448">
        <v>784</v>
      </c>
      <c r="P448">
        <v>0.49494949494949497</v>
      </c>
      <c r="Q448">
        <v>0</v>
      </c>
      <c r="R448">
        <v>0</v>
      </c>
      <c r="S448">
        <v>2</v>
      </c>
      <c r="T448">
        <v>1584</v>
      </c>
    </row>
    <row r="449" spans="1:20">
      <c r="A449" t="s">
        <v>615</v>
      </c>
      <c r="B449" s="1">
        <v>45411</v>
      </c>
      <c r="C449">
        <v>18</v>
      </c>
      <c r="D449">
        <v>4</v>
      </c>
      <c r="E449" t="s">
        <v>471</v>
      </c>
      <c r="F449" t="s">
        <v>369</v>
      </c>
      <c r="G449" t="s">
        <v>221</v>
      </c>
      <c r="H449">
        <v>2</v>
      </c>
      <c r="I449">
        <v>630</v>
      </c>
      <c r="J449">
        <v>10</v>
      </c>
      <c r="K449" t="s">
        <v>1949</v>
      </c>
      <c r="L449">
        <v>350</v>
      </c>
      <c r="M449">
        <v>1260</v>
      </c>
      <c r="N449">
        <v>700</v>
      </c>
      <c r="O449">
        <v>560</v>
      </c>
      <c r="P449">
        <v>0.44444444444444398</v>
      </c>
      <c r="Q449">
        <v>0</v>
      </c>
      <c r="R449">
        <v>0</v>
      </c>
      <c r="S449">
        <v>2</v>
      </c>
      <c r="T449">
        <v>1260</v>
      </c>
    </row>
    <row r="450" spans="1:20">
      <c r="A450" t="s">
        <v>616</v>
      </c>
      <c r="B450" s="1">
        <v>45411</v>
      </c>
      <c r="C450">
        <v>18</v>
      </c>
      <c r="D450">
        <v>4</v>
      </c>
      <c r="E450" t="s">
        <v>471</v>
      </c>
      <c r="F450" t="s">
        <v>37</v>
      </c>
      <c r="G450" t="s">
        <v>20</v>
      </c>
      <c r="H450">
        <v>4</v>
      </c>
      <c r="I450">
        <v>2340</v>
      </c>
      <c r="J450">
        <v>0</v>
      </c>
      <c r="K450" t="s">
        <v>1935</v>
      </c>
      <c r="L450">
        <v>1300</v>
      </c>
      <c r="M450">
        <v>9360</v>
      </c>
      <c r="N450">
        <v>5200</v>
      </c>
      <c r="O450">
        <v>4160</v>
      </c>
      <c r="P450">
        <v>0.44444444444444398</v>
      </c>
      <c r="Q450">
        <v>0</v>
      </c>
      <c r="R450">
        <v>0</v>
      </c>
      <c r="S450">
        <v>4</v>
      </c>
      <c r="T450">
        <v>9360</v>
      </c>
    </row>
    <row r="451" spans="1:20">
      <c r="A451" t="s">
        <v>617</v>
      </c>
      <c r="B451" s="1">
        <v>45411</v>
      </c>
      <c r="C451">
        <v>18</v>
      </c>
      <c r="D451">
        <v>4</v>
      </c>
      <c r="E451" t="s">
        <v>471</v>
      </c>
      <c r="F451" t="s">
        <v>86</v>
      </c>
      <c r="G451" t="s">
        <v>17</v>
      </c>
      <c r="H451">
        <v>4</v>
      </c>
      <c r="I451">
        <v>799</v>
      </c>
      <c r="J451">
        <v>15</v>
      </c>
      <c r="K451" t="s">
        <v>1944</v>
      </c>
      <c r="L451">
        <v>450</v>
      </c>
      <c r="M451">
        <v>3196</v>
      </c>
      <c r="N451">
        <v>1800</v>
      </c>
      <c r="O451">
        <v>1396</v>
      </c>
      <c r="P451">
        <v>0.436795994993742</v>
      </c>
      <c r="Q451">
        <v>0</v>
      </c>
      <c r="R451">
        <v>0</v>
      </c>
      <c r="S451">
        <v>4</v>
      </c>
      <c r="T451">
        <v>3196</v>
      </c>
    </row>
    <row r="452" spans="1:20">
      <c r="A452" t="s">
        <v>618</v>
      </c>
      <c r="B452" s="1">
        <v>45412</v>
      </c>
      <c r="C452">
        <v>18</v>
      </c>
      <c r="D452">
        <v>4</v>
      </c>
      <c r="E452" t="s">
        <v>471</v>
      </c>
      <c r="F452" t="s">
        <v>364</v>
      </c>
      <c r="G452" t="s">
        <v>221</v>
      </c>
      <c r="H452">
        <v>1</v>
      </c>
      <c r="I452">
        <v>960</v>
      </c>
      <c r="J452">
        <v>0</v>
      </c>
      <c r="K452" t="s">
        <v>1946</v>
      </c>
      <c r="L452">
        <v>480</v>
      </c>
      <c r="M452">
        <v>960</v>
      </c>
      <c r="N452">
        <v>480</v>
      </c>
      <c r="O452">
        <v>480</v>
      </c>
      <c r="P452">
        <v>0.5</v>
      </c>
      <c r="Q452">
        <v>0</v>
      </c>
      <c r="R452">
        <v>0</v>
      </c>
      <c r="S452">
        <v>1</v>
      </c>
      <c r="T452">
        <v>960</v>
      </c>
    </row>
    <row r="453" spans="1:20">
      <c r="A453" t="s">
        <v>620</v>
      </c>
      <c r="B453" s="1">
        <v>45413</v>
      </c>
      <c r="C453">
        <v>18</v>
      </c>
      <c r="D453">
        <v>5</v>
      </c>
      <c r="E453" t="s">
        <v>622</v>
      </c>
      <c r="F453" t="s">
        <v>31</v>
      </c>
      <c r="G453" t="s">
        <v>23</v>
      </c>
      <c r="H453">
        <v>4</v>
      </c>
      <c r="I453">
        <v>1400</v>
      </c>
      <c r="J453">
        <v>0</v>
      </c>
      <c r="K453" t="s">
        <v>1930</v>
      </c>
      <c r="L453">
        <v>700</v>
      </c>
      <c r="M453">
        <v>5600</v>
      </c>
      <c r="N453">
        <v>2800</v>
      </c>
      <c r="O453">
        <v>2800</v>
      </c>
      <c r="P453">
        <v>0.5</v>
      </c>
      <c r="Q453">
        <v>4</v>
      </c>
      <c r="R453">
        <v>4</v>
      </c>
      <c r="S453">
        <v>0</v>
      </c>
      <c r="T453">
        <v>0</v>
      </c>
    </row>
    <row r="454" spans="1:20">
      <c r="A454" t="s">
        <v>623</v>
      </c>
      <c r="B454" s="1">
        <v>45414</v>
      </c>
      <c r="C454">
        <v>18</v>
      </c>
      <c r="D454">
        <v>5</v>
      </c>
      <c r="E454" t="s">
        <v>622</v>
      </c>
      <c r="F454" t="s">
        <v>369</v>
      </c>
      <c r="G454" t="s">
        <v>221</v>
      </c>
      <c r="H454">
        <v>1</v>
      </c>
      <c r="I454">
        <v>700</v>
      </c>
      <c r="J454">
        <v>0</v>
      </c>
      <c r="K454" t="s">
        <v>1949</v>
      </c>
      <c r="L454">
        <v>350</v>
      </c>
      <c r="M454">
        <v>700</v>
      </c>
      <c r="N454">
        <v>350</v>
      </c>
      <c r="O454">
        <v>350</v>
      </c>
      <c r="P454">
        <v>0.5</v>
      </c>
      <c r="Q454">
        <v>0</v>
      </c>
      <c r="R454">
        <v>0</v>
      </c>
      <c r="S454">
        <v>1</v>
      </c>
      <c r="T454">
        <v>700</v>
      </c>
    </row>
    <row r="455" spans="1:20">
      <c r="A455" t="s">
        <v>625</v>
      </c>
      <c r="B455" s="1">
        <v>45414</v>
      </c>
      <c r="C455">
        <v>18</v>
      </c>
      <c r="D455">
        <v>5</v>
      </c>
      <c r="E455" t="s">
        <v>622</v>
      </c>
      <c r="F455" t="s">
        <v>369</v>
      </c>
      <c r="G455" t="s">
        <v>221</v>
      </c>
      <c r="H455">
        <v>2</v>
      </c>
      <c r="I455">
        <v>630</v>
      </c>
      <c r="J455">
        <v>10</v>
      </c>
      <c r="K455" t="s">
        <v>1949</v>
      </c>
      <c r="L455">
        <v>350</v>
      </c>
      <c r="M455">
        <v>1260</v>
      </c>
      <c r="N455">
        <v>700</v>
      </c>
      <c r="O455">
        <v>560</v>
      </c>
      <c r="P455">
        <v>0.44444444444444398</v>
      </c>
      <c r="Q455">
        <v>0</v>
      </c>
      <c r="R455">
        <v>0</v>
      </c>
      <c r="S455">
        <v>2</v>
      </c>
      <c r="T455">
        <v>1260</v>
      </c>
    </row>
    <row r="456" spans="1:20">
      <c r="A456" t="s">
        <v>626</v>
      </c>
      <c r="B456" s="1">
        <v>45414</v>
      </c>
      <c r="C456">
        <v>18</v>
      </c>
      <c r="D456">
        <v>5</v>
      </c>
      <c r="E456" t="s">
        <v>622</v>
      </c>
      <c r="F456" t="s">
        <v>119</v>
      </c>
      <c r="G456" t="s">
        <v>14</v>
      </c>
      <c r="H456">
        <v>4</v>
      </c>
      <c r="I456">
        <v>770</v>
      </c>
      <c r="J456">
        <v>0</v>
      </c>
      <c r="K456" t="s">
        <v>1920</v>
      </c>
      <c r="L456">
        <v>350</v>
      </c>
      <c r="M456">
        <v>3080</v>
      </c>
      <c r="N456">
        <v>1400</v>
      </c>
      <c r="O456">
        <v>1680</v>
      </c>
      <c r="P456">
        <v>0.54545454545454497</v>
      </c>
      <c r="Q456">
        <v>0</v>
      </c>
      <c r="R456">
        <v>0</v>
      </c>
      <c r="S456">
        <v>4</v>
      </c>
      <c r="T456">
        <v>3080</v>
      </c>
    </row>
    <row r="457" spans="1:20">
      <c r="A457" t="s">
        <v>627</v>
      </c>
      <c r="B457" s="1">
        <v>45414</v>
      </c>
      <c r="C457">
        <v>18</v>
      </c>
      <c r="D457">
        <v>5</v>
      </c>
      <c r="E457" t="s">
        <v>622</v>
      </c>
      <c r="F457" t="s">
        <v>364</v>
      </c>
      <c r="G457" t="s">
        <v>221</v>
      </c>
      <c r="H457">
        <v>1</v>
      </c>
      <c r="I457">
        <v>960</v>
      </c>
      <c r="J457">
        <v>0</v>
      </c>
      <c r="K457" t="s">
        <v>1946</v>
      </c>
      <c r="L457">
        <v>480</v>
      </c>
      <c r="M457">
        <v>960</v>
      </c>
      <c r="N457">
        <v>480</v>
      </c>
      <c r="O457">
        <v>480</v>
      </c>
      <c r="P457">
        <v>0.5</v>
      </c>
      <c r="Q457">
        <v>0</v>
      </c>
      <c r="R457">
        <v>0</v>
      </c>
      <c r="S457">
        <v>1</v>
      </c>
      <c r="T457">
        <v>960</v>
      </c>
    </row>
    <row r="458" spans="1:20">
      <c r="A458" t="s">
        <v>628</v>
      </c>
      <c r="B458" s="1">
        <v>45415</v>
      </c>
      <c r="C458">
        <v>18</v>
      </c>
      <c r="D458">
        <v>5</v>
      </c>
      <c r="E458" t="s">
        <v>622</v>
      </c>
      <c r="F458" t="s">
        <v>19</v>
      </c>
      <c r="G458" t="s">
        <v>20</v>
      </c>
      <c r="H458">
        <v>4</v>
      </c>
      <c r="I458">
        <v>1620</v>
      </c>
      <c r="J458">
        <v>0</v>
      </c>
      <c r="K458" t="s">
        <v>1931</v>
      </c>
      <c r="L458">
        <v>900</v>
      </c>
      <c r="M458">
        <v>6480</v>
      </c>
      <c r="N458">
        <v>3600</v>
      </c>
      <c r="O458">
        <v>2880</v>
      </c>
      <c r="P458">
        <v>0.44444444444444398</v>
      </c>
      <c r="Q458">
        <v>0</v>
      </c>
      <c r="R458">
        <v>0</v>
      </c>
      <c r="S458">
        <v>4</v>
      </c>
      <c r="T458">
        <v>6480</v>
      </c>
    </row>
    <row r="459" spans="1:20">
      <c r="A459" t="s">
        <v>630</v>
      </c>
      <c r="B459" s="1">
        <v>45415</v>
      </c>
      <c r="C459">
        <v>18</v>
      </c>
      <c r="D459">
        <v>5</v>
      </c>
      <c r="E459" t="s">
        <v>622</v>
      </c>
      <c r="F459" t="s">
        <v>25</v>
      </c>
      <c r="G459" t="s">
        <v>26</v>
      </c>
      <c r="H459">
        <v>3</v>
      </c>
      <c r="I459">
        <v>1000</v>
      </c>
      <c r="J459">
        <v>0</v>
      </c>
      <c r="K459" t="s">
        <v>1940</v>
      </c>
      <c r="L459">
        <v>400</v>
      </c>
      <c r="M459">
        <v>3000</v>
      </c>
      <c r="N459">
        <v>1200</v>
      </c>
      <c r="O459">
        <v>1800</v>
      </c>
      <c r="P459">
        <v>0.6</v>
      </c>
      <c r="Q459">
        <v>0</v>
      </c>
      <c r="R459">
        <v>0</v>
      </c>
      <c r="S459">
        <v>3</v>
      </c>
      <c r="T459">
        <v>3000</v>
      </c>
    </row>
    <row r="460" spans="1:20">
      <c r="A460" t="s">
        <v>631</v>
      </c>
      <c r="B460" s="1">
        <v>45415</v>
      </c>
      <c r="C460">
        <v>18</v>
      </c>
      <c r="D460">
        <v>5</v>
      </c>
      <c r="E460" t="s">
        <v>622</v>
      </c>
      <c r="F460" t="s">
        <v>37</v>
      </c>
      <c r="G460" t="s">
        <v>20</v>
      </c>
      <c r="H460">
        <v>1</v>
      </c>
      <c r="I460">
        <v>2340</v>
      </c>
      <c r="J460">
        <v>0</v>
      </c>
      <c r="K460" t="s">
        <v>1935</v>
      </c>
      <c r="L460">
        <v>1300</v>
      </c>
      <c r="M460">
        <v>2340</v>
      </c>
      <c r="N460">
        <v>1300</v>
      </c>
      <c r="O460">
        <v>1040</v>
      </c>
      <c r="P460">
        <v>0.44444444444444398</v>
      </c>
      <c r="Q460">
        <v>0</v>
      </c>
      <c r="R460">
        <v>0</v>
      </c>
      <c r="S460">
        <v>1</v>
      </c>
      <c r="T460">
        <v>2340</v>
      </c>
    </row>
    <row r="461" spans="1:20">
      <c r="A461" t="s">
        <v>632</v>
      </c>
      <c r="B461" s="1">
        <v>45415</v>
      </c>
      <c r="C461">
        <v>18</v>
      </c>
      <c r="D461">
        <v>5</v>
      </c>
      <c r="E461" t="s">
        <v>622</v>
      </c>
      <c r="F461" t="s">
        <v>364</v>
      </c>
      <c r="G461" t="s">
        <v>221</v>
      </c>
      <c r="H461">
        <v>5</v>
      </c>
      <c r="I461">
        <v>960</v>
      </c>
      <c r="J461">
        <v>0</v>
      </c>
      <c r="K461" t="s">
        <v>1946</v>
      </c>
      <c r="L461">
        <v>480</v>
      </c>
      <c r="M461">
        <v>4800</v>
      </c>
      <c r="N461">
        <v>2400</v>
      </c>
      <c r="O461">
        <v>2400</v>
      </c>
      <c r="P461">
        <v>0.5</v>
      </c>
      <c r="Q461">
        <v>0</v>
      </c>
      <c r="R461">
        <v>0</v>
      </c>
      <c r="S461">
        <v>5</v>
      </c>
      <c r="T461">
        <v>4800</v>
      </c>
    </row>
    <row r="462" spans="1:20">
      <c r="A462" t="s">
        <v>633</v>
      </c>
      <c r="B462" s="1">
        <v>45415</v>
      </c>
      <c r="C462">
        <v>18</v>
      </c>
      <c r="D462">
        <v>5</v>
      </c>
      <c r="E462" t="s">
        <v>622</v>
      </c>
      <c r="F462" t="s">
        <v>64</v>
      </c>
      <c r="G462" t="s">
        <v>14</v>
      </c>
      <c r="H462">
        <v>5</v>
      </c>
      <c r="I462">
        <v>2376</v>
      </c>
      <c r="J462">
        <v>10</v>
      </c>
      <c r="K462" t="s">
        <v>1923</v>
      </c>
      <c r="L462">
        <v>1200</v>
      </c>
      <c r="M462">
        <v>11880</v>
      </c>
      <c r="N462">
        <v>6000</v>
      </c>
      <c r="O462">
        <v>5880</v>
      </c>
      <c r="P462">
        <v>0.49494949494949497</v>
      </c>
      <c r="Q462">
        <v>0</v>
      </c>
      <c r="R462">
        <v>0</v>
      </c>
      <c r="S462">
        <v>5</v>
      </c>
      <c r="T462">
        <v>11880</v>
      </c>
    </row>
    <row r="463" spans="1:20">
      <c r="A463" t="s">
        <v>634</v>
      </c>
      <c r="B463" s="1">
        <v>45416</v>
      </c>
      <c r="C463">
        <v>18</v>
      </c>
      <c r="D463">
        <v>5</v>
      </c>
      <c r="E463" t="s">
        <v>622</v>
      </c>
      <c r="F463" t="s">
        <v>45</v>
      </c>
      <c r="G463" t="s">
        <v>26</v>
      </c>
      <c r="H463">
        <v>2</v>
      </c>
      <c r="I463">
        <v>4500</v>
      </c>
      <c r="J463">
        <v>0</v>
      </c>
      <c r="K463" t="s">
        <v>1938</v>
      </c>
      <c r="L463">
        <v>1800</v>
      </c>
      <c r="M463">
        <v>9000</v>
      </c>
      <c r="N463">
        <v>3600</v>
      </c>
      <c r="O463">
        <v>5400</v>
      </c>
      <c r="P463">
        <v>0.6</v>
      </c>
      <c r="Q463">
        <v>1</v>
      </c>
      <c r="R463">
        <v>1</v>
      </c>
      <c r="S463">
        <v>1</v>
      </c>
      <c r="T463">
        <v>4500</v>
      </c>
    </row>
    <row r="464" spans="1:20">
      <c r="A464" t="s">
        <v>636</v>
      </c>
      <c r="B464" s="1">
        <v>45416</v>
      </c>
      <c r="C464">
        <v>18</v>
      </c>
      <c r="D464">
        <v>5</v>
      </c>
      <c r="E464" t="s">
        <v>622</v>
      </c>
      <c r="F464" t="s">
        <v>28</v>
      </c>
      <c r="G464" t="s">
        <v>26</v>
      </c>
      <c r="H464">
        <v>2</v>
      </c>
      <c r="I464">
        <v>1500</v>
      </c>
      <c r="J464">
        <v>0</v>
      </c>
      <c r="K464" t="s">
        <v>1939</v>
      </c>
      <c r="L464">
        <v>600</v>
      </c>
      <c r="M464">
        <v>3000</v>
      </c>
      <c r="N464">
        <v>1200</v>
      </c>
      <c r="O464">
        <v>1800</v>
      </c>
      <c r="P464">
        <v>0.6</v>
      </c>
      <c r="Q464">
        <v>0</v>
      </c>
      <c r="R464">
        <v>0</v>
      </c>
      <c r="S464">
        <v>2</v>
      </c>
      <c r="T464">
        <v>3000</v>
      </c>
    </row>
    <row r="465" spans="1:20">
      <c r="A465" t="s">
        <v>637</v>
      </c>
      <c r="B465" s="1">
        <v>45416</v>
      </c>
      <c r="C465">
        <v>18</v>
      </c>
      <c r="D465">
        <v>5</v>
      </c>
      <c r="E465" t="s">
        <v>622</v>
      </c>
      <c r="F465" t="s">
        <v>220</v>
      </c>
      <c r="G465" t="s">
        <v>221</v>
      </c>
      <c r="H465">
        <v>2</v>
      </c>
      <c r="I465">
        <v>540</v>
      </c>
      <c r="J465">
        <v>10</v>
      </c>
      <c r="K465" t="s">
        <v>1947</v>
      </c>
      <c r="L465">
        <v>300</v>
      </c>
      <c r="M465">
        <v>1080</v>
      </c>
      <c r="N465">
        <v>600</v>
      </c>
      <c r="O465">
        <v>480</v>
      </c>
      <c r="P465">
        <v>0.44444444444444398</v>
      </c>
      <c r="Q465">
        <v>0</v>
      </c>
      <c r="R465">
        <v>0</v>
      </c>
      <c r="S465">
        <v>2</v>
      </c>
      <c r="T465">
        <v>1080</v>
      </c>
    </row>
    <row r="466" spans="1:20">
      <c r="A466" t="s">
        <v>638</v>
      </c>
      <c r="B466" s="1">
        <v>45416</v>
      </c>
      <c r="C466">
        <v>18</v>
      </c>
      <c r="D466">
        <v>5</v>
      </c>
      <c r="E466" t="s">
        <v>622</v>
      </c>
      <c r="F466" t="s">
        <v>364</v>
      </c>
      <c r="G466" t="s">
        <v>221</v>
      </c>
      <c r="H466">
        <v>5</v>
      </c>
      <c r="I466">
        <v>864</v>
      </c>
      <c r="J466">
        <v>10</v>
      </c>
      <c r="K466" t="s">
        <v>1946</v>
      </c>
      <c r="L466">
        <v>480</v>
      </c>
      <c r="M466">
        <v>4320</v>
      </c>
      <c r="N466">
        <v>2400</v>
      </c>
      <c r="O466">
        <v>1920</v>
      </c>
      <c r="P466">
        <v>0.44444444444444398</v>
      </c>
      <c r="Q466">
        <v>0</v>
      </c>
      <c r="R466">
        <v>0</v>
      </c>
      <c r="S466">
        <v>5</v>
      </c>
      <c r="T466">
        <v>4320</v>
      </c>
    </row>
    <row r="467" spans="1:20">
      <c r="A467" t="s">
        <v>639</v>
      </c>
      <c r="B467" s="1">
        <v>45416</v>
      </c>
      <c r="C467">
        <v>18</v>
      </c>
      <c r="D467">
        <v>5</v>
      </c>
      <c r="E467" t="s">
        <v>622</v>
      </c>
      <c r="F467" t="s">
        <v>146</v>
      </c>
      <c r="G467" t="s">
        <v>20</v>
      </c>
      <c r="H467">
        <v>4</v>
      </c>
      <c r="I467">
        <v>630</v>
      </c>
      <c r="J467">
        <v>0</v>
      </c>
      <c r="K467" t="s">
        <v>1934</v>
      </c>
      <c r="L467">
        <v>350</v>
      </c>
      <c r="M467">
        <v>2520</v>
      </c>
      <c r="N467">
        <v>1400</v>
      </c>
      <c r="O467">
        <v>1120</v>
      </c>
      <c r="P467">
        <v>0.44444444444444398</v>
      </c>
      <c r="Q467">
        <v>0</v>
      </c>
      <c r="R467">
        <v>0</v>
      </c>
      <c r="S467">
        <v>4</v>
      </c>
      <c r="T467">
        <v>2520</v>
      </c>
    </row>
    <row r="468" spans="1:20">
      <c r="A468" t="s">
        <v>640</v>
      </c>
      <c r="B468" s="1">
        <v>45416</v>
      </c>
      <c r="C468">
        <v>18</v>
      </c>
      <c r="D468">
        <v>5</v>
      </c>
      <c r="E468" t="s">
        <v>622</v>
      </c>
      <c r="F468" t="s">
        <v>80</v>
      </c>
      <c r="G468" t="s">
        <v>14</v>
      </c>
      <c r="H468">
        <v>4</v>
      </c>
      <c r="I468">
        <v>400</v>
      </c>
      <c r="J468">
        <v>0</v>
      </c>
      <c r="K468" t="s">
        <v>1922</v>
      </c>
      <c r="L468">
        <v>180</v>
      </c>
      <c r="M468">
        <v>1600</v>
      </c>
      <c r="N468">
        <v>720</v>
      </c>
      <c r="O468">
        <v>880</v>
      </c>
      <c r="P468">
        <v>0.55000000000000004</v>
      </c>
      <c r="Q468">
        <v>0</v>
      </c>
      <c r="R468">
        <v>0</v>
      </c>
      <c r="S468">
        <v>4</v>
      </c>
      <c r="T468">
        <v>1600</v>
      </c>
    </row>
    <row r="469" spans="1:20">
      <c r="A469" t="s">
        <v>641</v>
      </c>
      <c r="B469" s="1">
        <v>45416</v>
      </c>
      <c r="C469">
        <v>18</v>
      </c>
      <c r="D469">
        <v>5</v>
      </c>
      <c r="E469" t="s">
        <v>622</v>
      </c>
      <c r="F469" t="s">
        <v>28</v>
      </c>
      <c r="G469" t="s">
        <v>26</v>
      </c>
      <c r="H469">
        <v>5</v>
      </c>
      <c r="I469">
        <v>1425</v>
      </c>
      <c r="J469">
        <v>5</v>
      </c>
      <c r="K469" t="s">
        <v>1939</v>
      </c>
      <c r="L469">
        <v>600</v>
      </c>
      <c r="M469">
        <v>7125</v>
      </c>
      <c r="N469">
        <v>3000</v>
      </c>
      <c r="O469">
        <v>4125</v>
      </c>
      <c r="P469">
        <v>0.57894736842105299</v>
      </c>
      <c r="Q469">
        <v>0</v>
      </c>
      <c r="R469">
        <v>0</v>
      </c>
      <c r="S469">
        <v>5</v>
      </c>
      <c r="T469">
        <v>7125</v>
      </c>
    </row>
    <row r="470" spans="1:20">
      <c r="A470" t="s">
        <v>642</v>
      </c>
      <c r="B470" s="1">
        <v>45417</v>
      </c>
      <c r="C470">
        <v>18</v>
      </c>
      <c r="D470">
        <v>5</v>
      </c>
      <c r="E470" t="s">
        <v>622</v>
      </c>
      <c r="F470" t="s">
        <v>369</v>
      </c>
      <c r="G470" t="s">
        <v>221</v>
      </c>
      <c r="H470">
        <v>1</v>
      </c>
      <c r="I470">
        <v>630</v>
      </c>
      <c r="J470">
        <v>10</v>
      </c>
      <c r="K470" t="s">
        <v>1949</v>
      </c>
      <c r="L470">
        <v>350</v>
      </c>
      <c r="M470">
        <v>630</v>
      </c>
      <c r="N470">
        <v>350</v>
      </c>
      <c r="O470">
        <v>280</v>
      </c>
      <c r="P470">
        <v>0.44444444444444398</v>
      </c>
      <c r="Q470">
        <v>0</v>
      </c>
      <c r="R470">
        <v>0</v>
      </c>
      <c r="S470">
        <v>1</v>
      </c>
      <c r="T470">
        <v>630</v>
      </c>
    </row>
    <row r="471" spans="1:20">
      <c r="A471" t="s">
        <v>644</v>
      </c>
      <c r="B471" s="1">
        <v>45417</v>
      </c>
      <c r="C471">
        <v>18</v>
      </c>
      <c r="D471">
        <v>5</v>
      </c>
      <c r="E471" t="s">
        <v>622</v>
      </c>
      <c r="F471" t="s">
        <v>37</v>
      </c>
      <c r="G471" t="s">
        <v>20</v>
      </c>
      <c r="H471">
        <v>2</v>
      </c>
      <c r="I471">
        <v>2340</v>
      </c>
      <c r="J471">
        <v>0</v>
      </c>
      <c r="K471" t="s">
        <v>1935</v>
      </c>
      <c r="L471">
        <v>1300</v>
      </c>
      <c r="M471">
        <v>4680</v>
      </c>
      <c r="N471">
        <v>2600</v>
      </c>
      <c r="O471">
        <v>2080</v>
      </c>
      <c r="P471">
        <v>0.44444444444444398</v>
      </c>
      <c r="Q471">
        <v>0</v>
      </c>
      <c r="R471">
        <v>0</v>
      </c>
      <c r="S471">
        <v>2</v>
      </c>
      <c r="T471">
        <v>4680</v>
      </c>
    </row>
    <row r="472" spans="1:20">
      <c r="A472" t="s">
        <v>645</v>
      </c>
      <c r="B472" s="1">
        <v>45418</v>
      </c>
      <c r="C472">
        <v>19</v>
      </c>
      <c r="D472">
        <v>5</v>
      </c>
      <c r="E472" t="s">
        <v>622</v>
      </c>
      <c r="F472" t="s">
        <v>97</v>
      </c>
      <c r="G472" t="s">
        <v>20</v>
      </c>
      <c r="H472">
        <v>2</v>
      </c>
      <c r="I472">
        <v>1881</v>
      </c>
      <c r="J472">
        <v>5</v>
      </c>
      <c r="K472" t="s">
        <v>1932</v>
      </c>
      <c r="L472">
        <v>1100</v>
      </c>
      <c r="M472">
        <v>3762</v>
      </c>
      <c r="N472">
        <v>2200</v>
      </c>
      <c r="O472">
        <v>1562</v>
      </c>
      <c r="P472">
        <v>0.41520467836257302</v>
      </c>
      <c r="Q472">
        <v>0</v>
      </c>
      <c r="R472">
        <v>0</v>
      </c>
      <c r="S472">
        <v>2</v>
      </c>
      <c r="T472">
        <v>3762</v>
      </c>
    </row>
    <row r="473" spans="1:20">
      <c r="A473" t="s">
        <v>647</v>
      </c>
      <c r="B473" s="1">
        <v>45418</v>
      </c>
      <c r="C473">
        <v>19</v>
      </c>
      <c r="D473">
        <v>5</v>
      </c>
      <c r="E473" t="s">
        <v>622</v>
      </c>
      <c r="F473" t="s">
        <v>51</v>
      </c>
      <c r="G473" t="s">
        <v>26</v>
      </c>
      <c r="H473">
        <v>2</v>
      </c>
      <c r="I473">
        <v>500</v>
      </c>
      <c r="J473">
        <v>0</v>
      </c>
      <c r="K473" t="s">
        <v>1936</v>
      </c>
      <c r="L473">
        <v>200</v>
      </c>
      <c r="M473">
        <v>1000</v>
      </c>
      <c r="N473">
        <v>400</v>
      </c>
      <c r="O473">
        <v>600</v>
      </c>
      <c r="P473">
        <v>0.6</v>
      </c>
      <c r="Q473">
        <v>0</v>
      </c>
      <c r="R473">
        <v>0</v>
      </c>
      <c r="S473">
        <v>2</v>
      </c>
      <c r="T473">
        <v>1000</v>
      </c>
    </row>
    <row r="474" spans="1:20">
      <c r="A474" t="s">
        <v>648</v>
      </c>
      <c r="B474" s="1">
        <v>45418</v>
      </c>
      <c r="C474">
        <v>19</v>
      </c>
      <c r="D474">
        <v>5</v>
      </c>
      <c r="E474" t="s">
        <v>622</v>
      </c>
      <c r="F474" t="s">
        <v>45</v>
      </c>
      <c r="G474" t="s">
        <v>26</v>
      </c>
      <c r="H474">
        <v>1</v>
      </c>
      <c r="I474">
        <v>4500</v>
      </c>
      <c r="J474">
        <v>0</v>
      </c>
      <c r="K474" t="s">
        <v>1938</v>
      </c>
      <c r="L474">
        <v>1800</v>
      </c>
      <c r="M474">
        <v>4500</v>
      </c>
      <c r="N474">
        <v>1800</v>
      </c>
      <c r="O474">
        <v>2700</v>
      </c>
      <c r="P474">
        <v>0.6</v>
      </c>
      <c r="Q474">
        <v>0</v>
      </c>
      <c r="R474">
        <v>0</v>
      </c>
      <c r="S474">
        <v>1</v>
      </c>
      <c r="T474">
        <v>4500</v>
      </c>
    </row>
    <row r="475" spans="1:20">
      <c r="A475" t="s">
        <v>649</v>
      </c>
      <c r="B475" s="1">
        <v>45418</v>
      </c>
      <c r="C475">
        <v>19</v>
      </c>
      <c r="D475">
        <v>5</v>
      </c>
      <c r="E475" t="s">
        <v>622</v>
      </c>
      <c r="F475" t="s">
        <v>13</v>
      </c>
      <c r="G475" t="s">
        <v>14</v>
      </c>
      <c r="H475">
        <v>5</v>
      </c>
      <c r="I475">
        <v>480</v>
      </c>
      <c r="J475">
        <v>0</v>
      </c>
      <c r="K475" t="s">
        <v>1925</v>
      </c>
      <c r="L475">
        <v>220</v>
      </c>
      <c r="M475">
        <v>2400</v>
      </c>
      <c r="N475">
        <v>1100</v>
      </c>
      <c r="O475">
        <v>1300</v>
      </c>
      <c r="P475">
        <v>0.54166666666666696</v>
      </c>
      <c r="Q475">
        <v>0</v>
      </c>
      <c r="R475">
        <v>0</v>
      </c>
      <c r="S475">
        <v>5</v>
      </c>
      <c r="T475">
        <v>2400</v>
      </c>
    </row>
    <row r="476" spans="1:20">
      <c r="A476" t="s">
        <v>650</v>
      </c>
      <c r="B476" s="1">
        <v>45419</v>
      </c>
      <c r="C476">
        <v>19</v>
      </c>
      <c r="D476">
        <v>5</v>
      </c>
      <c r="E476" t="s">
        <v>622</v>
      </c>
      <c r="F476" t="s">
        <v>119</v>
      </c>
      <c r="G476" t="s">
        <v>14</v>
      </c>
      <c r="H476">
        <v>1</v>
      </c>
      <c r="I476">
        <v>770</v>
      </c>
      <c r="J476">
        <v>0</v>
      </c>
      <c r="K476" t="s">
        <v>1920</v>
      </c>
      <c r="L476">
        <v>350</v>
      </c>
      <c r="M476">
        <v>770</v>
      </c>
      <c r="N476">
        <v>350</v>
      </c>
      <c r="O476">
        <v>420</v>
      </c>
      <c r="P476">
        <v>0.54545454545454497</v>
      </c>
      <c r="Q476">
        <v>0</v>
      </c>
      <c r="R476">
        <v>0</v>
      </c>
      <c r="S476">
        <v>1</v>
      </c>
      <c r="T476">
        <v>770</v>
      </c>
    </row>
    <row r="477" spans="1:20">
      <c r="A477" t="s">
        <v>652</v>
      </c>
      <c r="B477" s="1">
        <v>45419</v>
      </c>
      <c r="C477">
        <v>19</v>
      </c>
      <c r="D477">
        <v>5</v>
      </c>
      <c r="E477" t="s">
        <v>622</v>
      </c>
      <c r="F477" t="s">
        <v>220</v>
      </c>
      <c r="G477" t="s">
        <v>221</v>
      </c>
      <c r="H477">
        <v>5</v>
      </c>
      <c r="I477">
        <v>510</v>
      </c>
      <c r="J477">
        <v>15</v>
      </c>
      <c r="K477" t="s">
        <v>1947</v>
      </c>
      <c r="L477">
        <v>300</v>
      </c>
      <c r="M477">
        <v>2550</v>
      </c>
      <c r="N477">
        <v>1500</v>
      </c>
      <c r="O477">
        <v>1050</v>
      </c>
      <c r="P477">
        <v>0.41176470588235298</v>
      </c>
      <c r="Q477">
        <v>0</v>
      </c>
      <c r="R477">
        <v>0</v>
      </c>
      <c r="S477">
        <v>5</v>
      </c>
      <c r="T477">
        <v>2550</v>
      </c>
    </row>
    <row r="478" spans="1:20">
      <c r="A478" t="s">
        <v>653</v>
      </c>
      <c r="B478" s="1">
        <v>45419</v>
      </c>
      <c r="C478">
        <v>19</v>
      </c>
      <c r="D478">
        <v>5</v>
      </c>
      <c r="E478" t="s">
        <v>622</v>
      </c>
      <c r="F478" t="s">
        <v>146</v>
      </c>
      <c r="G478" t="s">
        <v>20</v>
      </c>
      <c r="H478">
        <v>3</v>
      </c>
      <c r="I478">
        <v>630</v>
      </c>
      <c r="J478">
        <v>0</v>
      </c>
      <c r="K478" t="s">
        <v>1934</v>
      </c>
      <c r="L478">
        <v>350</v>
      </c>
      <c r="M478">
        <v>1890</v>
      </c>
      <c r="N478">
        <v>1050</v>
      </c>
      <c r="O478">
        <v>840</v>
      </c>
      <c r="P478">
        <v>0.44444444444444398</v>
      </c>
      <c r="Q478">
        <v>0</v>
      </c>
      <c r="R478">
        <v>0</v>
      </c>
      <c r="S478">
        <v>3</v>
      </c>
      <c r="T478">
        <v>1890</v>
      </c>
    </row>
    <row r="479" spans="1:20">
      <c r="A479" t="s">
        <v>654</v>
      </c>
      <c r="B479" s="1">
        <v>45420</v>
      </c>
      <c r="C479">
        <v>19</v>
      </c>
      <c r="D479">
        <v>5</v>
      </c>
      <c r="E479" t="s">
        <v>622</v>
      </c>
      <c r="F479" t="s">
        <v>68</v>
      </c>
      <c r="G479" t="s">
        <v>26</v>
      </c>
      <c r="H479">
        <v>5</v>
      </c>
      <c r="I479">
        <v>380</v>
      </c>
      <c r="J479">
        <v>0</v>
      </c>
      <c r="K479" t="s">
        <v>1937</v>
      </c>
      <c r="L479">
        <v>150</v>
      </c>
      <c r="M479">
        <v>1900</v>
      </c>
      <c r="N479">
        <v>750</v>
      </c>
      <c r="O479">
        <v>1150</v>
      </c>
      <c r="P479">
        <v>0.60526315789473695</v>
      </c>
      <c r="Q479">
        <v>0</v>
      </c>
      <c r="R479">
        <v>0</v>
      </c>
      <c r="S479">
        <v>5</v>
      </c>
      <c r="T479">
        <v>1900</v>
      </c>
    </row>
    <row r="480" spans="1:20">
      <c r="A480" t="s">
        <v>656</v>
      </c>
      <c r="B480" s="1">
        <v>45420</v>
      </c>
      <c r="C480">
        <v>19</v>
      </c>
      <c r="D480">
        <v>5</v>
      </c>
      <c r="E480" t="s">
        <v>622</v>
      </c>
      <c r="F480" t="s">
        <v>349</v>
      </c>
      <c r="G480" t="s">
        <v>221</v>
      </c>
      <c r="H480">
        <v>4</v>
      </c>
      <c r="I480">
        <v>380</v>
      </c>
      <c r="J480">
        <v>5</v>
      </c>
      <c r="K480" t="s">
        <v>1948</v>
      </c>
      <c r="L480">
        <v>200</v>
      </c>
      <c r="M480">
        <v>1520</v>
      </c>
      <c r="N480">
        <v>800</v>
      </c>
      <c r="O480">
        <v>720</v>
      </c>
      <c r="P480">
        <v>0.47368421052631599</v>
      </c>
      <c r="Q480">
        <v>0</v>
      </c>
      <c r="R480">
        <v>0</v>
      </c>
      <c r="S480">
        <v>4</v>
      </c>
      <c r="T480">
        <v>1520</v>
      </c>
    </row>
    <row r="481" spans="1:20">
      <c r="A481" t="s">
        <v>657</v>
      </c>
      <c r="B481" s="1">
        <v>45420</v>
      </c>
      <c r="C481">
        <v>19</v>
      </c>
      <c r="D481">
        <v>5</v>
      </c>
      <c r="E481" t="s">
        <v>622</v>
      </c>
      <c r="F481" t="s">
        <v>37</v>
      </c>
      <c r="G481" t="s">
        <v>20</v>
      </c>
      <c r="H481">
        <v>5</v>
      </c>
      <c r="I481">
        <v>2340</v>
      </c>
      <c r="J481">
        <v>0</v>
      </c>
      <c r="K481" t="s">
        <v>1935</v>
      </c>
      <c r="L481">
        <v>1300</v>
      </c>
      <c r="M481">
        <v>11700</v>
      </c>
      <c r="N481">
        <v>6500</v>
      </c>
      <c r="O481">
        <v>5200</v>
      </c>
      <c r="P481">
        <v>0.44444444444444398</v>
      </c>
      <c r="Q481">
        <v>4</v>
      </c>
      <c r="R481">
        <v>4</v>
      </c>
      <c r="S481">
        <v>1</v>
      </c>
      <c r="T481">
        <v>2340</v>
      </c>
    </row>
    <row r="482" spans="1:20">
      <c r="A482" t="s">
        <v>658</v>
      </c>
      <c r="B482" s="1">
        <v>45420</v>
      </c>
      <c r="C482">
        <v>19</v>
      </c>
      <c r="D482">
        <v>5</v>
      </c>
      <c r="E482" t="s">
        <v>622</v>
      </c>
      <c r="F482" t="s">
        <v>42</v>
      </c>
      <c r="G482" t="s">
        <v>23</v>
      </c>
      <c r="H482">
        <v>2</v>
      </c>
      <c r="I482">
        <v>570</v>
      </c>
      <c r="J482">
        <v>5</v>
      </c>
      <c r="K482" t="s">
        <v>1928</v>
      </c>
      <c r="L482">
        <v>300</v>
      </c>
      <c r="M482">
        <v>1140</v>
      </c>
      <c r="N482">
        <v>600</v>
      </c>
      <c r="O482">
        <v>540</v>
      </c>
      <c r="P482">
        <v>0.47368421052631599</v>
      </c>
      <c r="Q482">
        <v>0</v>
      </c>
      <c r="R482">
        <v>0</v>
      </c>
      <c r="S482">
        <v>2</v>
      </c>
      <c r="T482">
        <v>1140</v>
      </c>
    </row>
    <row r="483" spans="1:20">
      <c r="A483" t="s">
        <v>659</v>
      </c>
      <c r="B483" s="1">
        <v>45420</v>
      </c>
      <c r="C483">
        <v>19</v>
      </c>
      <c r="D483">
        <v>5</v>
      </c>
      <c r="E483" t="s">
        <v>622</v>
      </c>
      <c r="F483" t="s">
        <v>39</v>
      </c>
      <c r="G483" t="s">
        <v>14</v>
      </c>
      <c r="H483">
        <v>2</v>
      </c>
      <c r="I483">
        <v>792</v>
      </c>
      <c r="J483">
        <v>10</v>
      </c>
      <c r="K483" t="s">
        <v>1921</v>
      </c>
      <c r="L483">
        <v>400</v>
      </c>
      <c r="M483">
        <v>1584</v>
      </c>
      <c r="N483">
        <v>800</v>
      </c>
      <c r="O483">
        <v>784</v>
      </c>
      <c r="P483">
        <v>0.49494949494949497</v>
      </c>
      <c r="Q483">
        <v>0</v>
      </c>
      <c r="R483">
        <v>0</v>
      </c>
      <c r="S483">
        <v>2</v>
      </c>
      <c r="T483">
        <v>1584</v>
      </c>
    </row>
    <row r="484" spans="1:20">
      <c r="A484" t="s">
        <v>660</v>
      </c>
      <c r="B484" s="1">
        <v>45420</v>
      </c>
      <c r="C484">
        <v>19</v>
      </c>
      <c r="D484">
        <v>5</v>
      </c>
      <c r="E484" t="s">
        <v>622</v>
      </c>
      <c r="F484" t="s">
        <v>115</v>
      </c>
      <c r="G484" t="s">
        <v>23</v>
      </c>
      <c r="H484">
        <v>2</v>
      </c>
      <c r="I484">
        <v>1200</v>
      </c>
      <c r="J484">
        <v>0</v>
      </c>
      <c r="K484" t="s">
        <v>1926</v>
      </c>
      <c r="L484">
        <v>600</v>
      </c>
      <c r="M484">
        <v>2400</v>
      </c>
      <c r="N484">
        <v>1200</v>
      </c>
      <c r="O484">
        <v>1200</v>
      </c>
      <c r="P484">
        <v>0.5</v>
      </c>
      <c r="Q484">
        <v>0</v>
      </c>
      <c r="R484">
        <v>0</v>
      </c>
      <c r="S484">
        <v>2</v>
      </c>
      <c r="T484">
        <v>2400</v>
      </c>
    </row>
    <row r="485" spans="1:20">
      <c r="A485" t="s">
        <v>661</v>
      </c>
      <c r="B485" s="1">
        <v>45421</v>
      </c>
      <c r="C485">
        <v>19</v>
      </c>
      <c r="D485">
        <v>5</v>
      </c>
      <c r="E485" t="s">
        <v>622</v>
      </c>
      <c r="F485" t="s">
        <v>220</v>
      </c>
      <c r="G485" t="s">
        <v>221</v>
      </c>
      <c r="H485">
        <v>3</v>
      </c>
      <c r="I485">
        <v>570</v>
      </c>
      <c r="J485">
        <v>5</v>
      </c>
      <c r="K485" t="s">
        <v>1947</v>
      </c>
      <c r="L485">
        <v>300</v>
      </c>
      <c r="M485">
        <v>1710</v>
      </c>
      <c r="N485">
        <v>900</v>
      </c>
      <c r="O485">
        <v>810</v>
      </c>
      <c r="P485">
        <v>0.47368421052631599</v>
      </c>
      <c r="Q485">
        <v>0</v>
      </c>
      <c r="R485">
        <v>0</v>
      </c>
      <c r="S485">
        <v>3</v>
      </c>
      <c r="T485">
        <v>1710</v>
      </c>
    </row>
    <row r="486" spans="1:20">
      <c r="A486" t="s">
        <v>663</v>
      </c>
      <c r="B486" s="1">
        <v>45421</v>
      </c>
      <c r="C486">
        <v>19</v>
      </c>
      <c r="D486">
        <v>5</v>
      </c>
      <c r="E486" t="s">
        <v>622</v>
      </c>
      <c r="F486" t="s">
        <v>51</v>
      </c>
      <c r="G486" t="s">
        <v>26</v>
      </c>
      <c r="H486">
        <v>1</v>
      </c>
      <c r="I486">
        <v>425</v>
      </c>
      <c r="J486">
        <v>15</v>
      </c>
      <c r="K486" t="s">
        <v>1936</v>
      </c>
      <c r="L486">
        <v>200</v>
      </c>
      <c r="M486">
        <v>425</v>
      </c>
      <c r="N486">
        <v>200</v>
      </c>
      <c r="O486">
        <v>225</v>
      </c>
      <c r="P486">
        <v>0.52941176470588203</v>
      </c>
      <c r="Q486">
        <v>0</v>
      </c>
      <c r="R486">
        <v>0</v>
      </c>
      <c r="S486">
        <v>1</v>
      </c>
      <c r="T486">
        <v>425</v>
      </c>
    </row>
    <row r="487" spans="1:20">
      <c r="A487" t="s">
        <v>664</v>
      </c>
      <c r="B487" s="1">
        <v>45421</v>
      </c>
      <c r="C487">
        <v>19</v>
      </c>
      <c r="D487">
        <v>5</v>
      </c>
      <c r="E487" t="s">
        <v>622</v>
      </c>
      <c r="F487" t="s">
        <v>58</v>
      </c>
      <c r="G487" t="s">
        <v>23</v>
      </c>
      <c r="H487">
        <v>3</v>
      </c>
      <c r="I487">
        <v>950</v>
      </c>
      <c r="J487">
        <v>5</v>
      </c>
      <c r="K487" t="s">
        <v>1927</v>
      </c>
      <c r="L487">
        <v>500</v>
      </c>
      <c r="M487">
        <v>2850</v>
      </c>
      <c r="N487">
        <v>1500</v>
      </c>
      <c r="O487">
        <v>1350</v>
      </c>
      <c r="P487">
        <v>0.47368421052631599</v>
      </c>
      <c r="Q487">
        <v>0</v>
      </c>
      <c r="R487">
        <v>0</v>
      </c>
      <c r="S487">
        <v>3</v>
      </c>
      <c r="T487">
        <v>2850</v>
      </c>
    </row>
    <row r="488" spans="1:20">
      <c r="A488" t="s">
        <v>665</v>
      </c>
      <c r="B488" s="1">
        <v>45421</v>
      </c>
      <c r="C488">
        <v>19</v>
      </c>
      <c r="D488">
        <v>5</v>
      </c>
      <c r="E488" t="s">
        <v>622</v>
      </c>
      <c r="F488" t="s">
        <v>31</v>
      </c>
      <c r="G488" t="s">
        <v>23</v>
      </c>
      <c r="H488">
        <v>3</v>
      </c>
      <c r="I488">
        <v>1260</v>
      </c>
      <c r="J488">
        <v>10</v>
      </c>
      <c r="K488" t="s">
        <v>1930</v>
      </c>
      <c r="L488">
        <v>700</v>
      </c>
      <c r="M488">
        <v>3780</v>
      </c>
      <c r="N488">
        <v>2100</v>
      </c>
      <c r="O488">
        <v>1680</v>
      </c>
      <c r="P488">
        <v>0.44444444444444398</v>
      </c>
      <c r="Q488">
        <v>2</v>
      </c>
      <c r="R488">
        <v>2</v>
      </c>
      <c r="S488">
        <v>1</v>
      </c>
      <c r="T488">
        <v>1260</v>
      </c>
    </row>
    <row r="489" spans="1:20">
      <c r="A489" t="s">
        <v>666</v>
      </c>
      <c r="B489" s="1">
        <v>45422</v>
      </c>
      <c r="C489">
        <v>19</v>
      </c>
      <c r="D489">
        <v>5</v>
      </c>
      <c r="E489" t="s">
        <v>622</v>
      </c>
      <c r="F489" t="s">
        <v>187</v>
      </c>
      <c r="G489" t="s">
        <v>14</v>
      </c>
      <c r="H489">
        <v>3</v>
      </c>
      <c r="I489">
        <v>3740</v>
      </c>
      <c r="J489">
        <v>15</v>
      </c>
      <c r="K489" t="s">
        <v>1924</v>
      </c>
      <c r="L489">
        <v>2000</v>
      </c>
      <c r="M489">
        <v>11220</v>
      </c>
      <c r="N489">
        <v>6000</v>
      </c>
      <c r="O489">
        <v>5220</v>
      </c>
      <c r="P489">
        <v>0.46524064171122997</v>
      </c>
      <c r="Q489">
        <v>0</v>
      </c>
      <c r="R489">
        <v>0</v>
      </c>
      <c r="S489">
        <v>3</v>
      </c>
      <c r="T489">
        <v>11220</v>
      </c>
    </row>
    <row r="490" spans="1:20">
      <c r="A490" t="s">
        <v>668</v>
      </c>
      <c r="B490" s="1">
        <v>45422</v>
      </c>
      <c r="C490">
        <v>19</v>
      </c>
      <c r="D490">
        <v>5</v>
      </c>
      <c r="E490" t="s">
        <v>622</v>
      </c>
      <c r="F490" t="s">
        <v>80</v>
      </c>
      <c r="G490" t="s">
        <v>14</v>
      </c>
      <c r="H490">
        <v>3</v>
      </c>
      <c r="I490">
        <v>400</v>
      </c>
      <c r="J490">
        <v>0</v>
      </c>
      <c r="K490" t="s">
        <v>1922</v>
      </c>
      <c r="L490">
        <v>180</v>
      </c>
      <c r="M490">
        <v>1200</v>
      </c>
      <c r="N490">
        <v>540</v>
      </c>
      <c r="O490">
        <v>660</v>
      </c>
      <c r="P490">
        <v>0.55000000000000004</v>
      </c>
      <c r="Q490">
        <v>0</v>
      </c>
      <c r="R490">
        <v>0</v>
      </c>
      <c r="S490">
        <v>3</v>
      </c>
      <c r="T490">
        <v>1200</v>
      </c>
    </row>
    <row r="491" spans="1:20">
      <c r="A491" t="s">
        <v>669</v>
      </c>
      <c r="B491" s="1">
        <v>45422</v>
      </c>
      <c r="C491">
        <v>19</v>
      </c>
      <c r="D491">
        <v>5</v>
      </c>
      <c r="E491" t="s">
        <v>622</v>
      </c>
      <c r="F491" t="s">
        <v>364</v>
      </c>
      <c r="G491" t="s">
        <v>221</v>
      </c>
      <c r="H491">
        <v>3</v>
      </c>
      <c r="I491">
        <v>960</v>
      </c>
      <c r="J491">
        <v>0</v>
      </c>
      <c r="K491" t="s">
        <v>1946</v>
      </c>
      <c r="L491">
        <v>480</v>
      </c>
      <c r="M491">
        <v>2880</v>
      </c>
      <c r="N491">
        <v>1440</v>
      </c>
      <c r="O491">
        <v>1440</v>
      </c>
      <c r="P491">
        <v>0.5</v>
      </c>
      <c r="Q491">
        <v>0</v>
      </c>
      <c r="R491">
        <v>0</v>
      </c>
      <c r="S491">
        <v>3</v>
      </c>
      <c r="T491">
        <v>2880</v>
      </c>
    </row>
    <row r="492" spans="1:20">
      <c r="A492" t="s">
        <v>670</v>
      </c>
      <c r="B492" s="1">
        <v>45422</v>
      </c>
      <c r="C492">
        <v>19</v>
      </c>
      <c r="D492">
        <v>5</v>
      </c>
      <c r="E492" t="s">
        <v>622</v>
      </c>
      <c r="F492" t="s">
        <v>13</v>
      </c>
      <c r="G492" t="s">
        <v>14</v>
      </c>
      <c r="H492">
        <v>5</v>
      </c>
      <c r="I492">
        <v>432</v>
      </c>
      <c r="J492">
        <v>10</v>
      </c>
      <c r="K492" t="s">
        <v>1925</v>
      </c>
      <c r="L492">
        <v>220</v>
      </c>
      <c r="M492">
        <v>2160</v>
      </c>
      <c r="N492">
        <v>1100</v>
      </c>
      <c r="O492">
        <v>1060</v>
      </c>
      <c r="P492">
        <v>0.49074074074074098</v>
      </c>
      <c r="Q492">
        <v>2</v>
      </c>
      <c r="R492">
        <v>2</v>
      </c>
      <c r="S492">
        <v>3</v>
      </c>
      <c r="T492">
        <v>1296</v>
      </c>
    </row>
    <row r="493" spans="1:20">
      <c r="A493" t="s">
        <v>671</v>
      </c>
      <c r="B493" s="1">
        <v>45422</v>
      </c>
      <c r="C493">
        <v>19</v>
      </c>
      <c r="D493">
        <v>5</v>
      </c>
      <c r="E493" t="s">
        <v>622</v>
      </c>
      <c r="F493" t="s">
        <v>37</v>
      </c>
      <c r="G493" t="s">
        <v>20</v>
      </c>
      <c r="H493">
        <v>4</v>
      </c>
      <c r="I493">
        <v>2340</v>
      </c>
      <c r="J493">
        <v>0</v>
      </c>
      <c r="K493" t="s">
        <v>1935</v>
      </c>
      <c r="L493">
        <v>1300</v>
      </c>
      <c r="M493">
        <v>9360</v>
      </c>
      <c r="N493">
        <v>5200</v>
      </c>
      <c r="O493">
        <v>4160</v>
      </c>
      <c r="P493">
        <v>0.44444444444444398</v>
      </c>
      <c r="Q493">
        <v>0</v>
      </c>
      <c r="R493">
        <v>0</v>
      </c>
      <c r="S493">
        <v>4</v>
      </c>
      <c r="T493">
        <v>9360</v>
      </c>
    </row>
    <row r="494" spans="1:20">
      <c r="A494" t="s">
        <v>672</v>
      </c>
      <c r="B494" s="1">
        <v>45422</v>
      </c>
      <c r="C494">
        <v>19</v>
      </c>
      <c r="D494">
        <v>5</v>
      </c>
      <c r="E494" t="s">
        <v>622</v>
      </c>
      <c r="F494" t="s">
        <v>349</v>
      </c>
      <c r="G494" t="s">
        <v>221</v>
      </c>
      <c r="H494">
        <v>2</v>
      </c>
      <c r="I494">
        <v>340</v>
      </c>
      <c r="J494">
        <v>15</v>
      </c>
      <c r="K494" t="s">
        <v>1948</v>
      </c>
      <c r="L494">
        <v>200</v>
      </c>
      <c r="M494">
        <v>680</v>
      </c>
      <c r="N494">
        <v>400</v>
      </c>
      <c r="O494">
        <v>280</v>
      </c>
      <c r="P494">
        <v>0.41176470588235298</v>
      </c>
      <c r="Q494">
        <v>0</v>
      </c>
      <c r="R494">
        <v>0</v>
      </c>
      <c r="S494">
        <v>2</v>
      </c>
      <c r="T494">
        <v>680</v>
      </c>
    </row>
    <row r="495" spans="1:20">
      <c r="A495" t="s">
        <v>673</v>
      </c>
      <c r="B495" s="1">
        <v>45422</v>
      </c>
      <c r="C495">
        <v>19</v>
      </c>
      <c r="D495">
        <v>5</v>
      </c>
      <c r="E495" t="s">
        <v>622</v>
      </c>
      <c r="F495" t="s">
        <v>349</v>
      </c>
      <c r="G495" t="s">
        <v>221</v>
      </c>
      <c r="H495">
        <v>2</v>
      </c>
      <c r="I495">
        <v>340</v>
      </c>
      <c r="J495">
        <v>15</v>
      </c>
      <c r="K495" t="s">
        <v>1948</v>
      </c>
      <c r="L495">
        <v>200</v>
      </c>
      <c r="M495">
        <v>680</v>
      </c>
      <c r="N495">
        <v>400</v>
      </c>
      <c r="O495">
        <v>280</v>
      </c>
      <c r="P495">
        <v>0.41176470588235298</v>
      </c>
      <c r="Q495">
        <v>1</v>
      </c>
      <c r="R495">
        <v>1</v>
      </c>
      <c r="S495">
        <v>1</v>
      </c>
      <c r="T495">
        <v>340</v>
      </c>
    </row>
    <row r="496" spans="1:20">
      <c r="A496" t="s">
        <v>674</v>
      </c>
      <c r="B496" s="1">
        <v>45423</v>
      </c>
      <c r="C496">
        <v>19</v>
      </c>
      <c r="D496">
        <v>5</v>
      </c>
      <c r="E496" t="s">
        <v>622</v>
      </c>
      <c r="F496" t="s">
        <v>97</v>
      </c>
      <c r="G496" t="s">
        <v>20</v>
      </c>
      <c r="H496">
        <v>3</v>
      </c>
      <c r="I496">
        <v>1980</v>
      </c>
      <c r="J496">
        <v>0</v>
      </c>
      <c r="K496" t="s">
        <v>1932</v>
      </c>
      <c r="L496">
        <v>1100</v>
      </c>
      <c r="M496">
        <v>5940</v>
      </c>
      <c r="N496">
        <v>3300</v>
      </c>
      <c r="O496">
        <v>2640</v>
      </c>
      <c r="P496">
        <v>0.44444444444444398</v>
      </c>
      <c r="Q496">
        <v>0</v>
      </c>
      <c r="R496">
        <v>0</v>
      </c>
      <c r="S496">
        <v>3</v>
      </c>
      <c r="T496">
        <v>5940</v>
      </c>
    </row>
    <row r="497" spans="1:20">
      <c r="A497" t="s">
        <v>676</v>
      </c>
      <c r="B497" s="1">
        <v>45423</v>
      </c>
      <c r="C497">
        <v>19</v>
      </c>
      <c r="D497">
        <v>5</v>
      </c>
      <c r="E497" t="s">
        <v>622</v>
      </c>
      <c r="F497" t="s">
        <v>64</v>
      </c>
      <c r="G497" t="s">
        <v>14</v>
      </c>
      <c r="H497">
        <v>3</v>
      </c>
      <c r="I497">
        <v>2640</v>
      </c>
      <c r="J497">
        <v>0</v>
      </c>
      <c r="K497" t="s">
        <v>1923</v>
      </c>
      <c r="L497">
        <v>1200</v>
      </c>
      <c r="M497">
        <v>7920</v>
      </c>
      <c r="N497">
        <v>3600</v>
      </c>
      <c r="O497">
        <v>4320</v>
      </c>
      <c r="P497">
        <v>0.54545454545454497</v>
      </c>
      <c r="Q497">
        <v>0</v>
      </c>
      <c r="R497">
        <v>0</v>
      </c>
      <c r="S497">
        <v>3</v>
      </c>
      <c r="T497">
        <v>7920</v>
      </c>
    </row>
    <row r="498" spans="1:20">
      <c r="A498" t="s">
        <v>677</v>
      </c>
      <c r="B498" s="1">
        <v>45423</v>
      </c>
      <c r="C498">
        <v>19</v>
      </c>
      <c r="D498">
        <v>5</v>
      </c>
      <c r="E498" t="s">
        <v>622</v>
      </c>
      <c r="F498" t="s">
        <v>369</v>
      </c>
      <c r="G498" t="s">
        <v>221</v>
      </c>
      <c r="H498">
        <v>4</v>
      </c>
      <c r="I498">
        <v>700</v>
      </c>
      <c r="J498">
        <v>0</v>
      </c>
      <c r="K498" t="s">
        <v>1949</v>
      </c>
      <c r="L498">
        <v>350</v>
      </c>
      <c r="M498">
        <v>2800</v>
      </c>
      <c r="N498">
        <v>1400</v>
      </c>
      <c r="O498">
        <v>1400</v>
      </c>
      <c r="P498">
        <v>0.5</v>
      </c>
      <c r="Q498">
        <v>0</v>
      </c>
      <c r="R498">
        <v>0</v>
      </c>
      <c r="S498">
        <v>4</v>
      </c>
      <c r="T498">
        <v>2800</v>
      </c>
    </row>
    <row r="499" spans="1:20">
      <c r="A499" t="s">
        <v>678</v>
      </c>
      <c r="B499" s="1">
        <v>45423</v>
      </c>
      <c r="C499">
        <v>19</v>
      </c>
      <c r="D499">
        <v>5</v>
      </c>
      <c r="E499" t="s">
        <v>622</v>
      </c>
      <c r="F499" t="s">
        <v>115</v>
      </c>
      <c r="G499" t="s">
        <v>23</v>
      </c>
      <c r="H499">
        <v>3</v>
      </c>
      <c r="I499">
        <v>1200</v>
      </c>
      <c r="J499">
        <v>0</v>
      </c>
      <c r="K499" t="s">
        <v>1926</v>
      </c>
      <c r="L499">
        <v>600</v>
      </c>
      <c r="M499">
        <v>3600</v>
      </c>
      <c r="N499">
        <v>1800</v>
      </c>
      <c r="O499">
        <v>1800</v>
      </c>
      <c r="P499">
        <v>0.5</v>
      </c>
      <c r="Q499">
        <v>2</v>
      </c>
      <c r="R499">
        <v>2</v>
      </c>
      <c r="S499">
        <v>1</v>
      </c>
      <c r="T499">
        <v>1200</v>
      </c>
    </row>
    <row r="500" spans="1:20">
      <c r="A500" t="s">
        <v>679</v>
      </c>
      <c r="B500" s="1">
        <v>45423</v>
      </c>
      <c r="C500">
        <v>19</v>
      </c>
      <c r="D500">
        <v>5</v>
      </c>
      <c r="E500" t="s">
        <v>622</v>
      </c>
      <c r="F500" t="s">
        <v>349</v>
      </c>
      <c r="G500" t="s">
        <v>221</v>
      </c>
      <c r="H500">
        <v>3</v>
      </c>
      <c r="I500">
        <v>400</v>
      </c>
      <c r="J500">
        <v>0</v>
      </c>
      <c r="K500" t="s">
        <v>1948</v>
      </c>
      <c r="L500">
        <v>200</v>
      </c>
      <c r="M500">
        <v>1200</v>
      </c>
      <c r="N500">
        <v>600</v>
      </c>
      <c r="O500">
        <v>600</v>
      </c>
      <c r="P500">
        <v>0.5</v>
      </c>
      <c r="Q500">
        <v>0</v>
      </c>
      <c r="R500">
        <v>0</v>
      </c>
      <c r="S500">
        <v>3</v>
      </c>
      <c r="T500">
        <v>1200</v>
      </c>
    </row>
    <row r="501" spans="1:20">
      <c r="A501" t="s">
        <v>680</v>
      </c>
      <c r="B501" s="1">
        <v>45424</v>
      </c>
      <c r="C501">
        <v>19</v>
      </c>
      <c r="D501">
        <v>5</v>
      </c>
      <c r="E501" t="s">
        <v>622</v>
      </c>
      <c r="F501" t="s">
        <v>146</v>
      </c>
      <c r="G501" t="s">
        <v>20</v>
      </c>
      <c r="H501">
        <v>4</v>
      </c>
      <c r="I501">
        <v>567</v>
      </c>
      <c r="J501">
        <v>10</v>
      </c>
      <c r="K501" t="s">
        <v>1934</v>
      </c>
      <c r="L501">
        <v>350</v>
      </c>
      <c r="M501">
        <v>2268</v>
      </c>
      <c r="N501">
        <v>1400</v>
      </c>
      <c r="O501">
        <v>868</v>
      </c>
      <c r="P501">
        <v>0.38271604938271597</v>
      </c>
      <c r="Q501">
        <v>0</v>
      </c>
      <c r="R501">
        <v>0</v>
      </c>
      <c r="S501">
        <v>4</v>
      </c>
      <c r="T501">
        <v>2268</v>
      </c>
    </row>
    <row r="502" spans="1:20">
      <c r="A502" t="s">
        <v>682</v>
      </c>
      <c r="B502" s="1">
        <v>45424</v>
      </c>
      <c r="C502">
        <v>19</v>
      </c>
      <c r="D502">
        <v>5</v>
      </c>
      <c r="E502" t="s">
        <v>622</v>
      </c>
      <c r="F502" t="s">
        <v>51</v>
      </c>
      <c r="G502" t="s">
        <v>26</v>
      </c>
      <c r="H502">
        <v>1</v>
      </c>
      <c r="I502">
        <v>500</v>
      </c>
      <c r="J502">
        <v>0</v>
      </c>
      <c r="K502" t="s">
        <v>1936</v>
      </c>
      <c r="L502">
        <v>200</v>
      </c>
      <c r="M502">
        <v>500</v>
      </c>
      <c r="N502">
        <v>200</v>
      </c>
      <c r="O502">
        <v>300</v>
      </c>
      <c r="P502">
        <v>0.6</v>
      </c>
      <c r="Q502">
        <v>0</v>
      </c>
      <c r="R502">
        <v>0</v>
      </c>
      <c r="S502">
        <v>1</v>
      </c>
      <c r="T502">
        <v>500</v>
      </c>
    </row>
    <row r="503" spans="1:20">
      <c r="A503" t="s">
        <v>683</v>
      </c>
      <c r="B503" s="1">
        <v>45424</v>
      </c>
      <c r="C503">
        <v>19</v>
      </c>
      <c r="D503">
        <v>5</v>
      </c>
      <c r="E503" t="s">
        <v>622</v>
      </c>
      <c r="F503" t="s">
        <v>45</v>
      </c>
      <c r="G503" t="s">
        <v>26</v>
      </c>
      <c r="H503">
        <v>2</v>
      </c>
      <c r="I503">
        <v>3825</v>
      </c>
      <c r="J503">
        <v>15</v>
      </c>
      <c r="K503" t="s">
        <v>1938</v>
      </c>
      <c r="L503">
        <v>1800</v>
      </c>
      <c r="M503">
        <v>7650</v>
      </c>
      <c r="N503">
        <v>3600</v>
      </c>
      <c r="O503">
        <v>4050</v>
      </c>
      <c r="P503">
        <v>0.52941176470588203</v>
      </c>
      <c r="Q503">
        <v>0</v>
      </c>
      <c r="R503">
        <v>0</v>
      </c>
      <c r="S503">
        <v>2</v>
      </c>
      <c r="T503">
        <v>7650</v>
      </c>
    </row>
    <row r="504" spans="1:20">
      <c r="A504" t="s">
        <v>684</v>
      </c>
      <c r="B504" s="1">
        <v>45424</v>
      </c>
      <c r="C504">
        <v>19</v>
      </c>
      <c r="D504">
        <v>5</v>
      </c>
      <c r="E504" t="s">
        <v>622</v>
      </c>
      <c r="F504" t="s">
        <v>22</v>
      </c>
      <c r="G504" t="s">
        <v>23</v>
      </c>
      <c r="H504">
        <v>4</v>
      </c>
      <c r="I504">
        <v>500</v>
      </c>
      <c r="J504">
        <v>0</v>
      </c>
      <c r="K504" t="s">
        <v>1929</v>
      </c>
      <c r="L504">
        <v>250</v>
      </c>
      <c r="M504">
        <v>2000</v>
      </c>
      <c r="N504">
        <v>1000</v>
      </c>
      <c r="O504">
        <v>1000</v>
      </c>
      <c r="P504">
        <v>0.5</v>
      </c>
      <c r="Q504">
        <v>0</v>
      </c>
      <c r="R504">
        <v>0</v>
      </c>
      <c r="S504">
        <v>4</v>
      </c>
      <c r="T504">
        <v>2000</v>
      </c>
    </row>
    <row r="505" spans="1:20">
      <c r="A505" t="s">
        <v>685</v>
      </c>
      <c r="B505" s="1">
        <v>45425</v>
      </c>
      <c r="C505">
        <v>20</v>
      </c>
      <c r="D505">
        <v>5</v>
      </c>
      <c r="E505" t="s">
        <v>622</v>
      </c>
      <c r="F505" t="s">
        <v>37</v>
      </c>
      <c r="G505" t="s">
        <v>20</v>
      </c>
      <c r="H505">
        <v>3</v>
      </c>
      <c r="I505">
        <v>1989</v>
      </c>
      <c r="J505">
        <v>15</v>
      </c>
      <c r="K505" t="s">
        <v>1935</v>
      </c>
      <c r="L505">
        <v>1300</v>
      </c>
      <c r="M505">
        <v>5967</v>
      </c>
      <c r="N505">
        <v>3900</v>
      </c>
      <c r="O505">
        <v>2067</v>
      </c>
      <c r="P505">
        <v>0.34640522875816998</v>
      </c>
      <c r="Q505">
        <v>0</v>
      </c>
      <c r="R505">
        <v>0</v>
      </c>
      <c r="S505">
        <v>3</v>
      </c>
      <c r="T505">
        <v>5967</v>
      </c>
    </row>
    <row r="506" spans="1:20">
      <c r="A506" t="s">
        <v>687</v>
      </c>
      <c r="B506" s="1">
        <v>45425</v>
      </c>
      <c r="C506">
        <v>20</v>
      </c>
      <c r="D506">
        <v>5</v>
      </c>
      <c r="E506" t="s">
        <v>622</v>
      </c>
      <c r="F506" t="s">
        <v>39</v>
      </c>
      <c r="G506" t="s">
        <v>14</v>
      </c>
      <c r="H506">
        <v>2</v>
      </c>
      <c r="I506">
        <v>836</v>
      </c>
      <c r="J506">
        <v>5</v>
      </c>
      <c r="K506" t="s">
        <v>1921</v>
      </c>
      <c r="L506">
        <v>400</v>
      </c>
      <c r="M506">
        <v>1672</v>
      </c>
      <c r="N506">
        <v>800</v>
      </c>
      <c r="O506">
        <v>872</v>
      </c>
      <c r="P506">
        <v>0.52153110047846896</v>
      </c>
      <c r="Q506">
        <v>0</v>
      </c>
      <c r="R506">
        <v>0</v>
      </c>
      <c r="S506">
        <v>2</v>
      </c>
      <c r="T506">
        <v>1672</v>
      </c>
    </row>
    <row r="507" spans="1:20">
      <c r="A507" t="s">
        <v>688</v>
      </c>
      <c r="B507" s="1">
        <v>45425</v>
      </c>
      <c r="C507">
        <v>20</v>
      </c>
      <c r="D507">
        <v>5</v>
      </c>
      <c r="E507" t="s">
        <v>622</v>
      </c>
      <c r="F507" t="s">
        <v>364</v>
      </c>
      <c r="G507" t="s">
        <v>221</v>
      </c>
      <c r="H507">
        <v>2</v>
      </c>
      <c r="I507">
        <v>912</v>
      </c>
      <c r="J507">
        <v>5</v>
      </c>
      <c r="K507" t="s">
        <v>1946</v>
      </c>
      <c r="L507">
        <v>480</v>
      </c>
      <c r="M507">
        <v>1824</v>
      </c>
      <c r="N507">
        <v>960</v>
      </c>
      <c r="O507">
        <v>864</v>
      </c>
      <c r="P507">
        <v>0.47368421052631599</v>
      </c>
      <c r="Q507">
        <v>0</v>
      </c>
      <c r="R507">
        <v>0</v>
      </c>
      <c r="S507">
        <v>2</v>
      </c>
      <c r="T507">
        <v>1824</v>
      </c>
    </row>
    <row r="508" spans="1:20">
      <c r="A508" t="s">
        <v>689</v>
      </c>
      <c r="B508" s="1">
        <v>45426</v>
      </c>
      <c r="C508">
        <v>20</v>
      </c>
      <c r="D508">
        <v>5</v>
      </c>
      <c r="E508" t="s">
        <v>622</v>
      </c>
      <c r="F508" t="s">
        <v>82</v>
      </c>
      <c r="G508" t="s">
        <v>20</v>
      </c>
      <c r="H508">
        <v>4</v>
      </c>
      <c r="I508">
        <v>765</v>
      </c>
      <c r="J508">
        <v>15</v>
      </c>
      <c r="K508" t="s">
        <v>1933</v>
      </c>
      <c r="L508">
        <v>500</v>
      </c>
      <c r="M508">
        <v>3060</v>
      </c>
      <c r="N508">
        <v>2000</v>
      </c>
      <c r="O508">
        <v>1060</v>
      </c>
      <c r="P508">
        <v>0.34640522875816998</v>
      </c>
      <c r="Q508">
        <v>0</v>
      </c>
      <c r="R508">
        <v>0</v>
      </c>
      <c r="S508">
        <v>4</v>
      </c>
      <c r="T508">
        <v>3060</v>
      </c>
    </row>
    <row r="509" spans="1:20">
      <c r="A509" t="s">
        <v>691</v>
      </c>
      <c r="B509" s="1">
        <v>45426</v>
      </c>
      <c r="C509">
        <v>20</v>
      </c>
      <c r="D509">
        <v>5</v>
      </c>
      <c r="E509" t="s">
        <v>622</v>
      </c>
      <c r="F509" t="s">
        <v>146</v>
      </c>
      <c r="G509" t="s">
        <v>20</v>
      </c>
      <c r="H509">
        <v>5</v>
      </c>
      <c r="I509">
        <v>630</v>
      </c>
      <c r="J509">
        <v>0</v>
      </c>
      <c r="K509" t="s">
        <v>1934</v>
      </c>
      <c r="L509">
        <v>350</v>
      </c>
      <c r="M509">
        <v>3150</v>
      </c>
      <c r="N509">
        <v>1750</v>
      </c>
      <c r="O509">
        <v>1400</v>
      </c>
      <c r="P509">
        <v>0.44444444444444398</v>
      </c>
      <c r="Q509">
        <v>0</v>
      </c>
      <c r="R509">
        <v>0</v>
      </c>
      <c r="S509">
        <v>5</v>
      </c>
      <c r="T509">
        <v>3150</v>
      </c>
    </row>
    <row r="510" spans="1:20">
      <c r="A510" t="s">
        <v>692</v>
      </c>
      <c r="B510" s="1">
        <v>45426</v>
      </c>
      <c r="C510">
        <v>20</v>
      </c>
      <c r="D510">
        <v>5</v>
      </c>
      <c r="E510" t="s">
        <v>622</v>
      </c>
      <c r="F510" t="s">
        <v>364</v>
      </c>
      <c r="G510" t="s">
        <v>221</v>
      </c>
      <c r="H510">
        <v>4</v>
      </c>
      <c r="I510">
        <v>912</v>
      </c>
      <c r="J510">
        <v>5</v>
      </c>
      <c r="K510" t="s">
        <v>1946</v>
      </c>
      <c r="L510">
        <v>480</v>
      </c>
      <c r="M510">
        <v>3648</v>
      </c>
      <c r="N510">
        <v>1920</v>
      </c>
      <c r="O510">
        <v>1728</v>
      </c>
      <c r="P510">
        <v>0.47368421052631599</v>
      </c>
      <c r="Q510">
        <v>0</v>
      </c>
      <c r="R510">
        <v>0</v>
      </c>
      <c r="S510">
        <v>4</v>
      </c>
      <c r="T510">
        <v>3648</v>
      </c>
    </row>
    <row r="511" spans="1:20">
      <c r="A511" t="s">
        <v>693</v>
      </c>
      <c r="B511" s="1">
        <v>45426</v>
      </c>
      <c r="C511">
        <v>20</v>
      </c>
      <c r="D511">
        <v>5</v>
      </c>
      <c r="E511" t="s">
        <v>622</v>
      </c>
      <c r="F511" t="s">
        <v>119</v>
      </c>
      <c r="G511" t="s">
        <v>14</v>
      </c>
      <c r="H511">
        <v>2</v>
      </c>
      <c r="I511">
        <v>654.5</v>
      </c>
      <c r="J511">
        <v>15</v>
      </c>
      <c r="K511" t="s">
        <v>1920</v>
      </c>
      <c r="L511">
        <v>350</v>
      </c>
      <c r="M511">
        <v>1309</v>
      </c>
      <c r="N511">
        <v>700</v>
      </c>
      <c r="O511">
        <v>609</v>
      </c>
      <c r="P511">
        <v>0.46524064171122997</v>
      </c>
      <c r="Q511">
        <v>0</v>
      </c>
      <c r="R511">
        <v>0</v>
      </c>
      <c r="S511">
        <v>2</v>
      </c>
      <c r="T511">
        <v>1309</v>
      </c>
    </row>
    <row r="512" spans="1:20">
      <c r="A512" t="s">
        <v>694</v>
      </c>
      <c r="B512" s="1">
        <v>45426</v>
      </c>
      <c r="C512">
        <v>20</v>
      </c>
      <c r="D512">
        <v>5</v>
      </c>
      <c r="E512" t="s">
        <v>622</v>
      </c>
      <c r="F512" t="s">
        <v>51</v>
      </c>
      <c r="G512" t="s">
        <v>26</v>
      </c>
      <c r="H512">
        <v>1</v>
      </c>
      <c r="I512">
        <v>500</v>
      </c>
      <c r="J512">
        <v>0</v>
      </c>
      <c r="K512" t="s">
        <v>1936</v>
      </c>
      <c r="L512">
        <v>200</v>
      </c>
      <c r="M512">
        <v>500</v>
      </c>
      <c r="N512">
        <v>200</v>
      </c>
      <c r="O512">
        <v>300</v>
      </c>
      <c r="P512">
        <v>0.6</v>
      </c>
      <c r="Q512">
        <v>0</v>
      </c>
      <c r="R512">
        <v>0</v>
      </c>
      <c r="S512">
        <v>1</v>
      </c>
      <c r="T512">
        <v>500</v>
      </c>
    </row>
    <row r="513" spans="1:20">
      <c r="A513" t="s">
        <v>695</v>
      </c>
      <c r="B513" s="1">
        <v>45427</v>
      </c>
      <c r="C513">
        <v>20</v>
      </c>
      <c r="D513">
        <v>5</v>
      </c>
      <c r="E513" t="s">
        <v>622</v>
      </c>
      <c r="F513" t="s">
        <v>68</v>
      </c>
      <c r="G513" t="s">
        <v>26</v>
      </c>
      <c r="H513">
        <v>1</v>
      </c>
      <c r="I513">
        <v>380</v>
      </c>
      <c r="J513">
        <v>0</v>
      </c>
      <c r="K513" t="s">
        <v>1937</v>
      </c>
      <c r="L513">
        <v>150</v>
      </c>
      <c r="M513">
        <v>380</v>
      </c>
      <c r="N513">
        <v>150</v>
      </c>
      <c r="O513">
        <v>230</v>
      </c>
      <c r="P513">
        <v>0.60526315789473695</v>
      </c>
      <c r="Q513">
        <v>0</v>
      </c>
      <c r="R513">
        <v>0</v>
      </c>
      <c r="S513">
        <v>1</v>
      </c>
      <c r="T513">
        <v>380</v>
      </c>
    </row>
    <row r="514" spans="1:20">
      <c r="A514" t="s">
        <v>697</v>
      </c>
      <c r="B514" s="1">
        <v>45427</v>
      </c>
      <c r="C514">
        <v>20</v>
      </c>
      <c r="D514">
        <v>5</v>
      </c>
      <c r="E514" t="s">
        <v>622</v>
      </c>
      <c r="F514" t="s">
        <v>37</v>
      </c>
      <c r="G514" t="s">
        <v>20</v>
      </c>
      <c r="H514">
        <v>3</v>
      </c>
      <c r="I514">
        <v>2340</v>
      </c>
      <c r="J514">
        <v>0</v>
      </c>
      <c r="K514" t="s">
        <v>1935</v>
      </c>
      <c r="L514">
        <v>1300</v>
      </c>
      <c r="M514">
        <v>7020</v>
      </c>
      <c r="N514">
        <v>3900</v>
      </c>
      <c r="O514">
        <v>3120</v>
      </c>
      <c r="P514">
        <v>0.44444444444444398</v>
      </c>
      <c r="Q514">
        <v>0</v>
      </c>
      <c r="R514">
        <v>0</v>
      </c>
      <c r="S514">
        <v>3</v>
      </c>
      <c r="T514">
        <v>7020</v>
      </c>
    </row>
    <row r="515" spans="1:20">
      <c r="A515" t="s">
        <v>698</v>
      </c>
      <c r="B515" s="1">
        <v>45427</v>
      </c>
      <c r="C515">
        <v>20</v>
      </c>
      <c r="D515">
        <v>5</v>
      </c>
      <c r="E515" t="s">
        <v>622</v>
      </c>
      <c r="F515" t="s">
        <v>97</v>
      </c>
      <c r="G515" t="s">
        <v>20</v>
      </c>
      <c r="H515">
        <v>4</v>
      </c>
      <c r="I515">
        <v>1881</v>
      </c>
      <c r="J515">
        <v>5</v>
      </c>
      <c r="K515" t="s">
        <v>1932</v>
      </c>
      <c r="L515">
        <v>1100</v>
      </c>
      <c r="M515">
        <v>7524</v>
      </c>
      <c r="N515">
        <v>4400</v>
      </c>
      <c r="O515">
        <v>3124</v>
      </c>
      <c r="P515">
        <v>0.41520467836257302</v>
      </c>
      <c r="Q515">
        <v>0</v>
      </c>
      <c r="R515">
        <v>0</v>
      </c>
      <c r="S515">
        <v>4</v>
      </c>
      <c r="T515">
        <v>7524</v>
      </c>
    </row>
    <row r="516" spans="1:20">
      <c r="A516" t="s">
        <v>699</v>
      </c>
      <c r="B516" s="1">
        <v>45428</v>
      </c>
      <c r="C516">
        <v>20</v>
      </c>
      <c r="D516">
        <v>5</v>
      </c>
      <c r="E516" t="s">
        <v>622</v>
      </c>
      <c r="F516" t="s">
        <v>97</v>
      </c>
      <c r="G516" t="s">
        <v>20</v>
      </c>
      <c r="H516">
        <v>2</v>
      </c>
      <c r="I516">
        <v>1980</v>
      </c>
      <c r="J516">
        <v>0</v>
      </c>
      <c r="K516" t="s">
        <v>1932</v>
      </c>
      <c r="L516">
        <v>1100</v>
      </c>
      <c r="M516">
        <v>3960</v>
      </c>
      <c r="N516">
        <v>2200</v>
      </c>
      <c r="O516">
        <v>1760</v>
      </c>
      <c r="P516">
        <v>0.44444444444444398</v>
      </c>
      <c r="Q516">
        <v>0</v>
      </c>
      <c r="R516">
        <v>0</v>
      </c>
      <c r="S516">
        <v>2</v>
      </c>
      <c r="T516">
        <v>3960</v>
      </c>
    </row>
    <row r="517" spans="1:20">
      <c r="A517" t="s">
        <v>701</v>
      </c>
      <c r="B517" s="1">
        <v>45428</v>
      </c>
      <c r="C517">
        <v>20</v>
      </c>
      <c r="D517">
        <v>5</v>
      </c>
      <c r="E517" t="s">
        <v>622</v>
      </c>
      <c r="F517" t="s">
        <v>349</v>
      </c>
      <c r="G517" t="s">
        <v>221</v>
      </c>
      <c r="H517">
        <v>3</v>
      </c>
      <c r="I517">
        <v>380</v>
      </c>
      <c r="J517">
        <v>5</v>
      </c>
      <c r="K517" t="s">
        <v>1948</v>
      </c>
      <c r="L517">
        <v>200</v>
      </c>
      <c r="M517">
        <v>1140</v>
      </c>
      <c r="N517">
        <v>600</v>
      </c>
      <c r="O517">
        <v>540</v>
      </c>
      <c r="P517">
        <v>0.47368421052631599</v>
      </c>
      <c r="Q517">
        <v>0</v>
      </c>
      <c r="R517">
        <v>0</v>
      </c>
      <c r="S517">
        <v>3</v>
      </c>
      <c r="T517">
        <v>1140</v>
      </c>
    </row>
    <row r="518" spans="1:20">
      <c r="A518" t="s">
        <v>702</v>
      </c>
      <c r="B518" s="1">
        <v>45428</v>
      </c>
      <c r="C518">
        <v>20</v>
      </c>
      <c r="D518">
        <v>5</v>
      </c>
      <c r="E518" t="s">
        <v>622</v>
      </c>
      <c r="F518" t="s">
        <v>51</v>
      </c>
      <c r="G518" t="s">
        <v>26</v>
      </c>
      <c r="H518">
        <v>5</v>
      </c>
      <c r="I518">
        <v>450</v>
      </c>
      <c r="J518">
        <v>10</v>
      </c>
      <c r="K518" t="s">
        <v>1936</v>
      </c>
      <c r="L518">
        <v>200</v>
      </c>
      <c r="M518">
        <v>2250</v>
      </c>
      <c r="N518">
        <v>1000</v>
      </c>
      <c r="O518">
        <v>1250</v>
      </c>
      <c r="P518">
        <v>0.55555555555555602</v>
      </c>
      <c r="Q518">
        <v>0</v>
      </c>
      <c r="R518">
        <v>0</v>
      </c>
      <c r="S518">
        <v>5</v>
      </c>
      <c r="T518">
        <v>2250</v>
      </c>
    </row>
    <row r="519" spans="1:20">
      <c r="A519" t="s">
        <v>703</v>
      </c>
      <c r="B519" s="1">
        <v>45428</v>
      </c>
      <c r="C519">
        <v>20</v>
      </c>
      <c r="D519">
        <v>5</v>
      </c>
      <c r="E519" t="s">
        <v>622</v>
      </c>
      <c r="F519" t="s">
        <v>97</v>
      </c>
      <c r="G519" t="s">
        <v>20</v>
      </c>
      <c r="H519">
        <v>1</v>
      </c>
      <c r="I519">
        <v>1782</v>
      </c>
      <c r="J519">
        <v>10</v>
      </c>
      <c r="K519" t="s">
        <v>1932</v>
      </c>
      <c r="L519">
        <v>1100</v>
      </c>
      <c r="M519">
        <v>1782</v>
      </c>
      <c r="N519">
        <v>1100</v>
      </c>
      <c r="O519">
        <v>682</v>
      </c>
      <c r="P519">
        <v>0.38271604938271597</v>
      </c>
      <c r="Q519">
        <v>0</v>
      </c>
      <c r="R519">
        <v>0</v>
      </c>
      <c r="S519">
        <v>1</v>
      </c>
      <c r="T519">
        <v>1782</v>
      </c>
    </row>
    <row r="520" spans="1:20">
      <c r="A520" t="s">
        <v>704</v>
      </c>
      <c r="B520" s="1">
        <v>45428</v>
      </c>
      <c r="C520">
        <v>20</v>
      </c>
      <c r="D520">
        <v>5</v>
      </c>
      <c r="E520" t="s">
        <v>622</v>
      </c>
      <c r="F520" t="s">
        <v>51</v>
      </c>
      <c r="G520" t="s">
        <v>26</v>
      </c>
      <c r="H520">
        <v>1</v>
      </c>
      <c r="I520">
        <v>500</v>
      </c>
      <c r="J520">
        <v>0</v>
      </c>
      <c r="K520" t="s">
        <v>1936</v>
      </c>
      <c r="L520">
        <v>200</v>
      </c>
      <c r="M520">
        <v>500</v>
      </c>
      <c r="N520">
        <v>200</v>
      </c>
      <c r="O520">
        <v>300</v>
      </c>
      <c r="P520">
        <v>0.6</v>
      </c>
      <c r="Q520">
        <v>0</v>
      </c>
      <c r="R520">
        <v>0</v>
      </c>
      <c r="S520">
        <v>1</v>
      </c>
      <c r="T520">
        <v>500</v>
      </c>
    </row>
    <row r="521" spans="1:20">
      <c r="A521" t="s">
        <v>705</v>
      </c>
      <c r="B521" s="1">
        <v>45428</v>
      </c>
      <c r="C521">
        <v>20</v>
      </c>
      <c r="D521">
        <v>5</v>
      </c>
      <c r="E521" t="s">
        <v>622</v>
      </c>
      <c r="F521" t="s">
        <v>19</v>
      </c>
      <c r="G521" t="s">
        <v>20</v>
      </c>
      <c r="H521">
        <v>1</v>
      </c>
      <c r="I521">
        <v>1539</v>
      </c>
      <c r="J521">
        <v>5</v>
      </c>
      <c r="K521" t="s">
        <v>1931</v>
      </c>
      <c r="L521">
        <v>900</v>
      </c>
      <c r="M521">
        <v>1539</v>
      </c>
      <c r="N521">
        <v>900</v>
      </c>
      <c r="O521">
        <v>639</v>
      </c>
      <c r="P521">
        <v>0.41520467836257302</v>
      </c>
      <c r="Q521">
        <v>0</v>
      </c>
      <c r="R521">
        <v>0</v>
      </c>
      <c r="S521">
        <v>1</v>
      </c>
      <c r="T521">
        <v>1539</v>
      </c>
    </row>
    <row r="522" spans="1:20">
      <c r="A522" t="s">
        <v>706</v>
      </c>
      <c r="B522" s="1">
        <v>45428</v>
      </c>
      <c r="C522">
        <v>20</v>
      </c>
      <c r="D522">
        <v>5</v>
      </c>
      <c r="E522" t="s">
        <v>622</v>
      </c>
      <c r="F522" t="s">
        <v>66</v>
      </c>
      <c r="G522" t="s">
        <v>17</v>
      </c>
      <c r="H522">
        <v>5</v>
      </c>
      <c r="I522">
        <v>1470</v>
      </c>
      <c r="J522">
        <v>0</v>
      </c>
      <c r="K522" t="s">
        <v>1941</v>
      </c>
      <c r="L522">
        <v>700</v>
      </c>
      <c r="M522">
        <v>7350</v>
      </c>
      <c r="N522">
        <v>3500</v>
      </c>
      <c r="O522">
        <v>3850</v>
      </c>
      <c r="P522">
        <v>0.52380952380952395</v>
      </c>
      <c r="Q522">
        <v>0</v>
      </c>
      <c r="R522">
        <v>0</v>
      </c>
      <c r="S522">
        <v>5</v>
      </c>
      <c r="T522">
        <v>7350</v>
      </c>
    </row>
    <row r="523" spans="1:20">
      <c r="A523" t="s">
        <v>707</v>
      </c>
      <c r="B523" s="1">
        <v>45429</v>
      </c>
      <c r="C523">
        <v>20</v>
      </c>
      <c r="D523">
        <v>5</v>
      </c>
      <c r="E523" t="s">
        <v>622</v>
      </c>
      <c r="F523" t="s">
        <v>364</v>
      </c>
      <c r="G523" t="s">
        <v>221</v>
      </c>
      <c r="H523">
        <v>5</v>
      </c>
      <c r="I523">
        <v>960</v>
      </c>
      <c r="J523">
        <v>0</v>
      </c>
      <c r="K523" t="s">
        <v>1946</v>
      </c>
      <c r="L523">
        <v>480</v>
      </c>
      <c r="M523">
        <v>4800</v>
      </c>
      <c r="N523">
        <v>2400</v>
      </c>
      <c r="O523">
        <v>2400</v>
      </c>
      <c r="P523">
        <v>0.5</v>
      </c>
      <c r="Q523">
        <v>0</v>
      </c>
      <c r="R523">
        <v>0</v>
      </c>
      <c r="S523">
        <v>5</v>
      </c>
      <c r="T523">
        <v>4800</v>
      </c>
    </row>
    <row r="524" spans="1:20">
      <c r="A524" t="s">
        <v>709</v>
      </c>
      <c r="B524" s="1">
        <v>45429</v>
      </c>
      <c r="C524">
        <v>20</v>
      </c>
      <c r="D524">
        <v>5</v>
      </c>
      <c r="E524" t="s">
        <v>622</v>
      </c>
      <c r="F524" t="s">
        <v>31</v>
      </c>
      <c r="G524" t="s">
        <v>23</v>
      </c>
      <c r="H524">
        <v>2</v>
      </c>
      <c r="I524">
        <v>1400</v>
      </c>
      <c r="J524">
        <v>0</v>
      </c>
      <c r="K524" t="s">
        <v>1930</v>
      </c>
      <c r="L524">
        <v>700</v>
      </c>
      <c r="M524">
        <v>2800</v>
      </c>
      <c r="N524">
        <v>1400</v>
      </c>
      <c r="O524">
        <v>1400</v>
      </c>
      <c r="P524">
        <v>0.5</v>
      </c>
      <c r="Q524">
        <v>2</v>
      </c>
      <c r="R524">
        <v>2</v>
      </c>
      <c r="S524">
        <v>0</v>
      </c>
      <c r="T524">
        <v>0</v>
      </c>
    </row>
    <row r="525" spans="1:20">
      <c r="A525" t="s">
        <v>710</v>
      </c>
      <c r="B525" s="1">
        <v>45429</v>
      </c>
      <c r="C525">
        <v>20</v>
      </c>
      <c r="D525">
        <v>5</v>
      </c>
      <c r="E525" t="s">
        <v>622</v>
      </c>
      <c r="F525" t="s">
        <v>22</v>
      </c>
      <c r="G525" t="s">
        <v>23</v>
      </c>
      <c r="H525">
        <v>5</v>
      </c>
      <c r="I525">
        <v>425</v>
      </c>
      <c r="J525">
        <v>15</v>
      </c>
      <c r="K525" t="s">
        <v>1929</v>
      </c>
      <c r="L525">
        <v>250</v>
      </c>
      <c r="M525">
        <v>2125</v>
      </c>
      <c r="N525">
        <v>1250</v>
      </c>
      <c r="O525">
        <v>875</v>
      </c>
      <c r="P525">
        <v>0.41176470588235298</v>
      </c>
      <c r="Q525">
        <v>0</v>
      </c>
      <c r="R525">
        <v>0</v>
      </c>
      <c r="S525">
        <v>5</v>
      </c>
      <c r="T525">
        <v>2125</v>
      </c>
    </row>
    <row r="526" spans="1:20">
      <c r="A526" t="s">
        <v>711</v>
      </c>
      <c r="B526" s="1">
        <v>45430</v>
      </c>
      <c r="C526">
        <v>20</v>
      </c>
      <c r="D526">
        <v>5</v>
      </c>
      <c r="E526" t="s">
        <v>622</v>
      </c>
      <c r="F526" t="s">
        <v>13</v>
      </c>
      <c r="G526" t="s">
        <v>14</v>
      </c>
      <c r="H526">
        <v>4</v>
      </c>
      <c r="I526">
        <v>480</v>
      </c>
      <c r="J526">
        <v>0</v>
      </c>
      <c r="K526" t="s">
        <v>1925</v>
      </c>
      <c r="L526">
        <v>220</v>
      </c>
      <c r="M526">
        <v>1920</v>
      </c>
      <c r="N526">
        <v>880</v>
      </c>
      <c r="O526">
        <v>1040</v>
      </c>
      <c r="P526">
        <v>0.54166666666666696</v>
      </c>
      <c r="Q526">
        <v>0</v>
      </c>
      <c r="R526">
        <v>0</v>
      </c>
      <c r="S526">
        <v>4</v>
      </c>
      <c r="T526">
        <v>1920</v>
      </c>
    </row>
    <row r="527" spans="1:20">
      <c r="A527" t="s">
        <v>713</v>
      </c>
      <c r="B527" s="1">
        <v>45430</v>
      </c>
      <c r="C527">
        <v>20</v>
      </c>
      <c r="D527">
        <v>5</v>
      </c>
      <c r="E527" t="s">
        <v>622</v>
      </c>
      <c r="F527" t="s">
        <v>51</v>
      </c>
      <c r="G527" t="s">
        <v>26</v>
      </c>
      <c r="H527">
        <v>2</v>
      </c>
      <c r="I527">
        <v>500</v>
      </c>
      <c r="J527">
        <v>0</v>
      </c>
      <c r="K527" t="s">
        <v>1936</v>
      </c>
      <c r="L527">
        <v>200</v>
      </c>
      <c r="M527">
        <v>1000</v>
      </c>
      <c r="N527">
        <v>400</v>
      </c>
      <c r="O527">
        <v>600</v>
      </c>
      <c r="P527">
        <v>0.6</v>
      </c>
      <c r="Q527">
        <v>0</v>
      </c>
      <c r="R527">
        <v>0</v>
      </c>
      <c r="S527">
        <v>2</v>
      </c>
      <c r="T527">
        <v>1000</v>
      </c>
    </row>
    <row r="528" spans="1:20">
      <c r="A528" t="s">
        <v>714</v>
      </c>
      <c r="B528" s="1">
        <v>45430</v>
      </c>
      <c r="C528">
        <v>20</v>
      </c>
      <c r="D528">
        <v>5</v>
      </c>
      <c r="E528" t="s">
        <v>622</v>
      </c>
      <c r="F528" t="s">
        <v>80</v>
      </c>
      <c r="G528" t="s">
        <v>14</v>
      </c>
      <c r="H528">
        <v>5</v>
      </c>
      <c r="I528">
        <v>400</v>
      </c>
      <c r="J528">
        <v>0</v>
      </c>
      <c r="K528" t="s">
        <v>1922</v>
      </c>
      <c r="L528">
        <v>180</v>
      </c>
      <c r="M528">
        <v>2000</v>
      </c>
      <c r="N528">
        <v>900</v>
      </c>
      <c r="O528">
        <v>1100</v>
      </c>
      <c r="P528">
        <v>0.55000000000000004</v>
      </c>
      <c r="Q528">
        <v>0</v>
      </c>
      <c r="R528">
        <v>0</v>
      </c>
      <c r="S528">
        <v>5</v>
      </c>
      <c r="T528">
        <v>2000</v>
      </c>
    </row>
    <row r="529" spans="1:20">
      <c r="A529" t="s">
        <v>715</v>
      </c>
      <c r="B529" s="1">
        <v>45430</v>
      </c>
      <c r="C529">
        <v>20</v>
      </c>
      <c r="D529">
        <v>5</v>
      </c>
      <c r="E529" t="s">
        <v>622</v>
      </c>
      <c r="F529" t="s">
        <v>220</v>
      </c>
      <c r="G529" t="s">
        <v>221</v>
      </c>
      <c r="H529">
        <v>4</v>
      </c>
      <c r="I529">
        <v>600</v>
      </c>
      <c r="J529">
        <v>0</v>
      </c>
      <c r="K529" t="s">
        <v>1947</v>
      </c>
      <c r="L529">
        <v>300</v>
      </c>
      <c r="M529">
        <v>2400</v>
      </c>
      <c r="N529">
        <v>1200</v>
      </c>
      <c r="O529">
        <v>1200</v>
      </c>
      <c r="P529">
        <v>0.5</v>
      </c>
      <c r="Q529">
        <v>0</v>
      </c>
      <c r="R529">
        <v>0</v>
      </c>
      <c r="S529">
        <v>4</v>
      </c>
      <c r="T529">
        <v>2400</v>
      </c>
    </row>
    <row r="530" spans="1:20">
      <c r="A530" t="s">
        <v>716</v>
      </c>
      <c r="B530" s="1">
        <v>45431</v>
      </c>
      <c r="C530">
        <v>20</v>
      </c>
      <c r="D530">
        <v>5</v>
      </c>
      <c r="E530" t="s">
        <v>622</v>
      </c>
      <c r="F530" t="s">
        <v>64</v>
      </c>
      <c r="G530" t="s">
        <v>14</v>
      </c>
      <c r="H530">
        <v>1</v>
      </c>
      <c r="I530">
        <v>2640</v>
      </c>
      <c r="J530">
        <v>0</v>
      </c>
      <c r="K530" t="s">
        <v>1923</v>
      </c>
      <c r="L530">
        <v>1200</v>
      </c>
      <c r="M530">
        <v>2640</v>
      </c>
      <c r="N530">
        <v>1200</v>
      </c>
      <c r="O530">
        <v>1440</v>
      </c>
      <c r="P530">
        <v>0.54545454545454497</v>
      </c>
      <c r="Q530">
        <v>0</v>
      </c>
      <c r="R530">
        <v>0</v>
      </c>
      <c r="S530">
        <v>1</v>
      </c>
      <c r="T530">
        <v>2640</v>
      </c>
    </row>
    <row r="531" spans="1:20">
      <c r="A531" t="s">
        <v>718</v>
      </c>
      <c r="B531" s="1">
        <v>45431</v>
      </c>
      <c r="C531">
        <v>20</v>
      </c>
      <c r="D531">
        <v>5</v>
      </c>
      <c r="E531" t="s">
        <v>622</v>
      </c>
      <c r="F531" t="s">
        <v>58</v>
      </c>
      <c r="G531" t="s">
        <v>23</v>
      </c>
      <c r="H531">
        <v>2</v>
      </c>
      <c r="I531">
        <v>900</v>
      </c>
      <c r="J531">
        <v>10</v>
      </c>
      <c r="K531" t="s">
        <v>1927</v>
      </c>
      <c r="L531">
        <v>500</v>
      </c>
      <c r="M531">
        <v>1800</v>
      </c>
      <c r="N531">
        <v>1000</v>
      </c>
      <c r="O531">
        <v>800</v>
      </c>
      <c r="P531">
        <v>0.44444444444444398</v>
      </c>
      <c r="Q531">
        <v>0</v>
      </c>
      <c r="R531">
        <v>0</v>
      </c>
      <c r="S531">
        <v>2</v>
      </c>
      <c r="T531">
        <v>1800</v>
      </c>
    </row>
    <row r="532" spans="1:20">
      <c r="A532" t="s">
        <v>719</v>
      </c>
      <c r="B532" s="1">
        <v>45431</v>
      </c>
      <c r="C532">
        <v>20</v>
      </c>
      <c r="D532">
        <v>5</v>
      </c>
      <c r="E532" t="s">
        <v>622</v>
      </c>
      <c r="F532" t="s">
        <v>51</v>
      </c>
      <c r="G532" t="s">
        <v>26</v>
      </c>
      <c r="H532">
        <v>3</v>
      </c>
      <c r="I532">
        <v>425</v>
      </c>
      <c r="J532">
        <v>15</v>
      </c>
      <c r="K532" t="s">
        <v>1936</v>
      </c>
      <c r="L532">
        <v>200</v>
      </c>
      <c r="M532">
        <v>1275</v>
      </c>
      <c r="N532">
        <v>600</v>
      </c>
      <c r="O532">
        <v>675</v>
      </c>
      <c r="P532">
        <v>0.52941176470588203</v>
      </c>
      <c r="Q532">
        <v>0</v>
      </c>
      <c r="R532">
        <v>0</v>
      </c>
      <c r="S532">
        <v>3</v>
      </c>
      <c r="T532">
        <v>1275</v>
      </c>
    </row>
    <row r="533" spans="1:20">
      <c r="A533" t="s">
        <v>720</v>
      </c>
      <c r="B533" s="1">
        <v>45431</v>
      </c>
      <c r="C533">
        <v>20</v>
      </c>
      <c r="D533">
        <v>5</v>
      </c>
      <c r="E533" t="s">
        <v>622</v>
      </c>
      <c r="F533" t="s">
        <v>39</v>
      </c>
      <c r="G533" t="s">
        <v>14</v>
      </c>
      <c r="H533">
        <v>3</v>
      </c>
      <c r="I533">
        <v>748</v>
      </c>
      <c r="J533">
        <v>15</v>
      </c>
      <c r="K533" t="s">
        <v>1921</v>
      </c>
      <c r="L533">
        <v>400</v>
      </c>
      <c r="M533">
        <v>2244</v>
      </c>
      <c r="N533">
        <v>1200</v>
      </c>
      <c r="O533">
        <v>1044</v>
      </c>
      <c r="P533">
        <v>0.46524064171122997</v>
      </c>
      <c r="Q533">
        <v>0</v>
      </c>
      <c r="R533">
        <v>0</v>
      </c>
      <c r="S533">
        <v>3</v>
      </c>
      <c r="T533">
        <v>2244</v>
      </c>
    </row>
    <row r="534" spans="1:20">
      <c r="A534" t="s">
        <v>721</v>
      </c>
      <c r="B534" s="1">
        <v>45431</v>
      </c>
      <c r="C534">
        <v>20</v>
      </c>
      <c r="D534">
        <v>5</v>
      </c>
      <c r="E534" t="s">
        <v>622</v>
      </c>
      <c r="F534" t="s">
        <v>364</v>
      </c>
      <c r="G534" t="s">
        <v>221</v>
      </c>
      <c r="H534">
        <v>3</v>
      </c>
      <c r="I534">
        <v>864</v>
      </c>
      <c r="J534">
        <v>10</v>
      </c>
      <c r="K534" t="s">
        <v>1946</v>
      </c>
      <c r="L534">
        <v>480</v>
      </c>
      <c r="M534">
        <v>2592</v>
      </c>
      <c r="N534">
        <v>1440</v>
      </c>
      <c r="O534">
        <v>1152</v>
      </c>
      <c r="P534">
        <v>0.44444444444444398</v>
      </c>
      <c r="Q534">
        <v>0</v>
      </c>
      <c r="R534">
        <v>0</v>
      </c>
      <c r="S534">
        <v>3</v>
      </c>
      <c r="T534">
        <v>2592</v>
      </c>
    </row>
    <row r="535" spans="1:20">
      <c r="A535" t="s">
        <v>722</v>
      </c>
      <c r="B535" s="1">
        <v>45431</v>
      </c>
      <c r="C535">
        <v>20</v>
      </c>
      <c r="D535">
        <v>5</v>
      </c>
      <c r="E535" t="s">
        <v>622</v>
      </c>
      <c r="F535" t="s">
        <v>82</v>
      </c>
      <c r="G535" t="s">
        <v>20</v>
      </c>
      <c r="H535">
        <v>2</v>
      </c>
      <c r="I535">
        <v>900</v>
      </c>
      <c r="J535">
        <v>0</v>
      </c>
      <c r="K535" t="s">
        <v>1933</v>
      </c>
      <c r="L535">
        <v>500</v>
      </c>
      <c r="M535">
        <v>1800</v>
      </c>
      <c r="N535">
        <v>1000</v>
      </c>
      <c r="O535">
        <v>800</v>
      </c>
      <c r="P535">
        <v>0.44444444444444398</v>
      </c>
      <c r="Q535">
        <v>0</v>
      </c>
      <c r="R535">
        <v>0</v>
      </c>
      <c r="S535">
        <v>2</v>
      </c>
      <c r="T535">
        <v>1800</v>
      </c>
    </row>
    <row r="536" spans="1:20">
      <c r="A536" t="s">
        <v>723</v>
      </c>
      <c r="B536" s="1">
        <v>45431</v>
      </c>
      <c r="C536">
        <v>20</v>
      </c>
      <c r="D536">
        <v>5</v>
      </c>
      <c r="E536" t="s">
        <v>622</v>
      </c>
      <c r="F536" t="s">
        <v>97</v>
      </c>
      <c r="G536" t="s">
        <v>20</v>
      </c>
      <c r="H536">
        <v>1</v>
      </c>
      <c r="I536">
        <v>1980</v>
      </c>
      <c r="J536">
        <v>0</v>
      </c>
      <c r="K536" t="s">
        <v>1932</v>
      </c>
      <c r="L536">
        <v>1100</v>
      </c>
      <c r="M536">
        <v>1980</v>
      </c>
      <c r="N536">
        <v>1100</v>
      </c>
      <c r="O536">
        <v>880</v>
      </c>
      <c r="P536">
        <v>0.44444444444444398</v>
      </c>
      <c r="Q536">
        <v>0</v>
      </c>
      <c r="R536">
        <v>0</v>
      </c>
      <c r="S536">
        <v>1</v>
      </c>
      <c r="T536">
        <v>1980</v>
      </c>
    </row>
    <row r="537" spans="1:20">
      <c r="A537" t="s">
        <v>724</v>
      </c>
      <c r="B537" s="1">
        <v>45432</v>
      </c>
      <c r="C537">
        <v>21</v>
      </c>
      <c r="D537">
        <v>5</v>
      </c>
      <c r="E537" t="s">
        <v>622</v>
      </c>
      <c r="F537" t="s">
        <v>349</v>
      </c>
      <c r="G537" t="s">
        <v>221</v>
      </c>
      <c r="H537">
        <v>4</v>
      </c>
      <c r="I537">
        <v>360</v>
      </c>
      <c r="J537">
        <v>10</v>
      </c>
      <c r="K537" t="s">
        <v>1948</v>
      </c>
      <c r="L537">
        <v>200</v>
      </c>
      <c r="M537">
        <v>1440</v>
      </c>
      <c r="N537">
        <v>800</v>
      </c>
      <c r="O537">
        <v>640</v>
      </c>
      <c r="P537">
        <v>0.44444444444444398</v>
      </c>
      <c r="Q537">
        <v>0</v>
      </c>
      <c r="R537">
        <v>0</v>
      </c>
      <c r="S537">
        <v>4</v>
      </c>
      <c r="T537">
        <v>1440</v>
      </c>
    </row>
    <row r="538" spans="1:20">
      <c r="A538" t="s">
        <v>726</v>
      </c>
      <c r="B538" s="1">
        <v>45432</v>
      </c>
      <c r="C538">
        <v>21</v>
      </c>
      <c r="D538">
        <v>5</v>
      </c>
      <c r="E538" t="s">
        <v>622</v>
      </c>
      <c r="F538" t="s">
        <v>28</v>
      </c>
      <c r="G538" t="s">
        <v>26</v>
      </c>
      <c r="H538">
        <v>4</v>
      </c>
      <c r="I538">
        <v>1500</v>
      </c>
      <c r="J538">
        <v>0</v>
      </c>
      <c r="K538" t="s">
        <v>1939</v>
      </c>
      <c r="L538">
        <v>600</v>
      </c>
      <c r="M538">
        <v>6000</v>
      </c>
      <c r="N538">
        <v>2400</v>
      </c>
      <c r="O538">
        <v>3600</v>
      </c>
      <c r="P538">
        <v>0.6</v>
      </c>
      <c r="Q538">
        <v>0</v>
      </c>
      <c r="R538">
        <v>0</v>
      </c>
      <c r="S538">
        <v>4</v>
      </c>
      <c r="T538">
        <v>6000</v>
      </c>
    </row>
    <row r="539" spans="1:20">
      <c r="A539" t="s">
        <v>727</v>
      </c>
      <c r="B539" s="1">
        <v>45432</v>
      </c>
      <c r="C539">
        <v>21</v>
      </c>
      <c r="D539">
        <v>5</v>
      </c>
      <c r="E539" t="s">
        <v>622</v>
      </c>
      <c r="F539" t="s">
        <v>13</v>
      </c>
      <c r="G539" t="s">
        <v>14</v>
      </c>
      <c r="H539">
        <v>5</v>
      </c>
      <c r="I539">
        <v>480</v>
      </c>
      <c r="J539">
        <v>0</v>
      </c>
      <c r="K539" t="s">
        <v>1925</v>
      </c>
      <c r="L539">
        <v>220</v>
      </c>
      <c r="M539">
        <v>2400</v>
      </c>
      <c r="N539">
        <v>1100</v>
      </c>
      <c r="O539">
        <v>1300</v>
      </c>
      <c r="P539">
        <v>0.54166666666666696</v>
      </c>
      <c r="Q539">
        <v>0</v>
      </c>
      <c r="R539">
        <v>0</v>
      </c>
      <c r="S539">
        <v>5</v>
      </c>
      <c r="T539">
        <v>2400</v>
      </c>
    </row>
    <row r="540" spans="1:20">
      <c r="A540" t="s">
        <v>728</v>
      </c>
      <c r="B540" s="1">
        <v>45433</v>
      </c>
      <c r="C540">
        <v>21</v>
      </c>
      <c r="D540">
        <v>5</v>
      </c>
      <c r="E540" t="s">
        <v>622</v>
      </c>
      <c r="F540" t="s">
        <v>220</v>
      </c>
      <c r="G540" t="s">
        <v>221</v>
      </c>
      <c r="H540">
        <v>1</v>
      </c>
      <c r="I540">
        <v>510</v>
      </c>
      <c r="J540">
        <v>15</v>
      </c>
      <c r="K540" t="s">
        <v>1947</v>
      </c>
      <c r="L540">
        <v>300</v>
      </c>
      <c r="M540">
        <v>510</v>
      </c>
      <c r="N540">
        <v>300</v>
      </c>
      <c r="O540">
        <v>210</v>
      </c>
      <c r="P540">
        <v>0.41176470588235298</v>
      </c>
      <c r="Q540">
        <v>0</v>
      </c>
      <c r="R540">
        <v>0</v>
      </c>
      <c r="S540">
        <v>1</v>
      </c>
      <c r="T540">
        <v>510</v>
      </c>
    </row>
    <row r="541" spans="1:20">
      <c r="A541" t="s">
        <v>730</v>
      </c>
      <c r="B541" s="1">
        <v>45433</v>
      </c>
      <c r="C541">
        <v>21</v>
      </c>
      <c r="D541">
        <v>5</v>
      </c>
      <c r="E541" t="s">
        <v>622</v>
      </c>
      <c r="F541" t="s">
        <v>349</v>
      </c>
      <c r="G541" t="s">
        <v>221</v>
      </c>
      <c r="H541">
        <v>2</v>
      </c>
      <c r="I541">
        <v>400</v>
      </c>
      <c r="J541">
        <v>0</v>
      </c>
      <c r="K541" t="s">
        <v>1948</v>
      </c>
      <c r="L541">
        <v>200</v>
      </c>
      <c r="M541">
        <v>800</v>
      </c>
      <c r="N541">
        <v>400</v>
      </c>
      <c r="O541">
        <v>400</v>
      </c>
      <c r="P541">
        <v>0.5</v>
      </c>
      <c r="Q541">
        <v>0</v>
      </c>
      <c r="R541">
        <v>0</v>
      </c>
      <c r="S541">
        <v>2</v>
      </c>
      <c r="T541">
        <v>800</v>
      </c>
    </row>
    <row r="542" spans="1:20">
      <c r="A542" t="s">
        <v>731</v>
      </c>
      <c r="B542" s="1">
        <v>45433</v>
      </c>
      <c r="C542">
        <v>21</v>
      </c>
      <c r="D542">
        <v>5</v>
      </c>
      <c r="E542" t="s">
        <v>622</v>
      </c>
      <c r="F542" t="s">
        <v>80</v>
      </c>
      <c r="G542" t="s">
        <v>14</v>
      </c>
      <c r="H542">
        <v>3</v>
      </c>
      <c r="I542">
        <v>340</v>
      </c>
      <c r="J542">
        <v>15</v>
      </c>
      <c r="K542" t="s">
        <v>1922</v>
      </c>
      <c r="L542">
        <v>180</v>
      </c>
      <c r="M542">
        <v>1020</v>
      </c>
      <c r="N542">
        <v>540</v>
      </c>
      <c r="O542">
        <v>480</v>
      </c>
      <c r="P542">
        <v>0.47058823529411797</v>
      </c>
      <c r="Q542">
        <v>0</v>
      </c>
      <c r="R542">
        <v>0</v>
      </c>
      <c r="S542">
        <v>3</v>
      </c>
      <c r="T542">
        <v>1020</v>
      </c>
    </row>
    <row r="543" spans="1:20">
      <c r="A543" t="s">
        <v>732</v>
      </c>
      <c r="B543" s="1">
        <v>45433</v>
      </c>
      <c r="C543">
        <v>21</v>
      </c>
      <c r="D543">
        <v>5</v>
      </c>
      <c r="E543" t="s">
        <v>622</v>
      </c>
      <c r="F543" t="s">
        <v>80</v>
      </c>
      <c r="G543" t="s">
        <v>14</v>
      </c>
      <c r="H543">
        <v>3</v>
      </c>
      <c r="I543">
        <v>380</v>
      </c>
      <c r="J543">
        <v>5</v>
      </c>
      <c r="K543" t="s">
        <v>1922</v>
      </c>
      <c r="L543">
        <v>180</v>
      </c>
      <c r="M543">
        <v>1140</v>
      </c>
      <c r="N543">
        <v>540</v>
      </c>
      <c r="O543">
        <v>600</v>
      </c>
      <c r="P543">
        <v>0.52631578947368396</v>
      </c>
      <c r="Q543">
        <v>0</v>
      </c>
      <c r="R543">
        <v>0</v>
      </c>
      <c r="S543">
        <v>3</v>
      </c>
      <c r="T543">
        <v>1140</v>
      </c>
    </row>
    <row r="544" spans="1:20">
      <c r="A544" t="s">
        <v>733</v>
      </c>
      <c r="B544" s="1">
        <v>45433</v>
      </c>
      <c r="C544">
        <v>21</v>
      </c>
      <c r="D544">
        <v>5</v>
      </c>
      <c r="E544" t="s">
        <v>622</v>
      </c>
      <c r="F544" t="s">
        <v>45</v>
      </c>
      <c r="G544" t="s">
        <v>26</v>
      </c>
      <c r="H544">
        <v>2</v>
      </c>
      <c r="I544">
        <v>4275</v>
      </c>
      <c r="J544">
        <v>5</v>
      </c>
      <c r="K544" t="s">
        <v>1938</v>
      </c>
      <c r="L544">
        <v>1800</v>
      </c>
      <c r="M544">
        <v>8550</v>
      </c>
      <c r="N544">
        <v>3600</v>
      </c>
      <c r="O544">
        <v>4950</v>
      </c>
      <c r="P544">
        <v>0.57894736842105299</v>
      </c>
      <c r="Q544">
        <v>0</v>
      </c>
      <c r="R544">
        <v>0</v>
      </c>
      <c r="S544">
        <v>2</v>
      </c>
      <c r="T544">
        <v>8550</v>
      </c>
    </row>
    <row r="545" spans="1:20">
      <c r="A545" t="s">
        <v>734</v>
      </c>
      <c r="B545" s="1">
        <v>45434</v>
      </c>
      <c r="C545">
        <v>21</v>
      </c>
      <c r="D545">
        <v>5</v>
      </c>
      <c r="E545" t="s">
        <v>622</v>
      </c>
      <c r="F545" t="s">
        <v>220</v>
      </c>
      <c r="G545" t="s">
        <v>221</v>
      </c>
      <c r="H545">
        <v>3</v>
      </c>
      <c r="I545">
        <v>570</v>
      </c>
      <c r="J545">
        <v>5</v>
      </c>
      <c r="K545" t="s">
        <v>1947</v>
      </c>
      <c r="L545">
        <v>300</v>
      </c>
      <c r="M545">
        <v>1710</v>
      </c>
      <c r="N545">
        <v>900</v>
      </c>
      <c r="O545">
        <v>810</v>
      </c>
      <c r="P545">
        <v>0.47368421052631599</v>
      </c>
      <c r="Q545">
        <v>2</v>
      </c>
      <c r="R545">
        <v>2</v>
      </c>
      <c r="S545">
        <v>1</v>
      </c>
      <c r="T545">
        <v>570</v>
      </c>
    </row>
    <row r="546" spans="1:20">
      <c r="A546" t="s">
        <v>736</v>
      </c>
      <c r="B546" s="1">
        <v>45435</v>
      </c>
      <c r="C546">
        <v>21</v>
      </c>
      <c r="D546">
        <v>5</v>
      </c>
      <c r="E546" t="s">
        <v>622</v>
      </c>
      <c r="F546" t="s">
        <v>45</v>
      </c>
      <c r="G546" t="s">
        <v>26</v>
      </c>
      <c r="H546">
        <v>1</v>
      </c>
      <c r="I546">
        <v>4050</v>
      </c>
      <c r="J546">
        <v>10</v>
      </c>
      <c r="K546" t="s">
        <v>1938</v>
      </c>
      <c r="L546">
        <v>1800</v>
      </c>
      <c r="M546">
        <v>4050</v>
      </c>
      <c r="N546">
        <v>1800</v>
      </c>
      <c r="O546">
        <v>2250</v>
      </c>
      <c r="P546">
        <v>0.55555555555555602</v>
      </c>
      <c r="Q546">
        <v>0</v>
      </c>
      <c r="R546">
        <v>0</v>
      </c>
      <c r="S546">
        <v>1</v>
      </c>
      <c r="T546">
        <v>4050</v>
      </c>
    </row>
    <row r="547" spans="1:20">
      <c r="A547" t="s">
        <v>738</v>
      </c>
      <c r="B547" s="1">
        <v>45435</v>
      </c>
      <c r="C547">
        <v>21</v>
      </c>
      <c r="D547">
        <v>5</v>
      </c>
      <c r="E547" t="s">
        <v>622</v>
      </c>
      <c r="F547" t="s">
        <v>146</v>
      </c>
      <c r="G547" t="s">
        <v>20</v>
      </c>
      <c r="H547">
        <v>2</v>
      </c>
      <c r="I547">
        <v>630</v>
      </c>
      <c r="J547">
        <v>0</v>
      </c>
      <c r="K547" t="s">
        <v>1934</v>
      </c>
      <c r="L547">
        <v>350</v>
      </c>
      <c r="M547">
        <v>1260</v>
      </c>
      <c r="N547">
        <v>700</v>
      </c>
      <c r="O547">
        <v>560</v>
      </c>
      <c r="P547">
        <v>0.44444444444444398</v>
      </c>
      <c r="Q547">
        <v>0</v>
      </c>
      <c r="R547">
        <v>0</v>
      </c>
      <c r="S547">
        <v>2</v>
      </c>
      <c r="T547">
        <v>1260</v>
      </c>
    </row>
    <row r="548" spans="1:20">
      <c r="A548" t="s">
        <v>739</v>
      </c>
      <c r="B548" s="1">
        <v>45435</v>
      </c>
      <c r="C548">
        <v>21</v>
      </c>
      <c r="D548">
        <v>5</v>
      </c>
      <c r="E548" t="s">
        <v>622</v>
      </c>
      <c r="F548" t="s">
        <v>349</v>
      </c>
      <c r="G548" t="s">
        <v>221</v>
      </c>
      <c r="H548">
        <v>1</v>
      </c>
      <c r="I548">
        <v>400</v>
      </c>
      <c r="J548">
        <v>0</v>
      </c>
      <c r="K548" t="s">
        <v>1948</v>
      </c>
      <c r="L548">
        <v>200</v>
      </c>
      <c r="M548">
        <v>400</v>
      </c>
      <c r="N548">
        <v>200</v>
      </c>
      <c r="O548">
        <v>200</v>
      </c>
      <c r="P548">
        <v>0.5</v>
      </c>
      <c r="Q548">
        <v>0</v>
      </c>
      <c r="R548">
        <v>0</v>
      </c>
      <c r="S548">
        <v>1</v>
      </c>
      <c r="T548">
        <v>400</v>
      </c>
    </row>
    <row r="549" spans="1:20">
      <c r="A549" t="s">
        <v>740</v>
      </c>
      <c r="B549" s="1">
        <v>45435</v>
      </c>
      <c r="C549">
        <v>21</v>
      </c>
      <c r="D549">
        <v>5</v>
      </c>
      <c r="E549" t="s">
        <v>622</v>
      </c>
      <c r="F549" t="s">
        <v>364</v>
      </c>
      <c r="G549" t="s">
        <v>221</v>
      </c>
      <c r="H549">
        <v>1</v>
      </c>
      <c r="I549">
        <v>960</v>
      </c>
      <c r="J549">
        <v>0</v>
      </c>
      <c r="K549" t="s">
        <v>1946</v>
      </c>
      <c r="L549">
        <v>480</v>
      </c>
      <c r="M549">
        <v>960</v>
      </c>
      <c r="N549">
        <v>480</v>
      </c>
      <c r="O549">
        <v>480</v>
      </c>
      <c r="P549">
        <v>0.5</v>
      </c>
      <c r="Q549">
        <v>0</v>
      </c>
      <c r="R549">
        <v>0</v>
      </c>
      <c r="S549">
        <v>1</v>
      </c>
      <c r="T549">
        <v>960</v>
      </c>
    </row>
    <row r="550" spans="1:20">
      <c r="A550" t="s">
        <v>741</v>
      </c>
      <c r="B550" s="1">
        <v>45435</v>
      </c>
      <c r="C550">
        <v>21</v>
      </c>
      <c r="D550">
        <v>5</v>
      </c>
      <c r="E550" t="s">
        <v>622</v>
      </c>
      <c r="F550" t="s">
        <v>39</v>
      </c>
      <c r="G550" t="s">
        <v>14</v>
      </c>
      <c r="H550">
        <v>3</v>
      </c>
      <c r="I550">
        <v>880</v>
      </c>
      <c r="J550">
        <v>0</v>
      </c>
      <c r="K550" t="s">
        <v>1921</v>
      </c>
      <c r="L550">
        <v>400</v>
      </c>
      <c r="M550">
        <v>2640</v>
      </c>
      <c r="N550">
        <v>1200</v>
      </c>
      <c r="O550">
        <v>1440</v>
      </c>
      <c r="P550">
        <v>0.54545454545454497</v>
      </c>
      <c r="Q550">
        <v>0</v>
      </c>
      <c r="R550">
        <v>0</v>
      </c>
      <c r="S550">
        <v>3</v>
      </c>
      <c r="T550">
        <v>2640</v>
      </c>
    </row>
    <row r="551" spans="1:20">
      <c r="A551" t="s">
        <v>742</v>
      </c>
      <c r="B551" s="1">
        <v>45435</v>
      </c>
      <c r="C551">
        <v>21</v>
      </c>
      <c r="D551">
        <v>5</v>
      </c>
      <c r="E551" t="s">
        <v>622</v>
      </c>
      <c r="F551" t="s">
        <v>28</v>
      </c>
      <c r="G551" t="s">
        <v>26</v>
      </c>
      <c r="H551">
        <v>1</v>
      </c>
      <c r="I551">
        <v>1500</v>
      </c>
      <c r="J551">
        <v>0</v>
      </c>
      <c r="K551" t="s">
        <v>1939</v>
      </c>
      <c r="L551">
        <v>600</v>
      </c>
      <c r="M551">
        <v>1500</v>
      </c>
      <c r="N551">
        <v>600</v>
      </c>
      <c r="O551">
        <v>900</v>
      </c>
      <c r="P551">
        <v>0.6</v>
      </c>
      <c r="Q551">
        <v>0</v>
      </c>
      <c r="R551">
        <v>0</v>
      </c>
      <c r="S551">
        <v>1</v>
      </c>
      <c r="T551">
        <v>1500</v>
      </c>
    </row>
    <row r="552" spans="1:20">
      <c r="A552" t="s">
        <v>743</v>
      </c>
      <c r="B552" s="1">
        <v>45435</v>
      </c>
      <c r="C552">
        <v>21</v>
      </c>
      <c r="D552">
        <v>5</v>
      </c>
      <c r="E552" t="s">
        <v>622</v>
      </c>
      <c r="F552" t="s">
        <v>369</v>
      </c>
      <c r="G552" t="s">
        <v>221</v>
      </c>
      <c r="H552">
        <v>5</v>
      </c>
      <c r="I552">
        <v>630</v>
      </c>
      <c r="J552">
        <v>10</v>
      </c>
      <c r="K552" t="s">
        <v>1949</v>
      </c>
      <c r="L552">
        <v>350</v>
      </c>
      <c r="M552">
        <v>3150</v>
      </c>
      <c r="N552">
        <v>1750</v>
      </c>
      <c r="O552">
        <v>1400</v>
      </c>
      <c r="P552">
        <v>0.44444444444444398</v>
      </c>
      <c r="Q552">
        <v>0</v>
      </c>
      <c r="R552">
        <v>0</v>
      </c>
      <c r="S552">
        <v>5</v>
      </c>
      <c r="T552">
        <v>3150</v>
      </c>
    </row>
    <row r="553" spans="1:20">
      <c r="A553" t="s">
        <v>744</v>
      </c>
      <c r="B553" s="1">
        <v>45435</v>
      </c>
      <c r="C553">
        <v>21</v>
      </c>
      <c r="D553">
        <v>5</v>
      </c>
      <c r="E553" t="s">
        <v>622</v>
      </c>
      <c r="F553" t="s">
        <v>115</v>
      </c>
      <c r="G553" t="s">
        <v>23</v>
      </c>
      <c r="H553">
        <v>2</v>
      </c>
      <c r="I553">
        <v>1140</v>
      </c>
      <c r="J553">
        <v>5</v>
      </c>
      <c r="K553" t="s">
        <v>1926</v>
      </c>
      <c r="L553">
        <v>600</v>
      </c>
      <c r="M553">
        <v>2280</v>
      </c>
      <c r="N553">
        <v>1200</v>
      </c>
      <c r="O553">
        <v>1080</v>
      </c>
      <c r="P553">
        <v>0.47368421052631599</v>
      </c>
      <c r="Q553">
        <v>0</v>
      </c>
      <c r="R553">
        <v>0</v>
      </c>
      <c r="S553">
        <v>2</v>
      </c>
      <c r="T553">
        <v>2280</v>
      </c>
    </row>
    <row r="554" spans="1:20">
      <c r="A554" t="s">
        <v>745</v>
      </c>
      <c r="B554" s="1">
        <v>45436</v>
      </c>
      <c r="C554">
        <v>21</v>
      </c>
      <c r="D554">
        <v>5</v>
      </c>
      <c r="E554" t="s">
        <v>622</v>
      </c>
      <c r="F554" t="s">
        <v>187</v>
      </c>
      <c r="G554" t="s">
        <v>14</v>
      </c>
      <c r="H554">
        <v>3</v>
      </c>
      <c r="I554">
        <v>4400</v>
      </c>
      <c r="J554">
        <v>0</v>
      </c>
      <c r="K554" t="s">
        <v>1924</v>
      </c>
      <c r="L554">
        <v>2000</v>
      </c>
      <c r="M554">
        <v>13200</v>
      </c>
      <c r="N554">
        <v>6000</v>
      </c>
      <c r="O554">
        <v>7200</v>
      </c>
      <c r="P554">
        <v>0.54545454545454497</v>
      </c>
      <c r="Q554">
        <v>0</v>
      </c>
      <c r="R554">
        <v>0</v>
      </c>
      <c r="S554">
        <v>3</v>
      </c>
      <c r="T554">
        <v>13200</v>
      </c>
    </row>
    <row r="555" spans="1:20">
      <c r="A555" t="s">
        <v>747</v>
      </c>
      <c r="B555" s="1">
        <v>45436</v>
      </c>
      <c r="C555">
        <v>21</v>
      </c>
      <c r="D555">
        <v>5</v>
      </c>
      <c r="E555" t="s">
        <v>622</v>
      </c>
      <c r="F555" t="s">
        <v>220</v>
      </c>
      <c r="G555" t="s">
        <v>221</v>
      </c>
      <c r="H555">
        <v>5</v>
      </c>
      <c r="I555">
        <v>570</v>
      </c>
      <c r="J555">
        <v>5</v>
      </c>
      <c r="K555" t="s">
        <v>1947</v>
      </c>
      <c r="L555">
        <v>300</v>
      </c>
      <c r="M555">
        <v>2850</v>
      </c>
      <c r="N555">
        <v>1500</v>
      </c>
      <c r="O555">
        <v>1350</v>
      </c>
      <c r="P555">
        <v>0.47368421052631599</v>
      </c>
      <c r="Q555">
        <v>0</v>
      </c>
      <c r="R555">
        <v>0</v>
      </c>
      <c r="S555">
        <v>5</v>
      </c>
      <c r="T555">
        <v>2850</v>
      </c>
    </row>
    <row r="556" spans="1:20">
      <c r="A556" t="s">
        <v>748</v>
      </c>
      <c r="B556" s="1">
        <v>45436</v>
      </c>
      <c r="C556">
        <v>21</v>
      </c>
      <c r="D556">
        <v>5</v>
      </c>
      <c r="E556" t="s">
        <v>622</v>
      </c>
      <c r="F556" t="s">
        <v>45</v>
      </c>
      <c r="G556" t="s">
        <v>26</v>
      </c>
      <c r="H556">
        <v>4</v>
      </c>
      <c r="I556">
        <v>4050</v>
      </c>
      <c r="J556">
        <v>10</v>
      </c>
      <c r="K556" t="s">
        <v>1938</v>
      </c>
      <c r="L556">
        <v>1800</v>
      </c>
      <c r="M556">
        <v>16200</v>
      </c>
      <c r="N556">
        <v>7200</v>
      </c>
      <c r="O556">
        <v>9000</v>
      </c>
      <c r="P556">
        <v>0.55555555555555602</v>
      </c>
      <c r="Q556">
        <v>1</v>
      </c>
      <c r="R556">
        <v>1</v>
      </c>
      <c r="S556">
        <v>3</v>
      </c>
      <c r="T556">
        <v>12150</v>
      </c>
    </row>
    <row r="557" spans="1:20">
      <c r="A557" t="s">
        <v>749</v>
      </c>
      <c r="B557" s="1">
        <v>45436</v>
      </c>
      <c r="C557">
        <v>21</v>
      </c>
      <c r="D557">
        <v>5</v>
      </c>
      <c r="E557" t="s">
        <v>622</v>
      </c>
      <c r="F557" t="s">
        <v>97</v>
      </c>
      <c r="G557" t="s">
        <v>20</v>
      </c>
      <c r="H557">
        <v>3</v>
      </c>
      <c r="I557">
        <v>1782</v>
      </c>
      <c r="J557">
        <v>10</v>
      </c>
      <c r="K557" t="s">
        <v>1932</v>
      </c>
      <c r="L557">
        <v>1100</v>
      </c>
      <c r="M557">
        <v>5346</v>
      </c>
      <c r="N557">
        <v>3300</v>
      </c>
      <c r="O557">
        <v>2046</v>
      </c>
      <c r="P557">
        <v>0.38271604938271597</v>
      </c>
      <c r="Q557">
        <v>0</v>
      </c>
      <c r="R557">
        <v>0</v>
      </c>
      <c r="S557">
        <v>3</v>
      </c>
      <c r="T557">
        <v>5346</v>
      </c>
    </row>
    <row r="558" spans="1:20">
      <c r="A558" t="s">
        <v>750</v>
      </c>
      <c r="B558" s="1">
        <v>45436</v>
      </c>
      <c r="C558">
        <v>21</v>
      </c>
      <c r="D558">
        <v>5</v>
      </c>
      <c r="E558" t="s">
        <v>622</v>
      </c>
      <c r="F558" t="s">
        <v>82</v>
      </c>
      <c r="G558" t="s">
        <v>20</v>
      </c>
      <c r="H558">
        <v>2</v>
      </c>
      <c r="I558">
        <v>810</v>
      </c>
      <c r="J558">
        <v>10</v>
      </c>
      <c r="K558" t="s">
        <v>1933</v>
      </c>
      <c r="L558">
        <v>500</v>
      </c>
      <c r="M558">
        <v>1620</v>
      </c>
      <c r="N558">
        <v>1000</v>
      </c>
      <c r="O558">
        <v>620</v>
      </c>
      <c r="P558">
        <v>0.38271604938271597</v>
      </c>
      <c r="Q558">
        <v>0</v>
      </c>
      <c r="R558">
        <v>0</v>
      </c>
      <c r="S558">
        <v>2</v>
      </c>
      <c r="T558">
        <v>1620</v>
      </c>
    </row>
    <row r="559" spans="1:20">
      <c r="A559" t="s">
        <v>751</v>
      </c>
      <c r="B559" s="1">
        <v>45437</v>
      </c>
      <c r="C559">
        <v>21</v>
      </c>
      <c r="D559">
        <v>5</v>
      </c>
      <c r="E559" t="s">
        <v>622</v>
      </c>
      <c r="F559" t="s">
        <v>82</v>
      </c>
      <c r="G559" t="s">
        <v>20</v>
      </c>
      <c r="H559">
        <v>4</v>
      </c>
      <c r="I559">
        <v>900</v>
      </c>
      <c r="J559">
        <v>0</v>
      </c>
      <c r="K559" t="s">
        <v>1933</v>
      </c>
      <c r="L559">
        <v>500</v>
      </c>
      <c r="M559">
        <v>3600</v>
      </c>
      <c r="N559">
        <v>2000</v>
      </c>
      <c r="O559">
        <v>1600</v>
      </c>
      <c r="P559">
        <v>0.44444444444444398</v>
      </c>
      <c r="Q559">
        <v>0</v>
      </c>
      <c r="R559">
        <v>0</v>
      </c>
      <c r="S559">
        <v>4</v>
      </c>
      <c r="T559">
        <v>3600</v>
      </c>
    </row>
    <row r="560" spans="1:20">
      <c r="A560" t="s">
        <v>753</v>
      </c>
      <c r="B560" s="1">
        <v>45437</v>
      </c>
      <c r="C560">
        <v>21</v>
      </c>
      <c r="D560">
        <v>5</v>
      </c>
      <c r="E560" t="s">
        <v>622</v>
      </c>
      <c r="F560" t="s">
        <v>349</v>
      </c>
      <c r="G560" t="s">
        <v>221</v>
      </c>
      <c r="H560">
        <v>2</v>
      </c>
      <c r="I560">
        <v>380</v>
      </c>
      <c r="J560">
        <v>5</v>
      </c>
      <c r="K560" t="s">
        <v>1948</v>
      </c>
      <c r="L560">
        <v>200</v>
      </c>
      <c r="M560">
        <v>760</v>
      </c>
      <c r="N560">
        <v>400</v>
      </c>
      <c r="O560">
        <v>360</v>
      </c>
      <c r="P560">
        <v>0.47368421052631599</v>
      </c>
      <c r="Q560">
        <v>0</v>
      </c>
      <c r="R560">
        <v>0</v>
      </c>
      <c r="S560">
        <v>2</v>
      </c>
      <c r="T560">
        <v>760</v>
      </c>
    </row>
    <row r="561" spans="1:20">
      <c r="A561" t="s">
        <v>754</v>
      </c>
      <c r="B561" s="1">
        <v>45437</v>
      </c>
      <c r="C561">
        <v>21</v>
      </c>
      <c r="D561">
        <v>5</v>
      </c>
      <c r="E561" t="s">
        <v>622</v>
      </c>
      <c r="F561" t="s">
        <v>364</v>
      </c>
      <c r="G561" t="s">
        <v>221</v>
      </c>
      <c r="H561">
        <v>1</v>
      </c>
      <c r="I561">
        <v>912</v>
      </c>
      <c r="J561">
        <v>5</v>
      </c>
      <c r="K561" t="s">
        <v>1946</v>
      </c>
      <c r="L561">
        <v>480</v>
      </c>
      <c r="M561">
        <v>912</v>
      </c>
      <c r="N561">
        <v>480</v>
      </c>
      <c r="O561">
        <v>432</v>
      </c>
      <c r="P561">
        <v>0.47368421052631599</v>
      </c>
      <c r="Q561">
        <v>0</v>
      </c>
      <c r="R561">
        <v>0</v>
      </c>
      <c r="S561">
        <v>1</v>
      </c>
      <c r="T561">
        <v>912</v>
      </c>
    </row>
    <row r="562" spans="1:20">
      <c r="A562" t="s">
        <v>755</v>
      </c>
      <c r="B562" s="1">
        <v>45437</v>
      </c>
      <c r="C562">
        <v>21</v>
      </c>
      <c r="D562">
        <v>5</v>
      </c>
      <c r="E562" t="s">
        <v>622</v>
      </c>
      <c r="F562" t="s">
        <v>13</v>
      </c>
      <c r="G562" t="s">
        <v>14</v>
      </c>
      <c r="H562">
        <v>3</v>
      </c>
      <c r="I562">
        <v>432</v>
      </c>
      <c r="J562">
        <v>10</v>
      </c>
      <c r="K562" t="s">
        <v>1925</v>
      </c>
      <c r="L562">
        <v>220</v>
      </c>
      <c r="M562">
        <v>1296</v>
      </c>
      <c r="N562">
        <v>660</v>
      </c>
      <c r="O562">
        <v>636</v>
      </c>
      <c r="P562">
        <v>0.49074074074074098</v>
      </c>
      <c r="Q562">
        <v>1</v>
      </c>
      <c r="R562">
        <v>1</v>
      </c>
      <c r="S562">
        <v>2</v>
      </c>
      <c r="T562">
        <v>864</v>
      </c>
    </row>
    <row r="563" spans="1:20">
      <c r="A563" t="s">
        <v>756</v>
      </c>
      <c r="B563" s="1">
        <v>45438</v>
      </c>
      <c r="C563">
        <v>21</v>
      </c>
      <c r="D563">
        <v>5</v>
      </c>
      <c r="E563" t="s">
        <v>622</v>
      </c>
      <c r="F563" t="s">
        <v>349</v>
      </c>
      <c r="G563" t="s">
        <v>221</v>
      </c>
      <c r="H563">
        <v>1</v>
      </c>
      <c r="I563">
        <v>400</v>
      </c>
      <c r="J563">
        <v>0</v>
      </c>
      <c r="K563" t="s">
        <v>1948</v>
      </c>
      <c r="L563">
        <v>200</v>
      </c>
      <c r="M563">
        <v>400</v>
      </c>
      <c r="N563">
        <v>200</v>
      </c>
      <c r="O563">
        <v>200</v>
      </c>
      <c r="P563">
        <v>0.5</v>
      </c>
      <c r="Q563">
        <v>0</v>
      </c>
      <c r="R563">
        <v>0</v>
      </c>
      <c r="S563">
        <v>1</v>
      </c>
      <c r="T563">
        <v>400</v>
      </c>
    </row>
    <row r="564" spans="1:20">
      <c r="A564" t="s">
        <v>758</v>
      </c>
      <c r="B564" s="1">
        <v>45438</v>
      </c>
      <c r="C564">
        <v>21</v>
      </c>
      <c r="D564">
        <v>5</v>
      </c>
      <c r="E564" t="s">
        <v>622</v>
      </c>
      <c r="F564" t="s">
        <v>115</v>
      </c>
      <c r="G564" t="s">
        <v>23</v>
      </c>
      <c r="H564">
        <v>3</v>
      </c>
      <c r="I564">
        <v>1200</v>
      </c>
      <c r="J564">
        <v>0</v>
      </c>
      <c r="K564" t="s">
        <v>1926</v>
      </c>
      <c r="L564">
        <v>600</v>
      </c>
      <c r="M564">
        <v>3600</v>
      </c>
      <c r="N564">
        <v>1800</v>
      </c>
      <c r="O564">
        <v>1800</v>
      </c>
      <c r="P564">
        <v>0.5</v>
      </c>
      <c r="Q564">
        <v>0</v>
      </c>
      <c r="R564">
        <v>0</v>
      </c>
      <c r="S564">
        <v>3</v>
      </c>
      <c r="T564">
        <v>3600</v>
      </c>
    </row>
    <row r="565" spans="1:20">
      <c r="A565" t="s">
        <v>759</v>
      </c>
      <c r="B565" s="1">
        <v>45438</v>
      </c>
      <c r="C565">
        <v>21</v>
      </c>
      <c r="D565">
        <v>5</v>
      </c>
      <c r="E565" t="s">
        <v>622</v>
      </c>
      <c r="F565" t="s">
        <v>13</v>
      </c>
      <c r="G565" t="s">
        <v>14</v>
      </c>
      <c r="H565">
        <v>4</v>
      </c>
      <c r="I565">
        <v>480</v>
      </c>
      <c r="J565">
        <v>0</v>
      </c>
      <c r="K565" t="s">
        <v>1925</v>
      </c>
      <c r="L565">
        <v>220</v>
      </c>
      <c r="M565">
        <v>1920</v>
      </c>
      <c r="N565">
        <v>880</v>
      </c>
      <c r="O565">
        <v>1040</v>
      </c>
      <c r="P565">
        <v>0.54166666666666696</v>
      </c>
      <c r="Q565">
        <v>0</v>
      </c>
      <c r="R565">
        <v>0</v>
      </c>
      <c r="S565">
        <v>4</v>
      </c>
      <c r="T565">
        <v>1920</v>
      </c>
    </row>
    <row r="566" spans="1:20">
      <c r="A566" t="s">
        <v>760</v>
      </c>
      <c r="B566" s="1">
        <v>45438</v>
      </c>
      <c r="C566">
        <v>21</v>
      </c>
      <c r="D566">
        <v>5</v>
      </c>
      <c r="E566" t="s">
        <v>622</v>
      </c>
      <c r="F566" t="s">
        <v>115</v>
      </c>
      <c r="G566" t="s">
        <v>23</v>
      </c>
      <c r="H566">
        <v>1</v>
      </c>
      <c r="I566">
        <v>1080</v>
      </c>
      <c r="J566">
        <v>10</v>
      </c>
      <c r="K566" t="s">
        <v>1926</v>
      </c>
      <c r="L566">
        <v>600</v>
      </c>
      <c r="M566">
        <v>1080</v>
      </c>
      <c r="N566">
        <v>600</v>
      </c>
      <c r="O566">
        <v>480</v>
      </c>
      <c r="P566">
        <v>0.44444444444444398</v>
      </c>
      <c r="Q566">
        <v>0</v>
      </c>
      <c r="R566">
        <v>0</v>
      </c>
      <c r="S566">
        <v>1</v>
      </c>
      <c r="T566">
        <v>1080</v>
      </c>
    </row>
    <row r="567" spans="1:20">
      <c r="A567" t="s">
        <v>761</v>
      </c>
      <c r="B567" s="1">
        <v>45438</v>
      </c>
      <c r="C567">
        <v>21</v>
      </c>
      <c r="D567">
        <v>5</v>
      </c>
      <c r="E567" t="s">
        <v>622</v>
      </c>
      <c r="F567" t="s">
        <v>115</v>
      </c>
      <c r="G567" t="s">
        <v>23</v>
      </c>
      <c r="H567">
        <v>2</v>
      </c>
      <c r="I567">
        <v>1080</v>
      </c>
      <c r="J567">
        <v>10</v>
      </c>
      <c r="K567" t="s">
        <v>1926</v>
      </c>
      <c r="L567">
        <v>600</v>
      </c>
      <c r="M567">
        <v>2160</v>
      </c>
      <c r="N567">
        <v>1200</v>
      </c>
      <c r="O567">
        <v>960</v>
      </c>
      <c r="P567">
        <v>0.44444444444444398</v>
      </c>
      <c r="Q567">
        <v>0</v>
      </c>
      <c r="R567">
        <v>0</v>
      </c>
      <c r="S567">
        <v>2</v>
      </c>
      <c r="T567">
        <v>2160</v>
      </c>
    </row>
    <row r="568" spans="1:20">
      <c r="A568" t="s">
        <v>762</v>
      </c>
      <c r="B568" s="1">
        <v>45438</v>
      </c>
      <c r="C568">
        <v>21</v>
      </c>
      <c r="D568">
        <v>5</v>
      </c>
      <c r="E568" t="s">
        <v>622</v>
      </c>
      <c r="F568" t="s">
        <v>19</v>
      </c>
      <c r="G568" t="s">
        <v>20</v>
      </c>
      <c r="H568">
        <v>2</v>
      </c>
      <c r="I568">
        <v>1458</v>
      </c>
      <c r="J568">
        <v>10</v>
      </c>
      <c r="K568" t="s">
        <v>1931</v>
      </c>
      <c r="L568">
        <v>900</v>
      </c>
      <c r="M568">
        <v>2916</v>
      </c>
      <c r="N568">
        <v>1800</v>
      </c>
      <c r="O568">
        <v>1116</v>
      </c>
      <c r="P568">
        <v>0.38271604938271597</v>
      </c>
      <c r="Q568">
        <v>0</v>
      </c>
      <c r="R568">
        <v>0</v>
      </c>
      <c r="S568">
        <v>2</v>
      </c>
      <c r="T568">
        <v>2916</v>
      </c>
    </row>
    <row r="569" spans="1:20">
      <c r="A569" t="s">
        <v>763</v>
      </c>
      <c r="B569" s="1">
        <v>45439</v>
      </c>
      <c r="C569">
        <v>22</v>
      </c>
      <c r="D569">
        <v>5</v>
      </c>
      <c r="E569" t="s">
        <v>622</v>
      </c>
      <c r="F569" t="s">
        <v>187</v>
      </c>
      <c r="G569" t="s">
        <v>14</v>
      </c>
      <c r="H569">
        <v>1</v>
      </c>
      <c r="I569">
        <v>3740</v>
      </c>
      <c r="J569">
        <v>15</v>
      </c>
      <c r="K569" t="s">
        <v>1924</v>
      </c>
      <c r="L569">
        <v>2000</v>
      </c>
      <c r="M569">
        <v>3740</v>
      </c>
      <c r="N569">
        <v>2000</v>
      </c>
      <c r="O569">
        <v>1740</v>
      </c>
      <c r="P569">
        <v>0.46524064171122997</v>
      </c>
      <c r="Q569">
        <v>0</v>
      </c>
      <c r="R569">
        <v>0</v>
      </c>
      <c r="S569">
        <v>1</v>
      </c>
      <c r="T569">
        <v>3740</v>
      </c>
    </row>
    <row r="570" spans="1:20">
      <c r="A570" t="s">
        <v>765</v>
      </c>
      <c r="B570" s="1">
        <v>45439</v>
      </c>
      <c r="C570">
        <v>22</v>
      </c>
      <c r="D570">
        <v>5</v>
      </c>
      <c r="E570" t="s">
        <v>622</v>
      </c>
      <c r="F570" t="s">
        <v>37</v>
      </c>
      <c r="G570" t="s">
        <v>20</v>
      </c>
      <c r="H570">
        <v>1</v>
      </c>
      <c r="I570">
        <v>2340</v>
      </c>
      <c r="J570">
        <v>0</v>
      </c>
      <c r="K570" t="s">
        <v>1935</v>
      </c>
      <c r="L570">
        <v>1300</v>
      </c>
      <c r="M570">
        <v>2340</v>
      </c>
      <c r="N570">
        <v>1300</v>
      </c>
      <c r="O570">
        <v>1040</v>
      </c>
      <c r="P570">
        <v>0.44444444444444398</v>
      </c>
      <c r="Q570">
        <v>0</v>
      </c>
      <c r="R570">
        <v>0</v>
      </c>
      <c r="S570">
        <v>1</v>
      </c>
      <c r="T570">
        <v>2340</v>
      </c>
    </row>
    <row r="571" spans="1:20">
      <c r="A571" t="s">
        <v>766</v>
      </c>
      <c r="B571" s="1">
        <v>45439</v>
      </c>
      <c r="C571">
        <v>22</v>
      </c>
      <c r="D571">
        <v>5</v>
      </c>
      <c r="E571" t="s">
        <v>622</v>
      </c>
      <c r="F571" t="s">
        <v>220</v>
      </c>
      <c r="G571" t="s">
        <v>221</v>
      </c>
      <c r="H571">
        <v>5</v>
      </c>
      <c r="I571">
        <v>510</v>
      </c>
      <c r="J571">
        <v>15</v>
      </c>
      <c r="K571" t="s">
        <v>1947</v>
      </c>
      <c r="L571">
        <v>300</v>
      </c>
      <c r="M571">
        <v>2550</v>
      </c>
      <c r="N571">
        <v>1500</v>
      </c>
      <c r="O571">
        <v>1050</v>
      </c>
      <c r="P571">
        <v>0.41176470588235298</v>
      </c>
      <c r="Q571">
        <v>0</v>
      </c>
      <c r="R571">
        <v>0</v>
      </c>
      <c r="S571">
        <v>5</v>
      </c>
      <c r="T571">
        <v>2550</v>
      </c>
    </row>
    <row r="572" spans="1:20">
      <c r="A572" t="s">
        <v>767</v>
      </c>
      <c r="B572" s="1">
        <v>45439</v>
      </c>
      <c r="C572">
        <v>22</v>
      </c>
      <c r="D572">
        <v>5</v>
      </c>
      <c r="E572" t="s">
        <v>622</v>
      </c>
      <c r="F572" t="s">
        <v>19</v>
      </c>
      <c r="G572" t="s">
        <v>20</v>
      </c>
      <c r="H572">
        <v>5</v>
      </c>
      <c r="I572">
        <v>1539</v>
      </c>
      <c r="J572">
        <v>5</v>
      </c>
      <c r="K572" t="s">
        <v>1931</v>
      </c>
      <c r="L572">
        <v>900</v>
      </c>
      <c r="M572">
        <v>7695</v>
      </c>
      <c r="N572">
        <v>4500</v>
      </c>
      <c r="O572">
        <v>3195</v>
      </c>
      <c r="P572">
        <v>0.41520467836257302</v>
      </c>
      <c r="Q572">
        <v>0</v>
      </c>
      <c r="R572">
        <v>0</v>
      </c>
      <c r="S572">
        <v>5</v>
      </c>
      <c r="T572">
        <v>7695</v>
      </c>
    </row>
    <row r="573" spans="1:20">
      <c r="A573" t="s">
        <v>768</v>
      </c>
      <c r="B573" s="1">
        <v>45440</v>
      </c>
      <c r="C573">
        <v>22</v>
      </c>
      <c r="D573">
        <v>5</v>
      </c>
      <c r="E573" t="s">
        <v>622</v>
      </c>
      <c r="F573" t="s">
        <v>220</v>
      </c>
      <c r="G573" t="s">
        <v>221</v>
      </c>
      <c r="H573">
        <v>3</v>
      </c>
      <c r="I573">
        <v>510</v>
      </c>
      <c r="J573">
        <v>15</v>
      </c>
      <c r="K573" t="s">
        <v>1947</v>
      </c>
      <c r="L573">
        <v>300</v>
      </c>
      <c r="M573">
        <v>1530</v>
      </c>
      <c r="N573">
        <v>900</v>
      </c>
      <c r="O573">
        <v>630</v>
      </c>
      <c r="P573">
        <v>0.41176470588235298</v>
      </c>
      <c r="Q573">
        <v>0</v>
      </c>
      <c r="R573">
        <v>0</v>
      </c>
      <c r="S573">
        <v>3</v>
      </c>
      <c r="T573">
        <v>1530</v>
      </c>
    </row>
    <row r="574" spans="1:20">
      <c r="A574" t="s">
        <v>770</v>
      </c>
      <c r="B574" s="1">
        <v>45440</v>
      </c>
      <c r="C574">
        <v>22</v>
      </c>
      <c r="D574">
        <v>5</v>
      </c>
      <c r="E574" t="s">
        <v>622</v>
      </c>
      <c r="F574" t="s">
        <v>119</v>
      </c>
      <c r="G574" t="s">
        <v>14</v>
      </c>
      <c r="H574">
        <v>2</v>
      </c>
      <c r="I574">
        <v>731.5</v>
      </c>
      <c r="J574">
        <v>5</v>
      </c>
      <c r="K574" t="s">
        <v>1920</v>
      </c>
      <c r="L574">
        <v>350</v>
      </c>
      <c r="M574">
        <v>1463</v>
      </c>
      <c r="N574">
        <v>700</v>
      </c>
      <c r="O574">
        <v>763</v>
      </c>
      <c r="P574">
        <v>0.52153110047846896</v>
      </c>
      <c r="Q574">
        <v>0</v>
      </c>
      <c r="R574">
        <v>0</v>
      </c>
      <c r="S574">
        <v>2</v>
      </c>
      <c r="T574">
        <v>1463</v>
      </c>
    </row>
    <row r="575" spans="1:20">
      <c r="A575" t="s">
        <v>771</v>
      </c>
      <c r="B575" s="1">
        <v>45440</v>
      </c>
      <c r="C575">
        <v>22</v>
      </c>
      <c r="D575">
        <v>5</v>
      </c>
      <c r="E575" t="s">
        <v>622</v>
      </c>
      <c r="F575" t="s">
        <v>115</v>
      </c>
      <c r="G575" t="s">
        <v>23</v>
      </c>
      <c r="H575">
        <v>3</v>
      </c>
      <c r="I575">
        <v>1140</v>
      </c>
      <c r="J575">
        <v>5</v>
      </c>
      <c r="K575" t="s">
        <v>1926</v>
      </c>
      <c r="L575">
        <v>600</v>
      </c>
      <c r="M575">
        <v>3420</v>
      </c>
      <c r="N575">
        <v>1800</v>
      </c>
      <c r="O575">
        <v>1620</v>
      </c>
      <c r="P575">
        <v>0.47368421052631599</v>
      </c>
      <c r="Q575">
        <v>0</v>
      </c>
      <c r="R575">
        <v>0</v>
      </c>
      <c r="S575">
        <v>3</v>
      </c>
      <c r="T575">
        <v>3420</v>
      </c>
    </row>
    <row r="576" spans="1:20">
      <c r="A576" t="s">
        <v>772</v>
      </c>
      <c r="B576" s="1">
        <v>45441</v>
      </c>
      <c r="C576">
        <v>22</v>
      </c>
      <c r="D576">
        <v>5</v>
      </c>
      <c r="E576" t="s">
        <v>622</v>
      </c>
      <c r="F576" t="s">
        <v>45</v>
      </c>
      <c r="G576" t="s">
        <v>26</v>
      </c>
      <c r="H576">
        <v>4</v>
      </c>
      <c r="I576">
        <v>4050</v>
      </c>
      <c r="J576">
        <v>10</v>
      </c>
      <c r="K576" t="s">
        <v>1938</v>
      </c>
      <c r="L576">
        <v>1800</v>
      </c>
      <c r="M576">
        <v>16200</v>
      </c>
      <c r="N576">
        <v>7200</v>
      </c>
      <c r="O576">
        <v>9000</v>
      </c>
      <c r="P576">
        <v>0.55555555555555602</v>
      </c>
      <c r="Q576">
        <v>0</v>
      </c>
      <c r="R576">
        <v>0</v>
      </c>
      <c r="S576">
        <v>4</v>
      </c>
      <c r="T576">
        <v>16200</v>
      </c>
    </row>
    <row r="577" spans="1:20">
      <c r="A577" t="s">
        <v>774</v>
      </c>
      <c r="B577" s="1">
        <v>45442</v>
      </c>
      <c r="C577">
        <v>22</v>
      </c>
      <c r="D577">
        <v>5</v>
      </c>
      <c r="E577" t="s">
        <v>622</v>
      </c>
      <c r="F577" t="s">
        <v>369</v>
      </c>
      <c r="G577" t="s">
        <v>221</v>
      </c>
      <c r="H577">
        <v>2</v>
      </c>
      <c r="I577">
        <v>665</v>
      </c>
      <c r="J577">
        <v>5</v>
      </c>
      <c r="K577" t="s">
        <v>1949</v>
      </c>
      <c r="L577">
        <v>350</v>
      </c>
      <c r="M577">
        <v>1330</v>
      </c>
      <c r="N577">
        <v>700</v>
      </c>
      <c r="O577">
        <v>630</v>
      </c>
      <c r="P577">
        <v>0.47368421052631599</v>
      </c>
      <c r="Q577">
        <v>0</v>
      </c>
      <c r="R577">
        <v>0</v>
      </c>
      <c r="S577">
        <v>2</v>
      </c>
      <c r="T577">
        <v>1330</v>
      </c>
    </row>
    <row r="578" spans="1:20">
      <c r="A578" t="s">
        <v>776</v>
      </c>
      <c r="B578" s="1">
        <v>45442</v>
      </c>
      <c r="C578">
        <v>22</v>
      </c>
      <c r="D578">
        <v>5</v>
      </c>
      <c r="E578" t="s">
        <v>622</v>
      </c>
      <c r="F578" t="s">
        <v>45</v>
      </c>
      <c r="G578" t="s">
        <v>26</v>
      </c>
      <c r="H578">
        <v>1</v>
      </c>
      <c r="I578">
        <v>4275</v>
      </c>
      <c r="J578">
        <v>5</v>
      </c>
      <c r="K578" t="s">
        <v>1938</v>
      </c>
      <c r="L578">
        <v>1800</v>
      </c>
      <c r="M578">
        <v>4275</v>
      </c>
      <c r="N578">
        <v>1800</v>
      </c>
      <c r="O578">
        <v>2475</v>
      </c>
      <c r="P578">
        <v>0.57894736842105299</v>
      </c>
      <c r="Q578">
        <v>0</v>
      </c>
      <c r="R578">
        <v>0</v>
      </c>
      <c r="S578">
        <v>1</v>
      </c>
      <c r="T578">
        <v>4275</v>
      </c>
    </row>
    <row r="579" spans="1:20">
      <c r="A579" t="s">
        <v>777</v>
      </c>
      <c r="B579" s="1">
        <v>45443</v>
      </c>
      <c r="C579">
        <v>22</v>
      </c>
      <c r="D579">
        <v>5</v>
      </c>
      <c r="E579" t="s">
        <v>622</v>
      </c>
      <c r="F579" t="s">
        <v>82</v>
      </c>
      <c r="G579" t="s">
        <v>20</v>
      </c>
      <c r="H579">
        <v>5</v>
      </c>
      <c r="I579">
        <v>765</v>
      </c>
      <c r="J579">
        <v>15</v>
      </c>
      <c r="K579" t="s">
        <v>1933</v>
      </c>
      <c r="L579">
        <v>500</v>
      </c>
      <c r="M579">
        <v>3825</v>
      </c>
      <c r="N579">
        <v>2500</v>
      </c>
      <c r="O579">
        <v>1325</v>
      </c>
      <c r="P579">
        <v>0.34640522875816998</v>
      </c>
      <c r="Q579">
        <v>0</v>
      </c>
      <c r="R579">
        <v>0</v>
      </c>
      <c r="S579">
        <v>5</v>
      </c>
      <c r="T579">
        <v>3825</v>
      </c>
    </row>
    <row r="580" spans="1:20">
      <c r="A580" t="s">
        <v>779</v>
      </c>
      <c r="B580" s="1">
        <v>45443</v>
      </c>
      <c r="C580">
        <v>22</v>
      </c>
      <c r="D580">
        <v>5</v>
      </c>
      <c r="E580" t="s">
        <v>622</v>
      </c>
      <c r="F580" t="s">
        <v>31</v>
      </c>
      <c r="G580" t="s">
        <v>23</v>
      </c>
      <c r="H580">
        <v>4</v>
      </c>
      <c r="I580">
        <v>1400</v>
      </c>
      <c r="J580">
        <v>0</v>
      </c>
      <c r="K580" t="s">
        <v>1930</v>
      </c>
      <c r="L580">
        <v>700</v>
      </c>
      <c r="M580">
        <v>5600</v>
      </c>
      <c r="N580">
        <v>2800</v>
      </c>
      <c r="O580">
        <v>2800</v>
      </c>
      <c r="P580">
        <v>0.5</v>
      </c>
      <c r="Q580">
        <v>0</v>
      </c>
      <c r="R580">
        <v>0</v>
      </c>
      <c r="S580">
        <v>4</v>
      </c>
      <c r="T580">
        <v>5600</v>
      </c>
    </row>
    <row r="581" spans="1:20">
      <c r="A581" t="s">
        <v>780</v>
      </c>
      <c r="B581" s="1">
        <v>45443</v>
      </c>
      <c r="C581">
        <v>22</v>
      </c>
      <c r="D581">
        <v>5</v>
      </c>
      <c r="E581" t="s">
        <v>622</v>
      </c>
      <c r="F581" t="s">
        <v>187</v>
      </c>
      <c r="G581" t="s">
        <v>14</v>
      </c>
      <c r="H581">
        <v>1</v>
      </c>
      <c r="I581">
        <v>3740</v>
      </c>
      <c r="J581">
        <v>15</v>
      </c>
      <c r="K581" t="s">
        <v>1924</v>
      </c>
      <c r="L581">
        <v>2000</v>
      </c>
      <c r="M581">
        <v>3740</v>
      </c>
      <c r="N581">
        <v>2000</v>
      </c>
      <c r="O581">
        <v>1740</v>
      </c>
      <c r="P581">
        <v>0.46524064171122997</v>
      </c>
      <c r="Q581">
        <v>0</v>
      </c>
      <c r="R581">
        <v>0</v>
      </c>
      <c r="S581">
        <v>1</v>
      </c>
      <c r="T581">
        <v>3740</v>
      </c>
    </row>
    <row r="582" spans="1:20">
      <c r="A582" t="s">
        <v>781</v>
      </c>
      <c r="B582" s="1">
        <v>45443</v>
      </c>
      <c r="C582">
        <v>22</v>
      </c>
      <c r="D582">
        <v>5</v>
      </c>
      <c r="E582" t="s">
        <v>622</v>
      </c>
      <c r="F582" t="s">
        <v>28</v>
      </c>
      <c r="G582" t="s">
        <v>26</v>
      </c>
      <c r="H582">
        <v>5</v>
      </c>
      <c r="I582">
        <v>1275</v>
      </c>
      <c r="J582">
        <v>15</v>
      </c>
      <c r="K582" t="s">
        <v>1939</v>
      </c>
      <c r="L582">
        <v>600</v>
      </c>
      <c r="M582">
        <v>6375</v>
      </c>
      <c r="N582">
        <v>3000</v>
      </c>
      <c r="O582">
        <v>3375</v>
      </c>
      <c r="P582">
        <v>0.52941176470588203</v>
      </c>
      <c r="Q582">
        <v>0</v>
      </c>
      <c r="R582">
        <v>0</v>
      </c>
      <c r="S582">
        <v>5</v>
      </c>
      <c r="T582">
        <v>6375</v>
      </c>
    </row>
    <row r="583" spans="1:20">
      <c r="A583" t="s">
        <v>782</v>
      </c>
      <c r="B583" s="1">
        <v>45443</v>
      </c>
      <c r="C583">
        <v>22</v>
      </c>
      <c r="D583">
        <v>5</v>
      </c>
      <c r="E583" t="s">
        <v>622</v>
      </c>
      <c r="F583" t="s">
        <v>13</v>
      </c>
      <c r="G583" t="s">
        <v>14</v>
      </c>
      <c r="H583">
        <v>3</v>
      </c>
      <c r="I583">
        <v>480</v>
      </c>
      <c r="J583">
        <v>0</v>
      </c>
      <c r="K583" t="s">
        <v>1925</v>
      </c>
      <c r="L583">
        <v>220</v>
      </c>
      <c r="M583">
        <v>1440</v>
      </c>
      <c r="N583">
        <v>660</v>
      </c>
      <c r="O583">
        <v>780</v>
      </c>
      <c r="P583">
        <v>0.54166666666666696</v>
      </c>
      <c r="Q583">
        <v>0</v>
      </c>
      <c r="R583">
        <v>0</v>
      </c>
      <c r="S583">
        <v>3</v>
      </c>
      <c r="T583">
        <v>1440</v>
      </c>
    </row>
    <row r="584" spans="1:20">
      <c r="A584" t="s">
        <v>783</v>
      </c>
      <c r="B584" s="1">
        <v>45443</v>
      </c>
      <c r="C584">
        <v>22</v>
      </c>
      <c r="D584">
        <v>5</v>
      </c>
      <c r="E584" t="s">
        <v>622</v>
      </c>
      <c r="F584" t="s">
        <v>146</v>
      </c>
      <c r="G584" t="s">
        <v>20</v>
      </c>
      <c r="H584">
        <v>3</v>
      </c>
      <c r="I584">
        <v>630</v>
      </c>
      <c r="J584">
        <v>0</v>
      </c>
      <c r="K584" t="s">
        <v>1934</v>
      </c>
      <c r="L584">
        <v>350</v>
      </c>
      <c r="M584">
        <v>1890</v>
      </c>
      <c r="N584">
        <v>1050</v>
      </c>
      <c r="O584">
        <v>840</v>
      </c>
      <c r="P584">
        <v>0.44444444444444398</v>
      </c>
      <c r="Q584">
        <v>0</v>
      </c>
      <c r="R584">
        <v>0</v>
      </c>
      <c r="S584">
        <v>3</v>
      </c>
      <c r="T584">
        <v>1890</v>
      </c>
    </row>
    <row r="585" spans="1:20">
      <c r="A585" t="s">
        <v>784</v>
      </c>
      <c r="B585" s="1">
        <v>45444</v>
      </c>
      <c r="C585">
        <v>22</v>
      </c>
      <c r="D585">
        <v>6</v>
      </c>
      <c r="E585" t="s">
        <v>786</v>
      </c>
      <c r="F585" t="s">
        <v>220</v>
      </c>
      <c r="G585" t="s">
        <v>221</v>
      </c>
      <c r="H585">
        <v>5</v>
      </c>
      <c r="I585">
        <v>510</v>
      </c>
      <c r="J585">
        <v>15</v>
      </c>
      <c r="K585" t="s">
        <v>1947</v>
      </c>
      <c r="L585">
        <v>300</v>
      </c>
      <c r="M585">
        <v>2550</v>
      </c>
      <c r="N585">
        <v>1500</v>
      </c>
      <c r="O585">
        <v>1050</v>
      </c>
      <c r="P585">
        <v>0.41176470588235298</v>
      </c>
      <c r="Q585">
        <v>0</v>
      </c>
      <c r="R585">
        <v>0</v>
      </c>
      <c r="S585">
        <v>5</v>
      </c>
      <c r="T585">
        <v>2550</v>
      </c>
    </row>
    <row r="586" spans="1:20">
      <c r="A586" t="s">
        <v>787</v>
      </c>
      <c r="B586" s="1">
        <v>45444</v>
      </c>
      <c r="C586">
        <v>22</v>
      </c>
      <c r="D586">
        <v>6</v>
      </c>
      <c r="E586" t="s">
        <v>786</v>
      </c>
      <c r="F586" t="s">
        <v>64</v>
      </c>
      <c r="G586" t="s">
        <v>14</v>
      </c>
      <c r="H586">
        <v>2</v>
      </c>
      <c r="I586">
        <v>2376</v>
      </c>
      <c r="J586">
        <v>10</v>
      </c>
      <c r="K586" t="s">
        <v>1923</v>
      </c>
      <c r="L586">
        <v>1200</v>
      </c>
      <c r="M586">
        <v>4752</v>
      </c>
      <c r="N586">
        <v>2400</v>
      </c>
      <c r="O586">
        <v>2352</v>
      </c>
      <c r="P586">
        <v>0.49494949494949497</v>
      </c>
      <c r="Q586">
        <v>0</v>
      </c>
      <c r="R586">
        <v>0</v>
      </c>
      <c r="S586">
        <v>2</v>
      </c>
      <c r="T586">
        <v>4752</v>
      </c>
    </row>
    <row r="587" spans="1:20">
      <c r="A587" t="s">
        <v>788</v>
      </c>
      <c r="B587" s="1">
        <v>45444</v>
      </c>
      <c r="C587">
        <v>22</v>
      </c>
      <c r="D587">
        <v>6</v>
      </c>
      <c r="E587" t="s">
        <v>786</v>
      </c>
      <c r="F587" t="s">
        <v>115</v>
      </c>
      <c r="G587" t="s">
        <v>23</v>
      </c>
      <c r="H587">
        <v>1</v>
      </c>
      <c r="I587">
        <v>1200</v>
      </c>
      <c r="J587">
        <v>0</v>
      </c>
      <c r="K587" t="s">
        <v>1926</v>
      </c>
      <c r="L587">
        <v>600</v>
      </c>
      <c r="M587">
        <v>1200</v>
      </c>
      <c r="N587">
        <v>600</v>
      </c>
      <c r="O587">
        <v>600</v>
      </c>
      <c r="P587">
        <v>0.5</v>
      </c>
      <c r="Q587">
        <v>0</v>
      </c>
      <c r="R587">
        <v>0</v>
      </c>
      <c r="S587">
        <v>1</v>
      </c>
      <c r="T587">
        <v>1200</v>
      </c>
    </row>
    <row r="588" spans="1:20">
      <c r="A588" t="s">
        <v>789</v>
      </c>
      <c r="B588" s="1">
        <v>45444</v>
      </c>
      <c r="C588">
        <v>22</v>
      </c>
      <c r="D588">
        <v>6</v>
      </c>
      <c r="E588" t="s">
        <v>786</v>
      </c>
      <c r="F588" t="s">
        <v>119</v>
      </c>
      <c r="G588" t="s">
        <v>14</v>
      </c>
      <c r="H588">
        <v>1</v>
      </c>
      <c r="I588">
        <v>654.5</v>
      </c>
      <c r="J588">
        <v>15</v>
      </c>
      <c r="K588" t="s">
        <v>1920</v>
      </c>
      <c r="L588">
        <v>350</v>
      </c>
      <c r="M588">
        <v>654.5</v>
      </c>
      <c r="N588">
        <v>350</v>
      </c>
      <c r="O588">
        <v>304.5</v>
      </c>
      <c r="P588">
        <v>0.46524064171122997</v>
      </c>
      <c r="Q588">
        <v>0</v>
      </c>
      <c r="R588">
        <v>0</v>
      </c>
      <c r="S588">
        <v>1</v>
      </c>
      <c r="T588">
        <v>654.5</v>
      </c>
    </row>
    <row r="589" spans="1:20">
      <c r="A589" t="s">
        <v>790</v>
      </c>
      <c r="B589" s="1">
        <v>45445</v>
      </c>
      <c r="C589">
        <v>22</v>
      </c>
      <c r="D589">
        <v>6</v>
      </c>
      <c r="E589" t="s">
        <v>786</v>
      </c>
      <c r="F589" t="s">
        <v>349</v>
      </c>
      <c r="G589" t="s">
        <v>221</v>
      </c>
      <c r="H589">
        <v>2</v>
      </c>
      <c r="I589">
        <v>400</v>
      </c>
      <c r="J589">
        <v>0</v>
      </c>
      <c r="K589" t="s">
        <v>1948</v>
      </c>
      <c r="L589">
        <v>200</v>
      </c>
      <c r="M589">
        <v>800</v>
      </c>
      <c r="N589">
        <v>400</v>
      </c>
      <c r="O589">
        <v>400</v>
      </c>
      <c r="P589">
        <v>0.5</v>
      </c>
      <c r="Q589">
        <v>0</v>
      </c>
      <c r="R589">
        <v>0</v>
      </c>
      <c r="S589">
        <v>2</v>
      </c>
      <c r="T589">
        <v>800</v>
      </c>
    </row>
    <row r="590" spans="1:20">
      <c r="A590" t="s">
        <v>792</v>
      </c>
      <c r="B590" s="1">
        <v>45445</v>
      </c>
      <c r="C590">
        <v>22</v>
      </c>
      <c r="D590">
        <v>6</v>
      </c>
      <c r="E590" t="s">
        <v>786</v>
      </c>
      <c r="F590" t="s">
        <v>349</v>
      </c>
      <c r="G590" t="s">
        <v>221</v>
      </c>
      <c r="H590">
        <v>5</v>
      </c>
      <c r="I590">
        <v>380</v>
      </c>
      <c r="J590">
        <v>5</v>
      </c>
      <c r="K590" t="s">
        <v>1948</v>
      </c>
      <c r="L590">
        <v>200</v>
      </c>
      <c r="M590">
        <v>1900</v>
      </c>
      <c r="N590">
        <v>1000</v>
      </c>
      <c r="O590">
        <v>900</v>
      </c>
      <c r="P590">
        <v>0.47368421052631599</v>
      </c>
      <c r="Q590">
        <v>0</v>
      </c>
      <c r="R590">
        <v>0</v>
      </c>
      <c r="S590">
        <v>5</v>
      </c>
      <c r="T590">
        <v>1900</v>
      </c>
    </row>
    <row r="591" spans="1:20">
      <c r="A591" t="s">
        <v>793</v>
      </c>
      <c r="B591" s="1">
        <v>45445</v>
      </c>
      <c r="C591">
        <v>22</v>
      </c>
      <c r="D591">
        <v>6</v>
      </c>
      <c r="E591" t="s">
        <v>786</v>
      </c>
      <c r="F591" t="s">
        <v>220</v>
      </c>
      <c r="G591" t="s">
        <v>221</v>
      </c>
      <c r="H591">
        <v>5</v>
      </c>
      <c r="I591">
        <v>570</v>
      </c>
      <c r="J591">
        <v>5</v>
      </c>
      <c r="K591" t="s">
        <v>1947</v>
      </c>
      <c r="L591">
        <v>300</v>
      </c>
      <c r="M591">
        <v>2850</v>
      </c>
      <c r="N591">
        <v>1500</v>
      </c>
      <c r="O591">
        <v>1350</v>
      </c>
      <c r="P591">
        <v>0.47368421052631599</v>
      </c>
      <c r="Q591">
        <v>0</v>
      </c>
      <c r="R591">
        <v>0</v>
      </c>
      <c r="S591">
        <v>5</v>
      </c>
      <c r="T591">
        <v>2850</v>
      </c>
    </row>
    <row r="592" spans="1:20">
      <c r="A592" t="s">
        <v>794</v>
      </c>
      <c r="B592" s="1">
        <v>45445</v>
      </c>
      <c r="C592">
        <v>22</v>
      </c>
      <c r="D592">
        <v>6</v>
      </c>
      <c r="E592" t="s">
        <v>786</v>
      </c>
      <c r="F592" t="s">
        <v>80</v>
      </c>
      <c r="G592" t="s">
        <v>14</v>
      </c>
      <c r="H592">
        <v>3</v>
      </c>
      <c r="I592">
        <v>400</v>
      </c>
      <c r="J592">
        <v>0</v>
      </c>
      <c r="K592" t="s">
        <v>1922</v>
      </c>
      <c r="L592">
        <v>180</v>
      </c>
      <c r="M592">
        <v>1200</v>
      </c>
      <c r="N592">
        <v>540</v>
      </c>
      <c r="O592">
        <v>660</v>
      </c>
      <c r="P592">
        <v>0.55000000000000004</v>
      </c>
      <c r="Q592">
        <v>0</v>
      </c>
      <c r="R592">
        <v>0</v>
      </c>
      <c r="S592">
        <v>3</v>
      </c>
      <c r="T592">
        <v>1200</v>
      </c>
    </row>
    <row r="593" spans="1:20">
      <c r="A593" t="s">
        <v>795</v>
      </c>
      <c r="B593" s="1">
        <v>45445</v>
      </c>
      <c r="C593">
        <v>22</v>
      </c>
      <c r="D593">
        <v>6</v>
      </c>
      <c r="E593" t="s">
        <v>786</v>
      </c>
      <c r="F593" t="s">
        <v>220</v>
      </c>
      <c r="G593" t="s">
        <v>221</v>
      </c>
      <c r="H593">
        <v>3</v>
      </c>
      <c r="I593">
        <v>600</v>
      </c>
      <c r="J593">
        <v>0</v>
      </c>
      <c r="K593" t="s">
        <v>1947</v>
      </c>
      <c r="L593">
        <v>300</v>
      </c>
      <c r="M593">
        <v>1800</v>
      </c>
      <c r="N593">
        <v>900</v>
      </c>
      <c r="O593">
        <v>900</v>
      </c>
      <c r="P593">
        <v>0.5</v>
      </c>
      <c r="Q593">
        <v>0</v>
      </c>
      <c r="R593">
        <v>0</v>
      </c>
      <c r="S593">
        <v>3</v>
      </c>
      <c r="T593">
        <v>1800</v>
      </c>
    </row>
    <row r="594" spans="1:20">
      <c r="A594" t="s">
        <v>796</v>
      </c>
      <c r="B594" s="1">
        <v>45446</v>
      </c>
      <c r="C594">
        <v>23</v>
      </c>
      <c r="D594">
        <v>6</v>
      </c>
      <c r="E594" t="s">
        <v>786</v>
      </c>
      <c r="F594" t="s">
        <v>64</v>
      </c>
      <c r="G594" t="s">
        <v>14</v>
      </c>
      <c r="H594">
        <v>2</v>
      </c>
      <c r="I594">
        <v>2640</v>
      </c>
      <c r="J594">
        <v>0</v>
      </c>
      <c r="K594" t="s">
        <v>1923</v>
      </c>
      <c r="L594">
        <v>1200</v>
      </c>
      <c r="M594">
        <v>5280</v>
      </c>
      <c r="N594">
        <v>2400</v>
      </c>
      <c r="O594">
        <v>2880</v>
      </c>
      <c r="P594">
        <v>0.54545454545454497</v>
      </c>
      <c r="Q594">
        <v>0</v>
      </c>
      <c r="R594">
        <v>0</v>
      </c>
      <c r="S594">
        <v>2</v>
      </c>
      <c r="T594">
        <v>5280</v>
      </c>
    </row>
    <row r="595" spans="1:20">
      <c r="A595" t="s">
        <v>798</v>
      </c>
      <c r="B595" s="1">
        <v>45446</v>
      </c>
      <c r="C595">
        <v>23</v>
      </c>
      <c r="D595">
        <v>6</v>
      </c>
      <c r="E595" t="s">
        <v>786</v>
      </c>
      <c r="F595" t="s">
        <v>220</v>
      </c>
      <c r="G595" t="s">
        <v>221</v>
      </c>
      <c r="H595">
        <v>5</v>
      </c>
      <c r="I595">
        <v>600</v>
      </c>
      <c r="J595">
        <v>0</v>
      </c>
      <c r="K595" t="s">
        <v>1947</v>
      </c>
      <c r="L595">
        <v>300</v>
      </c>
      <c r="M595">
        <v>3000</v>
      </c>
      <c r="N595">
        <v>1500</v>
      </c>
      <c r="O595">
        <v>1500</v>
      </c>
      <c r="P595">
        <v>0.5</v>
      </c>
      <c r="Q595">
        <v>0</v>
      </c>
      <c r="R595">
        <v>0</v>
      </c>
      <c r="S595">
        <v>5</v>
      </c>
      <c r="T595">
        <v>3000</v>
      </c>
    </row>
    <row r="596" spans="1:20">
      <c r="A596" t="s">
        <v>799</v>
      </c>
      <c r="B596" s="1">
        <v>45446</v>
      </c>
      <c r="C596">
        <v>23</v>
      </c>
      <c r="D596">
        <v>6</v>
      </c>
      <c r="E596" t="s">
        <v>786</v>
      </c>
      <c r="F596" t="s">
        <v>369</v>
      </c>
      <c r="G596" t="s">
        <v>221</v>
      </c>
      <c r="H596">
        <v>3</v>
      </c>
      <c r="I596">
        <v>595</v>
      </c>
      <c r="J596">
        <v>15</v>
      </c>
      <c r="K596" t="s">
        <v>1949</v>
      </c>
      <c r="L596">
        <v>350</v>
      </c>
      <c r="M596">
        <v>1785</v>
      </c>
      <c r="N596">
        <v>1050</v>
      </c>
      <c r="O596">
        <v>735</v>
      </c>
      <c r="P596">
        <v>0.41176470588235298</v>
      </c>
      <c r="Q596">
        <v>0</v>
      </c>
      <c r="R596">
        <v>0</v>
      </c>
      <c r="S596">
        <v>3</v>
      </c>
      <c r="T596">
        <v>1785</v>
      </c>
    </row>
    <row r="597" spans="1:20">
      <c r="A597" t="s">
        <v>800</v>
      </c>
      <c r="B597" s="1">
        <v>45446</v>
      </c>
      <c r="C597">
        <v>23</v>
      </c>
      <c r="D597">
        <v>6</v>
      </c>
      <c r="E597" t="s">
        <v>786</v>
      </c>
      <c r="F597" t="s">
        <v>39</v>
      </c>
      <c r="G597" t="s">
        <v>14</v>
      </c>
      <c r="H597">
        <v>2</v>
      </c>
      <c r="I597">
        <v>836</v>
      </c>
      <c r="J597">
        <v>5</v>
      </c>
      <c r="K597" t="s">
        <v>1921</v>
      </c>
      <c r="L597">
        <v>400</v>
      </c>
      <c r="M597">
        <v>1672</v>
      </c>
      <c r="N597">
        <v>800</v>
      </c>
      <c r="O597">
        <v>872</v>
      </c>
      <c r="P597">
        <v>0.52153110047846896</v>
      </c>
      <c r="Q597">
        <v>0</v>
      </c>
      <c r="R597">
        <v>0</v>
      </c>
      <c r="S597">
        <v>2</v>
      </c>
      <c r="T597">
        <v>1672</v>
      </c>
    </row>
    <row r="598" spans="1:20">
      <c r="A598" t="s">
        <v>801</v>
      </c>
      <c r="B598" s="1">
        <v>45446</v>
      </c>
      <c r="C598">
        <v>23</v>
      </c>
      <c r="D598">
        <v>6</v>
      </c>
      <c r="E598" t="s">
        <v>786</v>
      </c>
      <c r="F598" t="s">
        <v>39</v>
      </c>
      <c r="G598" t="s">
        <v>14</v>
      </c>
      <c r="H598">
        <v>4</v>
      </c>
      <c r="I598">
        <v>792</v>
      </c>
      <c r="J598">
        <v>10</v>
      </c>
      <c r="K598" t="s">
        <v>1921</v>
      </c>
      <c r="L598">
        <v>400</v>
      </c>
      <c r="M598">
        <v>3168</v>
      </c>
      <c r="N598">
        <v>1600</v>
      </c>
      <c r="O598">
        <v>1568</v>
      </c>
      <c r="P598">
        <v>0.49494949494949497</v>
      </c>
      <c r="Q598">
        <v>0</v>
      </c>
      <c r="R598">
        <v>0</v>
      </c>
      <c r="S598">
        <v>4</v>
      </c>
      <c r="T598">
        <v>3168</v>
      </c>
    </row>
    <row r="599" spans="1:20">
      <c r="A599" t="s">
        <v>802</v>
      </c>
      <c r="B599" s="1">
        <v>45447</v>
      </c>
      <c r="C599">
        <v>23</v>
      </c>
      <c r="D599">
        <v>6</v>
      </c>
      <c r="E599" t="s">
        <v>786</v>
      </c>
      <c r="F599" t="s">
        <v>349</v>
      </c>
      <c r="G599" t="s">
        <v>221</v>
      </c>
      <c r="H599">
        <v>2</v>
      </c>
      <c r="I599">
        <v>360</v>
      </c>
      <c r="J599">
        <v>10</v>
      </c>
      <c r="K599" t="s">
        <v>1948</v>
      </c>
      <c r="L599">
        <v>200</v>
      </c>
      <c r="M599">
        <v>720</v>
      </c>
      <c r="N599">
        <v>400</v>
      </c>
      <c r="O599">
        <v>320</v>
      </c>
      <c r="P599">
        <v>0.44444444444444398</v>
      </c>
      <c r="Q599">
        <v>0</v>
      </c>
      <c r="R599">
        <v>0</v>
      </c>
      <c r="S599">
        <v>2</v>
      </c>
      <c r="T599">
        <v>720</v>
      </c>
    </row>
    <row r="600" spans="1:20">
      <c r="A600" t="s">
        <v>804</v>
      </c>
      <c r="B600" s="1">
        <v>45447</v>
      </c>
      <c r="C600">
        <v>23</v>
      </c>
      <c r="D600">
        <v>6</v>
      </c>
      <c r="E600" t="s">
        <v>786</v>
      </c>
      <c r="F600" t="s">
        <v>349</v>
      </c>
      <c r="G600" t="s">
        <v>221</v>
      </c>
      <c r="H600">
        <v>3</v>
      </c>
      <c r="I600">
        <v>380</v>
      </c>
      <c r="J600">
        <v>5</v>
      </c>
      <c r="K600" t="s">
        <v>1948</v>
      </c>
      <c r="L600">
        <v>200</v>
      </c>
      <c r="M600">
        <v>1140</v>
      </c>
      <c r="N600">
        <v>600</v>
      </c>
      <c r="O600">
        <v>540</v>
      </c>
      <c r="P600">
        <v>0.47368421052631599</v>
      </c>
      <c r="Q600">
        <v>0</v>
      </c>
      <c r="R600">
        <v>0</v>
      </c>
      <c r="S600">
        <v>3</v>
      </c>
      <c r="T600">
        <v>1140</v>
      </c>
    </row>
    <row r="601" spans="1:20">
      <c r="A601" t="s">
        <v>805</v>
      </c>
      <c r="B601" s="1">
        <v>45448</v>
      </c>
      <c r="C601">
        <v>23</v>
      </c>
      <c r="D601">
        <v>6</v>
      </c>
      <c r="E601" t="s">
        <v>786</v>
      </c>
      <c r="F601" t="s">
        <v>13</v>
      </c>
      <c r="G601" t="s">
        <v>14</v>
      </c>
      <c r="H601">
        <v>1</v>
      </c>
      <c r="I601">
        <v>456</v>
      </c>
      <c r="J601">
        <v>5</v>
      </c>
      <c r="K601" t="s">
        <v>1925</v>
      </c>
      <c r="L601">
        <v>220</v>
      </c>
      <c r="M601">
        <v>456</v>
      </c>
      <c r="N601">
        <v>220</v>
      </c>
      <c r="O601">
        <v>236</v>
      </c>
      <c r="P601">
        <v>0.51754385964912297</v>
      </c>
      <c r="Q601">
        <v>0</v>
      </c>
      <c r="R601">
        <v>0</v>
      </c>
      <c r="S601">
        <v>1</v>
      </c>
      <c r="T601">
        <v>456</v>
      </c>
    </row>
    <row r="602" spans="1:20">
      <c r="A602" t="s">
        <v>807</v>
      </c>
      <c r="B602" s="1">
        <v>45448</v>
      </c>
      <c r="C602">
        <v>23</v>
      </c>
      <c r="D602">
        <v>6</v>
      </c>
      <c r="E602" t="s">
        <v>786</v>
      </c>
      <c r="F602" t="s">
        <v>80</v>
      </c>
      <c r="G602" t="s">
        <v>14</v>
      </c>
      <c r="H602">
        <v>2</v>
      </c>
      <c r="I602">
        <v>380</v>
      </c>
      <c r="J602">
        <v>5</v>
      </c>
      <c r="K602" t="s">
        <v>1922</v>
      </c>
      <c r="L602">
        <v>180</v>
      </c>
      <c r="M602">
        <v>760</v>
      </c>
      <c r="N602">
        <v>360</v>
      </c>
      <c r="O602">
        <v>400</v>
      </c>
      <c r="P602">
        <v>0.52631578947368396</v>
      </c>
      <c r="Q602">
        <v>0</v>
      </c>
      <c r="R602">
        <v>0</v>
      </c>
      <c r="S602">
        <v>2</v>
      </c>
      <c r="T602">
        <v>760</v>
      </c>
    </row>
    <row r="603" spans="1:20">
      <c r="A603" t="s">
        <v>808</v>
      </c>
      <c r="B603" s="1">
        <v>45448</v>
      </c>
      <c r="C603">
        <v>23</v>
      </c>
      <c r="D603">
        <v>6</v>
      </c>
      <c r="E603" t="s">
        <v>786</v>
      </c>
      <c r="F603" t="s">
        <v>187</v>
      </c>
      <c r="G603" t="s">
        <v>14</v>
      </c>
      <c r="H603">
        <v>5</v>
      </c>
      <c r="I603">
        <v>4400</v>
      </c>
      <c r="J603">
        <v>0</v>
      </c>
      <c r="K603" t="s">
        <v>1924</v>
      </c>
      <c r="L603">
        <v>2000</v>
      </c>
      <c r="M603">
        <v>22000</v>
      </c>
      <c r="N603">
        <v>10000</v>
      </c>
      <c r="O603">
        <v>12000</v>
      </c>
      <c r="P603">
        <v>0.54545454545454497</v>
      </c>
      <c r="Q603">
        <v>4</v>
      </c>
      <c r="R603">
        <v>4</v>
      </c>
      <c r="S603">
        <v>1</v>
      </c>
      <c r="T603">
        <v>4400</v>
      </c>
    </row>
    <row r="604" spans="1:20">
      <c r="A604" t="s">
        <v>809</v>
      </c>
      <c r="B604" s="1">
        <v>45448</v>
      </c>
      <c r="C604">
        <v>23</v>
      </c>
      <c r="D604">
        <v>6</v>
      </c>
      <c r="E604" t="s">
        <v>786</v>
      </c>
      <c r="F604" t="s">
        <v>45</v>
      </c>
      <c r="G604" t="s">
        <v>26</v>
      </c>
      <c r="H604">
        <v>4</v>
      </c>
      <c r="I604">
        <v>4275</v>
      </c>
      <c r="J604">
        <v>5</v>
      </c>
      <c r="K604" t="s">
        <v>1938</v>
      </c>
      <c r="L604">
        <v>1800</v>
      </c>
      <c r="M604">
        <v>17100</v>
      </c>
      <c r="N604">
        <v>7200</v>
      </c>
      <c r="O604">
        <v>9900</v>
      </c>
      <c r="P604">
        <v>0.57894736842105299</v>
      </c>
      <c r="Q604">
        <v>0</v>
      </c>
      <c r="R604">
        <v>0</v>
      </c>
      <c r="S604">
        <v>4</v>
      </c>
      <c r="T604">
        <v>17100</v>
      </c>
    </row>
    <row r="605" spans="1:20">
      <c r="A605" t="s">
        <v>810</v>
      </c>
      <c r="B605" s="1">
        <v>45449</v>
      </c>
      <c r="C605">
        <v>23</v>
      </c>
      <c r="D605">
        <v>6</v>
      </c>
      <c r="E605" t="s">
        <v>786</v>
      </c>
      <c r="F605" t="s">
        <v>42</v>
      </c>
      <c r="G605" t="s">
        <v>23</v>
      </c>
      <c r="H605">
        <v>5</v>
      </c>
      <c r="I605">
        <v>600</v>
      </c>
      <c r="J605">
        <v>0</v>
      </c>
      <c r="K605" t="s">
        <v>1928</v>
      </c>
      <c r="L605">
        <v>300</v>
      </c>
      <c r="M605">
        <v>3000</v>
      </c>
      <c r="N605">
        <v>1500</v>
      </c>
      <c r="O605">
        <v>1500</v>
      </c>
      <c r="P605">
        <v>0.5</v>
      </c>
      <c r="Q605">
        <v>0</v>
      </c>
      <c r="R605">
        <v>0</v>
      </c>
      <c r="S605">
        <v>5</v>
      </c>
      <c r="T605">
        <v>3000</v>
      </c>
    </row>
    <row r="606" spans="1:20">
      <c r="A606" t="s">
        <v>812</v>
      </c>
      <c r="B606" s="1">
        <v>45449</v>
      </c>
      <c r="C606">
        <v>23</v>
      </c>
      <c r="D606">
        <v>6</v>
      </c>
      <c r="E606" t="s">
        <v>786</v>
      </c>
      <c r="F606" t="s">
        <v>80</v>
      </c>
      <c r="G606" t="s">
        <v>14</v>
      </c>
      <c r="H606">
        <v>1</v>
      </c>
      <c r="I606">
        <v>360</v>
      </c>
      <c r="J606">
        <v>10</v>
      </c>
      <c r="K606" t="s">
        <v>1922</v>
      </c>
      <c r="L606">
        <v>180</v>
      </c>
      <c r="M606">
        <v>360</v>
      </c>
      <c r="N606">
        <v>180</v>
      </c>
      <c r="O606">
        <v>180</v>
      </c>
      <c r="P606">
        <v>0.5</v>
      </c>
      <c r="Q606">
        <v>0</v>
      </c>
      <c r="R606">
        <v>0</v>
      </c>
      <c r="S606">
        <v>1</v>
      </c>
      <c r="T606">
        <v>360</v>
      </c>
    </row>
    <row r="607" spans="1:20">
      <c r="A607" t="s">
        <v>813</v>
      </c>
      <c r="B607" s="1">
        <v>45450</v>
      </c>
      <c r="C607">
        <v>23</v>
      </c>
      <c r="D607">
        <v>6</v>
      </c>
      <c r="E607" t="s">
        <v>786</v>
      </c>
      <c r="F607" t="s">
        <v>146</v>
      </c>
      <c r="G607" t="s">
        <v>20</v>
      </c>
      <c r="H607">
        <v>2</v>
      </c>
      <c r="I607">
        <v>567</v>
      </c>
      <c r="J607">
        <v>10</v>
      </c>
      <c r="K607" t="s">
        <v>1934</v>
      </c>
      <c r="L607">
        <v>350</v>
      </c>
      <c r="M607">
        <v>1134</v>
      </c>
      <c r="N607">
        <v>700</v>
      </c>
      <c r="O607">
        <v>434</v>
      </c>
      <c r="P607">
        <v>0.38271604938271597</v>
      </c>
      <c r="Q607">
        <v>0</v>
      </c>
      <c r="R607">
        <v>0</v>
      </c>
      <c r="S607">
        <v>2</v>
      </c>
      <c r="T607">
        <v>1134</v>
      </c>
    </row>
    <row r="608" spans="1:20">
      <c r="A608" t="s">
        <v>815</v>
      </c>
      <c r="B608" s="1">
        <v>45450</v>
      </c>
      <c r="C608">
        <v>23</v>
      </c>
      <c r="D608">
        <v>6</v>
      </c>
      <c r="E608" t="s">
        <v>786</v>
      </c>
      <c r="F608" t="s">
        <v>187</v>
      </c>
      <c r="G608" t="s">
        <v>14</v>
      </c>
      <c r="H608">
        <v>3</v>
      </c>
      <c r="I608">
        <v>4400</v>
      </c>
      <c r="J608">
        <v>0</v>
      </c>
      <c r="K608" t="s">
        <v>1924</v>
      </c>
      <c r="L608">
        <v>2000</v>
      </c>
      <c r="M608">
        <v>13200</v>
      </c>
      <c r="N608">
        <v>6000</v>
      </c>
      <c r="O608">
        <v>7200</v>
      </c>
      <c r="P608">
        <v>0.54545454545454497</v>
      </c>
      <c r="Q608">
        <v>0</v>
      </c>
      <c r="R608">
        <v>0</v>
      </c>
      <c r="S608">
        <v>3</v>
      </c>
      <c r="T608">
        <v>13200</v>
      </c>
    </row>
    <row r="609" spans="1:20">
      <c r="A609" t="s">
        <v>816</v>
      </c>
      <c r="B609" s="1">
        <v>45451</v>
      </c>
      <c r="C609">
        <v>23</v>
      </c>
      <c r="D609">
        <v>6</v>
      </c>
      <c r="E609" t="s">
        <v>786</v>
      </c>
      <c r="F609" t="s">
        <v>22</v>
      </c>
      <c r="G609" t="s">
        <v>23</v>
      </c>
      <c r="H609">
        <v>2</v>
      </c>
      <c r="I609">
        <v>475</v>
      </c>
      <c r="J609">
        <v>5</v>
      </c>
      <c r="K609" t="s">
        <v>1929</v>
      </c>
      <c r="L609">
        <v>250</v>
      </c>
      <c r="M609">
        <v>950</v>
      </c>
      <c r="N609">
        <v>500</v>
      </c>
      <c r="O609">
        <v>450</v>
      </c>
      <c r="P609">
        <v>0.47368421052631599</v>
      </c>
      <c r="Q609">
        <v>1</v>
      </c>
      <c r="R609">
        <v>1</v>
      </c>
      <c r="S609">
        <v>1</v>
      </c>
      <c r="T609">
        <v>475</v>
      </c>
    </row>
    <row r="610" spans="1:20">
      <c r="A610" t="s">
        <v>818</v>
      </c>
      <c r="B610" s="1">
        <v>45451</v>
      </c>
      <c r="C610">
        <v>23</v>
      </c>
      <c r="D610">
        <v>6</v>
      </c>
      <c r="E610" t="s">
        <v>786</v>
      </c>
      <c r="F610" t="s">
        <v>369</v>
      </c>
      <c r="G610" t="s">
        <v>221</v>
      </c>
      <c r="H610">
        <v>5</v>
      </c>
      <c r="I610">
        <v>595</v>
      </c>
      <c r="J610">
        <v>15</v>
      </c>
      <c r="K610" t="s">
        <v>1949</v>
      </c>
      <c r="L610">
        <v>350</v>
      </c>
      <c r="M610">
        <v>2975</v>
      </c>
      <c r="N610">
        <v>1750</v>
      </c>
      <c r="O610">
        <v>1225</v>
      </c>
      <c r="P610">
        <v>0.41176470588235298</v>
      </c>
      <c r="Q610">
        <v>0</v>
      </c>
      <c r="R610">
        <v>0</v>
      </c>
      <c r="S610">
        <v>5</v>
      </c>
      <c r="T610">
        <v>2975</v>
      </c>
    </row>
    <row r="611" spans="1:20">
      <c r="A611" t="s">
        <v>819</v>
      </c>
      <c r="B611" s="1">
        <v>45451</v>
      </c>
      <c r="C611">
        <v>23</v>
      </c>
      <c r="D611">
        <v>6</v>
      </c>
      <c r="E611" t="s">
        <v>786</v>
      </c>
      <c r="F611" t="s">
        <v>349</v>
      </c>
      <c r="G611" t="s">
        <v>221</v>
      </c>
      <c r="H611">
        <v>5</v>
      </c>
      <c r="I611">
        <v>400</v>
      </c>
      <c r="J611">
        <v>0</v>
      </c>
      <c r="K611" t="s">
        <v>1948</v>
      </c>
      <c r="L611">
        <v>200</v>
      </c>
      <c r="M611">
        <v>2000</v>
      </c>
      <c r="N611">
        <v>1000</v>
      </c>
      <c r="O611">
        <v>1000</v>
      </c>
      <c r="P611">
        <v>0.5</v>
      </c>
      <c r="Q611">
        <v>0</v>
      </c>
      <c r="R611">
        <v>0</v>
      </c>
      <c r="S611">
        <v>5</v>
      </c>
      <c r="T611">
        <v>2000</v>
      </c>
    </row>
    <row r="612" spans="1:20">
      <c r="A612" t="s">
        <v>820</v>
      </c>
      <c r="B612" s="1">
        <v>45451</v>
      </c>
      <c r="C612">
        <v>23</v>
      </c>
      <c r="D612">
        <v>6</v>
      </c>
      <c r="E612" t="s">
        <v>786</v>
      </c>
      <c r="F612" t="s">
        <v>364</v>
      </c>
      <c r="G612" t="s">
        <v>221</v>
      </c>
      <c r="H612">
        <v>3</v>
      </c>
      <c r="I612">
        <v>960</v>
      </c>
      <c r="J612">
        <v>0</v>
      </c>
      <c r="K612" t="s">
        <v>1946</v>
      </c>
      <c r="L612">
        <v>480</v>
      </c>
      <c r="M612">
        <v>2880</v>
      </c>
      <c r="N612">
        <v>1440</v>
      </c>
      <c r="O612">
        <v>1440</v>
      </c>
      <c r="P612">
        <v>0.5</v>
      </c>
      <c r="Q612">
        <v>3</v>
      </c>
      <c r="R612">
        <v>3</v>
      </c>
      <c r="S612">
        <v>0</v>
      </c>
      <c r="T612">
        <v>0</v>
      </c>
    </row>
    <row r="613" spans="1:20">
      <c r="A613" t="s">
        <v>821</v>
      </c>
      <c r="B613" s="1">
        <v>45452</v>
      </c>
      <c r="C613">
        <v>23</v>
      </c>
      <c r="D613">
        <v>6</v>
      </c>
      <c r="E613" t="s">
        <v>786</v>
      </c>
      <c r="F613" t="s">
        <v>146</v>
      </c>
      <c r="G613" t="s">
        <v>20</v>
      </c>
      <c r="H613">
        <v>5</v>
      </c>
      <c r="I613">
        <v>630</v>
      </c>
      <c r="J613">
        <v>0</v>
      </c>
      <c r="K613" t="s">
        <v>1934</v>
      </c>
      <c r="L613">
        <v>350</v>
      </c>
      <c r="M613">
        <v>3150</v>
      </c>
      <c r="N613">
        <v>1750</v>
      </c>
      <c r="O613">
        <v>1400</v>
      </c>
      <c r="P613">
        <v>0.44444444444444398</v>
      </c>
      <c r="Q613">
        <v>0</v>
      </c>
      <c r="R613">
        <v>0</v>
      </c>
      <c r="S613">
        <v>5</v>
      </c>
      <c r="T613">
        <v>3150</v>
      </c>
    </row>
    <row r="614" spans="1:20">
      <c r="A614" t="s">
        <v>823</v>
      </c>
      <c r="B614" s="1">
        <v>45452</v>
      </c>
      <c r="C614">
        <v>23</v>
      </c>
      <c r="D614">
        <v>6</v>
      </c>
      <c r="E614" t="s">
        <v>786</v>
      </c>
      <c r="F614" t="s">
        <v>119</v>
      </c>
      <c r="G614" t="s">
        <v>14</v>
      </c>
      <c r="H614">
        <v>3</v>
      </c>
      <c r="I614">
        <v>770</v>
      </c>
      <c r="J614">
        <v>0</v>
      </c>
      <c r="K614" t="s">
        <v>1920</v>
      </c>
      <c r="L614">
        <v>350</v>
      </c>
      <c r="M614">
        <v>2310</v>
      </c>
      <c r="N614">
        <v>1050</v>
      </c>
      <c r="O614">
        <v>1260</v>
      </c>
      <c r="P614">
        <v>0.54545454545454497</v>
      </c>
      <c r="Q614">
        <v>0</v>
      </c>
      <c r="R614">
        <v>0</v>
      </c>
      <c r="S614">
        <v>3</v>
      </c>
      <c r="T614">
        <v>2310</v>
      </c>
    </row>
    <row r="615" spans="1:20">
      <c r="A615" t="s">
        <v>824</v>
      </c>
      <c r="B615" s="1">
        <v>45452</v>
      </c>
      <c r="C615">
        <v>23</v>
      </c>
      <c r="D615">
        <v>6</v>
      </c>
      <c r="E615" t="s">
        <v>786</v>
      </c>
      <c r="F615" t="s">
        <v>64</v>
      </c>
      <c r="G615" t="s">
        <v>14</v>
      </c>
      <c r="H615">
        <v>5</v>
      </c>
      <c r="I615">
        <v>2508</v>
      </c>
      <c r="J615">
        <v>5</v>
      </c>
      <c r="K615" t="s">
        <v>1923</v>
      </c>
      <c r="L615">
        <v>1200</v>
      </c>
      <c r="M615">
        <v>12540</v>
      </c>
      <c r="N615">
        <v>6000</v>
      </c>
      <c r="O615">
        <v>6540</v>
      </c>
      <c r="P615">
        <v>0.52153110047846896</v>
      </c>
      <c r="Q615">
        <v>0</v>
      </c>
      <c r="R615">
        <v>0</v>
      </c>
      <c r="S615">
        <v>5</v>
      </c>
      <c r="T615">
        <v>12540</v>
      </c>
    </row>
    <row r="616" spans="1:20">
      <c r="A616" t="s">
        <v>825</v>
      </c>
      <c r="B616" s="1">
        <v>45453</v>
      </c>
      <c r="C616">
        <v>24</v>
      </c>
      <c r="D616">
        <v>6</v>
      </c>
      <c r="E616" t="s">
        <v>786</v>
      </c>
      <c r="F616" t="s">
        <v>51</v>
      </c>
      <c r="G616" t="s">
        <v>26</v>
      </c>
      <c r="H616">
        <v>5</v>
      </c>
      <c r="I616">
        <v>425</v>
      </c>
      <c r="J616">
        <v>15</v>
      </c>
      <c r="K616" t="s">
        <v>1936</v>
      </c>
      <c r="L616">
        <v>200</v>
      </c>
      <c r="M616">
        <v>2125</v>
      </c>
      <c r="N616">
        <v>1000</v>
      </c>
      <c r="O616">
        <v>1125</v>
      </c>
      <c r="P616">
        <v>0.52941176470588203</v>
      </c>
      <c r="Q616">
        <v>0</v>
      </c>
      <c r="R616">
        <v>0</v>
      </c>
      <c r="S616">
        <v>5</v>
      </c>
      <c r="T616">
        <v>2125</v>
      </c>
    </row>
    <row r="617" spans="1:20">
      <c r="A617" t="s">
        <v>827</v>
      </c>
      <c r="B617" s="1">
        <v>45453</v>
      </c>
      <c r="C617">
        <v>24</v>
      </c>
      <c r="D617">
        <v>6</v>
      </c>
      <c r="E617" t="s">
        <v>786</v>
      </c>
      <c r="F617" t="s">
        <v>369</v>
      </c>
      <c r="G617" t="s">
        <v>221</v>
      </c>
      <c r="H617">
        <v>1</v>
      </c>
      <c r="I617">
        <v>630</v>
      </c>
      <c r="J617">
        <v>10</v>
      </c>
      <c r="K617" t="s">
        <v>1949</v>
      </c>
      <c r="L617">
        <v>350</v>
      </c>
      <c r="M617">
        <v>630</v>
      </c>
      <c r="N617">
        <v>350</v>
      </c>
      <c r="O617">
        <v>280</v>
      </c>
      <c r="P617">
        <v>0.44444444444444398</v>
      </c>
      <c r="Q617">
        <v>0</v>
      </c>
      <c r="R617">
        <v>0</v>
      </c>
      <c r="S617">
        <v>1</v>
      </c>
      <c r="T617">
        <v>630</v>
      </c>
    </row>
    <row r="618" spans="1:20">
      <c r="A618" t="s">
        <v>828</v>
      </c>
      <c r="B618" s="1">
        <v>45453</v>
      </c>
      <c r="C618">
        <v>24</v>
      </c>
      <c r="D618">
        <v>6</v>
      </c>
      <c r="E618" t="s">
        <v>786</v>
      </c>
      <c r="F618" t="s">
        <v>13</v>
      </c>
      <c r="G618" t="s">
        <v>14</v>
      </c>
      <c r="H618">
        <v>5</v>
      </c>
      <c r="I618">
        <v>432</v>
      </c>
      <c r="J618">
        <v>10</v>
      </c>
      <c r="K618" t="s">
        <v>1925</v>
      </c>
      <c r="L618">
        <v>220</v>
      </c>
      <c r="M618">
        <v>2160</v>
      </c>
      <c r="N618">
        <v>1100</v>
      </c>
      <c r="O618">
        <v>1060</v>
      </c>
      <c r="P618">
        <v>0.49074074074074098</v>
      </c>
      <c r="Q618">
        <v>0</v>
      </c>
      <c r="R618">
        <v>0</v>
      </c>
      <c r="S618">
        <v>5</v>
      </c>
      <c r="T618">
        <v>2160</v>
      </c>
    </row>
    <row r="619" spans="1:20">
      <c r="A619" t="s">
        <v>829</v>
      </c>
      <c r="B619" s="1">
        <v>45453</v>
      </c>
      <c r="C619">
        <v>24</v>
      </c>
      <c r="D619">
        <v>6</v>
      </c>
      <c r="E619" t="s">
        <v>786</v>
      </c>
      <c r="F619" t="s">
        <v>187</v>
      </c>
      <c r="G619" t="s">
        <v>14</v>
      </c>
      <c r="H619">
        <v>2</v>
      </c>
      <c r="I619">
        <v>3960</v>
      </c>
      <c r="J619">
        <v>10</v>
      </c>
      <c r="K619" t="s">
        <v>1924</v>
      </c>
      <c r="L619">
        <v>2000</v>
      </c>
      <c r="M619">
        <v>7920</v>
      </c>
      <c r="N619">
        <v>4000</v>
      </c>
      <c r="O619">
        <v>3920</v>
      </c>
      <c r="P619">
        <v>0.49494949494949497</v>
      </c>
      <c r="Q619">
        <v>0</v>
      </c>
      <c r="R619">
        <v>0</v>
      </c>
      <c r="S619">
        <v>2</v>
      </c>
      <c r="T619">
        <v>7920</v>
      </c>
    </row>
    <row r="620" spans="1:20">
      <c r="A620" t="s">
        <v>830</v>
      </c>
      <c r="B620" s="1">
        <v>45453</v>
      </c>
      <c r="C620">
        <v>24</v>
      </c>
      <c r="D620">
        <v>6</v>
      </c>
      <c r="E620" t="s">
        <v>786</v>
      </c>
      <c r="F620" t="s">
        <v>220</v>
      </c>
      <c r="G620" t="s">
        <v>221</v>
      </c>
      <c r="H620">
        <v>3</v>
      </c>
      <c r="I620">
        <v>510</v>
      </c>
      <c r="J620">
        <v>15</v>
      </c>
      <c r="K620" t="s">
        <v>1947</v>
      </c>
      <c r="L620">
        <v>300</v>
      </c>
      <c r="M620">
        <v>1530</v>
      </c>
      <c r="N620">
        <v>900</v>
      </c>
      <c r="O620">
        <v>630</v>
      </c>
      <c r="P620">
        <v>0.41176470588235298</v>
      </c>
      <c r="Q620">
        <v>0</v>
      </c>
      <c r="R620">
        <v>0</v>
      </c>
      <c r="S620">
        <v>3</v>
      </c>
      <c r="T620">
        <v>1530</v>
      </c>
    </row>
    <row r="621" spans="1:20">
      <c r="A621" t="s">
        <v>831</v>
      </c>
      <c r="B621" s="1">
        <v>45453</v>
      </c>
      <c r="C621">
        <v>24</v>
      </c>
      <c r="D621">
        <v>6</v>
      </c>
      <c r="E621" t="s">
        <v>786</v>
      </c>
      <c r="F621" t="s">
        <v>58</v>
      </c>
      <c r="G621" t="s">
        <v>23</v>
      </c>
      <c r="H621">
        <v>2</v>
      </c>
      <c r="I621">
        <v>850</v>
      </c>
      <c r="J621">
        <v>15</v>
      </c>
      <c r="K621" t="s">
        <v>1927</v>
      </c>
      <c r="L621">
        <v>500</v>
      </c>
      <c r="M621">
        <v>1700</v>
      </c>
      <c r="N621">
        <v>1000</v>
      </c>
      <c r="O621">
        <v>700</v>
      </c>
      <c r="P621">
        <v>0.41176470588235298</v>
      </c>
      <c r="Q621">
        <v>0</v>
      </c>
      <c r="R621">
        <v>0</v>
      </c>
      <c r="S621">
        <v>2</v>
      </c>
      <c r="T621">
        <v>1700</v>
      </c>
    </row>
    <row r="622" spans="1:20">
      <c r="A622" t="s">
        <v>832</v>
      </c>
      <c r="B622" s="1">
        <v>45454</v>
      </c>
      <c r="C622">
        <v>24</v>
      </c>
      <c r="D622">
        <v>6</v>
      </c>
      <c r="E622" t="s">
        <v>786</v>
      </c>
      <c r="F622" t="s">
        <v>119</v>
      </c>
      <c r="G622" t="s">
        <v>14</v>
      </c>
      <c r="H622">
        <v>5</v>
      </c>
      <c r="I622">
        <v>770</v>
      </c>
      <c r="J622">
        <v>0</v>
      </c>
      <c r="K622" t="s">
        <v>1920</v>
      </c>
      <c r="L622">
        <v>350</v>
      </c>
      <c r="M622">
        <v>3850</v>
      </c>
      <c r="N622">
        <v>1750</v>
      </c>
      <c r="O622">
        <v>2100</v>
      </c>
      <c r="P622">
        <v>0.54545454545454497</v>
      </c>
      <c r="Q622">
        <v>0</v>
      </c>
      <c r="R622">
        <v>0</v>
      </c>
      <c r="S622">
        <v>5</v>
      </c>
      <c r="T622">
        <v>3850</v>
      </c>
    </row>
    <row r="623" spans="1:20">
      <c r="A623" t="s">
        <v>834</v>
      </c>
      <c r="B623" s="1">
        <v>45454</v>
      </c>
      <c r="C623">
        <v>24</v>
      </c>
      <c r="D623">
        <v>6</v>
      </c>
      <c r="E623" t="s">
        <v>786</v>
      </c>
      <c r="F623" t="s">
        <v>369</v>
      </c>
      <c r="G623" t="s">
        <v>221</v>
      </c>
      <c r="H623">
        <v>1</v>
      </c>
      <c r="I623">
        <v>630</v>
      </c>
      <c r="J623">
        <v>10</v>
      </c>
      <c r="K623" t="s">
        <v>1949</v>
      </c>
      <c r="L623">
        <v>350</v>
      </c>
      <c r="M623">
        <v>630</v>
      </c>
      <c r="N623">
        <v>350</v>
      </c>
      <c r="O623">
        <v>280</v>
      </c>
      <c r="P623">
        <v>0.44444444444444398</v>
      </c>
      <c r="Q623">
        <v>1</v>
      </c>
      <c r="R623">
        <v>1</v>
      </c>
      <c r="S623">
        <v>0</v>
      </c>
      <c r="T623">
        <v>0</v>
      </c>
    </row>
    <row r="624" spans="1:20">
      <c r="A624" t="s">
        <v>835</v>
      </c>
      <c r="B624" s="1">
        <v>45454</v>
      </c>
      <c r="C624">
        <v>24</v>
      </c>
      <c r="D624">
        <v>6</v>
      </c>
      <c r="E624" t="s">
        <v>786</v>
      </c>
      <c r="F624" t="s">
        <v>22</v>
      </c>
      <c r="G624" t="s">
        <v>23</v>
      </c>
      <c r="H624">
        <v>1</v>
      </c>
      <c r="I624">
        <v>500</v>
      </c>
      <c r="J624">
        <v>0</v>
      </c>
      <c r="K624" t="s">
        <v>1929</v>
      </c>
      <c r="L624">
        <v>250</v>
      </c>
      <c r="M624">
        <v>500</v>
      </c>
      <c r="N624">
        <v>250</v>
      </c>
      <c r="O624">
        <v>250</v>
      </c>
      <c r="P624">
        <v>0.5</v>
      </c>
      <c r="Q624">
        <v>0</v>
      </c>
      <c r="R624">
        <v>0</v>
      </c>
      <c r="S624">
        <v>1</v>
      </c>
      <c r="T624">
        <v>500</v>
      </c>
    </row>
    <row r="625" spans="1:20">
      <c r="A625" t="s">
        <v>836</v>
      </c>
      <c r="B625" s="1">
        <v>45454</v>
      </c>
      <c r="C625">
        <v>24</v>
      </c>
      <c r="D625">
        <v>6</v>
      </c>
      <c r="E625" t="s">
        <v>786</v>
      </c>
      <c r="F625" t="s">
        <v>220</v>
      </c>
      <c r="G625" t="s">
        <v>221</v>
      </c>
      <c r="H625">
        <v>4</v>
      </c>
      <c r="I625">
        <v>540</v>
      </c>
      <c r="J625">
        <v>10</v>
      </c>
      <c r="K625" t="s">
        <v>1947</v>
      </c>
      <c r="L625">
        <v>300</v>
      </c>
      <c r="M625">
        <v>2160</v>
      </c>
      <c r="N625">
        <v>1200</v>
      </c>
      <c r="O625">
        <v>960</v>
      </c>
      <c r="P625">
        <v>0.44444444444444398</v>
      </c>
      <c r="Q625">
        <v>0</v>
      </c>
      <c r="R625">
        <v>0</v>
      </c>
      <c r="S625">
        <v>4</v>
      </c>
      <c r="T625">
        <v>2160</v>
      </c>
    </row>
    <row r="626" spans="1:20">
      <c r="A626" t="s">
        <v>837</v>
      </c>
      <c r="B626" s="1">
        <v>45454</v>
      </c>
      <c r="C626">
        <v>24</v>
      </c>
      <c r="D626">
        <v>6</v>
      </c>
      <c r="E626" t="s">
        <v>786</v>
      </c>
      <c r="F626" t="s">
        <v>19</v>
      </c>
      <c r="G626" t="s">
        <v>20</v>
      </c>
      <c r="H626">
        <v>3</v>
      </c>
      <c r="I626">
        <v>1539</v>
      </c>
      <c r="J626">
        <v>5</v>
      </c>
      <c r="K626" t="s">
        <v>1931</v>
      </c>
      <c r="L626">
        <v>900</v>
      </c>
      <c r="M626">
        <v>4617</v>
      </c>
      <c r="N626">
        <v>2700</v>
      </c>
      <c r="O626">
        <v>1917</v>
      </c>
      <c r="P626">
        <v>0.41520467836257302</v>
      </c>
      <c r="Q626">
        <v>0</v>
      </c>
      <c r="R626">
        <v>0</v>
      </c>
      <c r="S626">
        <v>3</v>
      </c>
      <c r="T626">
        <v>4617</v>
      </c>
    </row>
    <row r="627" spans="1:20">
      <c r="A627" t="s">
        <v>838</v>
      </c>
      <c r="B627" s="1">
        <v>45454</v>
      </c>
      <c r="C627">
        <v>24</v>
      </c>
      <c r="D627">
        <v>6</v>
      </c>
      <c r="E627" t="s">
        <v>786</v>
      </c>
      <c r="F627" t="s">
        <v>19</v>
      </c>
      <c r="G627" t="s">
        <v>20</v>
      </c>
      <c r="H627">
        <v>5</v>
      </c>
      <c r="I627">
        <v>1458</v>
      </c>
      <c r="J627">
        <v>10</v>
      </c>
      <c r="K627" t="s">
        <v>1931</v>
      </c>
      <c r="L627">
        <v>900</v>
      </c>
      <c r="M627">
        <v>7290</v>
      </c>
      <c r="N627">
        <v>4500</v>
      </c>
      <c r="O627">
        <v>2790</v>
      </c>
      <c r="P627">
        <v>0.38271604938271597</v>
      </c>
      <c r="Q627">
        <v>0</v>
      </c>
      <c r="R627">
        <v>0</v>
      </c>
      <c r="S627">
        <v>5</v>
      </c>
      <c r="T627">
        <v>7290</v>
      </c>
    </row>
    <row r="628" spans="1:20">
      <c r="A628" t="s">
        <v>839</v>
      </c>
      <c r="B628" s="1">
        <v>45455</v>
      </c>
      <c r="C628">
        <v>24</v>
      </c>
      <c r="D628">
        <v>6</v>
      </c>
      <c r="E628" t="s">
        <v>786</v>
      </c>
      <c r="F628" t="s">
        <v>349</v>
      </c>
      <c r="G628" t="s">
        <v>221</v>
      </c>
      <c r="H628">
        <v>1</v>
      </c>
      <c r="I628">
        <v>380</v>
      </c>
      <c r="J628">
        <v>5</v>
      </c>
      <c r="K628" t="s">
        <v>1948</v>
      </c>
      <c r="L628">
        <v>200</v>
      </c>
      <c r="M628">
        <v>380</v>
      </c>
      <c r="N628">
        <v>200</v>
      </c>
      <c r="O628">
        <v>180</v>
      </c>
      <c r="P628">
        <v>0.47368421052631599</v>
      </c>
      <c r="Q628">
        <v>0</v>
      </c>
      <c r="R628">
        <v>0</v>
      </c>
      <c r="S628">
        <v>1</v>
      </c>
      <c r="T628">
        <v>380</v>
      </c>
    </row>
    <row r="629" spans="1:20">
      <c r="A629" t="s">
        <v>841</v>
      </c>
      <c r="B629" s="1">
        <v>45456</v>
      </c>
      <c r="C629">
        <v>24</v>
      </c>
      <c r="D629">
        <v>6</v>
      </c>
      <c r="E629" t="s">
        <v>786</v>
      </c>
      <c r="F629" t="s">
        <v>349</v>
      </c>
      <c r="G629" t="s">
        <v>221</v>
      </c>
      <c r="H629">
        <v>4</v>
      </c>
      <c r="I629">
        <v>380</v>
      </c>
      <c r="J629">
        <v>5</v>
      </c>
      <c r="K629" t="s">
        <v>1948</v>
      </c>
      <c r="L629">
        <v>200</v>
      </c>
      <c r="M629">
        <v>1520</v>
      </c>
      <c r="N629">
        <v>800</v>
      </c>
      <c r="O629">
        <v>720</v>
      </c>
      <c r="P629">
        <v>0.47368421052631599</v>
      </c>
      <c r="Q629">
        <v>0</v>
      </c>
      <c r="R629">
        <v>0</v>
      </c>
      <c r="S629">
        <v>4</v>
      </c>
      <c r="T629">
        <v>1520</v>
      </c>
    </row>
    <row r="630" spans="1:20">
      <c r="A630" t="s">
        <v>843</v>
      </c>
      <c r="B630" s="1">
        <v>45456</v>
      </c>
      <c r="C630">
        <v>24</v>
      </c>
      <c r="D630">
        <v>6</v>
      </c>
      <c r="E630" t="s">
        <v>786</v>
      </c>
      <c r="F630" t="s">
        <v>68</v>
      </c>
      <c r="G630" t="s">
        <v>26</v>
      </c>
      <c r="H630">
        <v>4</v>
      </c>
      <c r="I630">
        <v>323</v>
      </c>
      <c r="J630">
        <v>15</v>
      </c>
      <c r="K630" t="s">
        <v>1937</v>
      </c>
      <c r="L630">
        <v>150</v>
      </c>
      <c r="M630">
        <v>1292</v>
      </c>
      <c r="N630">
        <v>600</v>
      </c>
      <c r="O630">
        <v>692</v>
      </c>
      <c r="P630">
        <v>0.53560371517027905</v>
      </c>
      <c r="Q630">
        <v>0</v>
      </c>
      <c r="R630">
        <v>0</v>
      </c>
      <c r="S630">
        <v>4</v>
      </c>
      <c r="T630">
        <v>1292</v>
      </c>
    </row>
    <row r="631" spans="1:20">
      <c r="A631" t="s">
        <v>844</v>
      </c>
      <c r="B631" s="1">
        <v>45456</v>
      </c>
      <c r="C631">
        <v>24</v>
      </c>
      <c r="D631">
        <v>6</v>
      </c>
      <c r="E631" t="s">
        <v>786</v>
      </c>
      <c r="F631" t="s">
        <v>68</v>
      </c>
      <c r="G631" t="s">
        <v>26</v>
      </c>
      <c r="H631">
        <v>3</v>
      </c>
      <c r="I631">
        <v>380</v>
      </c>
      <c r="J631">
        <v>0</v>
      </c>
      <c r="K631" t="s">
        <v>1937</v>
      </c>
      <c r="L631">
        <v>150</v>
      </c>
      <c r="M631">
        <v>1140</v>
      </c>
      <c r="N631">
        <v>450</v>
      </c>
      <c r="O631">
        <v>690</v>
      </c>
      <c r="P631">
        <v>0.60526315789473695</v>
      </c>
      <c r="Q631">
        <v>0</v>
      </c>
      <c r="R631">
        <v>0</v>
      </c>
      <c r="S631">
        <v>3</v>
      </c>
      <c r="T631">
        <v>1140</v>
      </c>
    </row>
    <row r="632" spans="1:20">
      <c r="A632" t="s">
        <v>845</v>
      </c>
      <c r="B632" s="1">
        <v>45456</v>
      </c>
      <c r="C632">
        <v>24</v>
      </c>
      <c r="D632">
        <v>6</v>
      </c>
      <c r="E632" t="s">
        <v>786</v>
      </c>
      <c r="F632" t="s">
        <v>115</v>
      </c>
      <c r="G632" t="s">
        <v>23</v>
      </c>
      <c r="H632">
        <v>5</v>
      </c>
      <c r="I632">
        <v>1080</v>
      </c>
      <c r="J632">
        <v>10</v>
      </c>
      <c r="K632" t="s">
        <v>1926</v>
      </c>
      <c r="L632">
        <v>600</v>
      </c>
      <c r="M632">
        <v>5400</v>
      </c>
      <c r="N632">
        <v>3000</v>
      </c>
      <c r="O632">
        <v>2400</v>
      </c>
      <c r="P632">
        <v>0.44444444444444398</v>
      </c>
      <c r="Q632">
        <v>0</v>
      </c>
      <c r="R632">
        <v>0</v>
      </c>
      <c r="S632">
        <v>5</v>
      </c>
      <c r="T632">
        <v>5400</v>
      </c>
    </row>
    <row r="633" spans="1:20">
      <c r="A633" t="s">
        <v>846</v>
      </c>
      <c r="B633" s="1">
        <v>45457</v>
      </c>
      <c r="C633">
        <v>24</v>
      </c>
      <c r="D633">
        <v>6</v>
      </c>
      <c r="E633" t="s">
        <v>786</v>
      </c>
      <c r="F633" t="s">
        <v>19</v>
      </c>
      <c r="G633" t="s">
        <v>20</v>
      </c>
      <c r="H633">
        <v>3</v>
      </c>
      <c r="I633">
        <v>1377</v>
      </c>
      <c r="J633">
        <v>15</v>
      </c>
      <c r="K633" t="s">
        <v>1931</v>
      </c>
      <c r="L633">
        <v>900</v>
      </c>
      <c r="M633">
        <v>4131</v>
      </c>
      <c r="N633">
        <v>2700</v>
      </c>
      <c r="O633">
        <v>1431</v>
      </c>
      <c r="P633">
        <v>0.34640522875816998</v>
      </c>
      <c r="Q633">
        <v>0</v>
      </c>
      <c r="R633">
        <v>0</v>
      </c>
      <c r="S633">
        <v>3</v>
      </c>
      <c r="T633">
        <v>4131</v>
      </c>
    </row>
    <row r="634" spans="1:20">
      <c r="A634" t="s">
        <v>848</v>
      </c>
      <c r="B634" s="1">
        <v>45457</v>
      </c>
      <c r="C634">
        <v>24</v>
      </c>
      <c r="D634">
        <v>6</v>
      </c>
      <c r="E634" t="s">
        <v>786</v>
      </c>
      <c r="F634" t="s">
        <v>28</v>
      </c>
      <c r="G634" t="s">
        <v>26</v>
      </c>
      <c r="H634">
        <v>5</v>
      </c>
      <c r="I634">
        <v>1500</v>
      </c>
      <c r="J634">
        <v>0</v>
      </c>
      <c r="K634" t="s">
        <v>1939</v>
      </c>
      <c r="L634">
        <v>600</v>
      </c>
      <c r="M634">
        <v>7500</v>
      </c>
      <c r="N634">
        <v>3000</v>
      </c>
      <c r="O634">
        <v>4500</v>
      </c>
      <c r="P634">
        <v>0.6</v>
      </c>
      <c r="Q634">
        <v>0</v>
      </c>
      <c r="R634">
        <v>0</v>
      </c>
      <c r="S634">
        <v>5</v>
      </c>
      <c r="T634">
        <v>7500</v>
      </c>
    </row>
    <row r="635" spans="1:20">
      <c r="A635" t="s">
        <v>849</v>
      </c>
      <c r="B635" s="1">
        <v>45457</v>
      </c>
      <c r="C635">
        <v>24</v>
      </c>
      <c r="D635">
        <v>6</v>
      </c>
      <c r="E635" t="s">
        <v>786</v>
      </c>
      <c r="F635" t="s">
        <v>97</v>
      </c>
      <c r="G635" t="s">
        <v>20</v>
      </c>
      <c r="H635">
        <v>5</v>
      </c>
      <c r="I635">
        <v>1980</v>
      </c>
      <c r="J635">
        <v>0</v>
      </c>
      <c r="K635" t="s">
        <v>1932</v>
      </c>
      <c r="L635">
        <v>1100</v>
      </c>
      <c r="M635">
        <v>9900</v>
      </c>
      <c r="N635">
        <v>5500</v>
      </c>
      <c r="O635">
        <v>4400</v>
      </c>
      <c r="P635">
        <v>0.44444444444444398</v>
      </c>
      <c r="Q635">
        <v>0</v>
      </c>
      <c r="R635">
        <v>0</v>
      </c>
      <c r="S635">
        <v>5</v>
      </c>
      <c r="T635">
        <v>9900</v>
      </c>
    </row>
    <row r="636" spans="1:20">
      <c r="A636" t="s">
        <v>850</v>
      </c>
      <c r="B636" s="1">
        <v>45457</v>
      </c>
      <c r="C636">
        <v>24</v>
      </c>
      <c r="D636">
        <v>6</v>
      </c>
      <c r="E636" t="s">
        <v>786</v>
      </c>
      <c r="F636" t="s">
        <v>13</v>
      </c>
      <c r="G636" t="s">
        <v>14</v>
      </c>
      <c r="H636">
        <v>4</v>
      </c>
      <c r="I636">
        <v>456</v>
      </c>
      <c r="J636">
        <v>5</v>
      </c>
      <c r="K636" t="s">
        <v>1925</v>
      </c>
      <c r="L636">
        <v>220</v>
      </c>
      <c r="M636">
        <v>1824</v>
      </c>
      <c r="N636">
        <v>880</v>
      </c>
      <c r="O636">
        <v>944</v>
      </c>
      <c r="P636">
        <v>0.51754385964912297</v>
      </c>
      <c r="Q636">
        <v>0</v>
      </c>
      <c r="R636">
        <v>0</v>
      </c>
      <c r="S636">
        <v>4</v>
      </c>
      <c r="T636">
        <v>1824</v>
      </c>
    </row>
    <row r="637" spans="1:20">
      <c r="A637" t="s">
        <v>851</v>
      </c>
      <c r="B637" s="1">
        <v>45458</v>
      </c>
      <c r="C637">
        <v>24</v>
      </c>
      <c r="D637">
        <v>6</v>
      </c>
      <c r="E637" t="s">
        <v>786</v>
      </c>
      <c r="F637" t="s">
        <v>64</v>
      </c>
      <c r="G637" t="s">
        <v>14</v>
      </c>
      <c r="H637">
        <v>3</v>
      </c>
      <c r="I637">
        <v>2244</v>
      </c>
      <c r="J637">
        <v>15</v>
      </c>
      <c r="K637" t="s">
        <v>1923</v>
      </c>
      <c r="L637">
        <v>1200</v>
      </c>
      <c r="M637">
        <v>6732</v>
      </c>
      <c r="N637">
        <v>3600</v>
      </c>
      <c r="O637">
        <v>3132</v>
      </c>
      <c r="P637">
        <v>0.46524064171122997</v>
      </c>
      <c r="Q637">
        <v>0</v>
      </c>
      <c r="R637">
        <v>0</v>
      </c>
      <c r="S637">
        <v>3</v>
      </c>
      <c r="T637">
        <v>6732</v>
      </c>
    </row>
    <row r="638" spans="1:20">
      <c r="A638" t="s">
        <v>853</v>
      </c>
      <c r="B638" s="1">
        <v>45458</v>
      </c>
      <c r="C638">
        <v>24</v>
      </c>
      <c r="D638">
        <v>6</v>
      </c>
      <c r="E638" t="s">
        <v>786</v>
      </c>
      <c r="F638" t="s">
        <v>13</v>
      </c>
      <c r="G638" t="s">
        <v>14</v>
      </c>
      <c r="H638">
        <v>4</v>
      </c>
      <c r="I638">
        <v>432</v>
      </c>
      <c r="J638">
        <v>10</v>
      </c>
      <c r="K638" t="s">
        <v>1925</v>
      </c>
      <c r="L638">
        <v>220</v>
      </c>
      <c r="M638">
        <v>1728</v>
      </c>
      <c r="N638">
        <v>880</v>
      </c>
      <c r="O638">
        <v>848</v>
      </c>
      <c r="P638">
        <v>0.49074074074074098</v>
      </c>
      <c r="Q638">
        <v>4</v>
      </c>
      <c r="R638">
        <v>4</v>
      </c>
      <c r="S638">
        <v>0</v>
      </c>
      <c r="T638">
        <v>0</v>
      </c>
    </row>
    <row r="639" spans="1:20">
      <c r="A639" t="s">
        <v>854</v>
      </c>
      <c r="B639" s="1">
        <v>45458</v>
      </c>
      <c r="C639">
        <v>24</v>
      </c>
      <c r="D639">
        <v>6</v>
      </c>
      <c r="E639" t="s">
        <v>786</v>
      </c>
      <c r="F639" t="s">
        <v>364</v>
      </c>
      <c r="G639" t="s">
        <v>221</v>
      </c>
      <c r="H639">
        <v>2</v>
      </c>
      <c r="I639">
        <v>960</v>
      </c>
      <c r="J639">
        <v>0</v>
      </c>
      <c r="K639" t="s">
        <v>1946</v>
      </c>
      <c r="L639">
        <v>480</v>
      </c>
      <c r="M639">
        <v>1920</v>
      </c>
      <c r="N639">
        <v>960</v>
      </c>
      <c r="O639">
        <v>960</v>
      </c>
      <c r="P639">
        <v>0.5</v>
      </c>
      <c r="Q639">
        <v>0</v>
      </c>
      <c r="R639">
        <v>0</v>
      </c>
      <c r="S639">
        <v>2</v>
      </c>
      <c r="T639">
        <v>1920</v>
      </c>
    </row>
    <row r="640" spans="1:20">
      <c r="A640" t="s">
        <v>855</v>
      </c>
      <c r="B640" s="1">
        <v>45458</v>
      </c>
      <c r="C640">
        <v>24</v>
      </c>
      <c r="D640">
        <v>6</v>
      </c>
      <c r="E640" t="s">
        <v>786</v>
      </c>
      <c r="F640" t="s">
        <v>187</v>
      </c>
      <c r="G640" t="s">
        <v>14</v>
      </c>
      <c r="H640">
        <v>5</v>
      </c>
      <c r="I640">
        <v>3960</v>
      </c>
      <c r="J640">
        <v>10</v>
      </c>
      <c r="K640" t="s">
        <v>1924</v>
      </c>
      <c r="L640">
        <v>2000</v>
      </c>
      <c r="M640">
        <v>19800</v>
      </c>
      <c r="N640">
        <v>10000</v>
      </c>
      <c r="O640">
        <v>9800</v>
      </c>
      <c r="P640">
        <v>0.49494949494949497</v>
      </c>
      <c r="Q640">
        <v>0</v>
      </c>
      <c r="R640">
        <v>0</v>
      </c>
      <c r="S640">
        <v>5</v>
      </c>
      <c r="T640">
        <v>19800</v>
      </c>
    </row>
    <row r="641" spans="1:20">
      <c r="A641" t="s">
        <v>856</v>
      </c>
      <c r="B641" s="1">
        <v>45458</v>
      </c>
      <c r="C641">
        <v>24</v>
      </c>
      <c r="D641">
        <v>6</v>
      </c>
      <c r="E641" t="s">
        <v>786</v>
      </c>
      <c r="F641" t="s">
        <v>25</v>
      </c>
      <c r="G641" t="s">
        <v>26</v>
      </c>
      <c r="H641">
        <v>4</v>
      </c>
      <c r="I641">
        <v>1000</v>
      </c>
      <c r="J641">
        <v>0</v>
      </c>
      <c r="K641" t="s">
        <v>1940</v>
      </c>
      <c r="L641">
        <v>400</v>
      </c>
      <c r="M641">
        <v>4000</v>
      </c>
      <c r="N641">
        <v>1600</v>
      </c>
      <c r="O641">
        <v>2400</v>
      </c>
      <c r="P641">
        <v>0.6</v>
      </c>
      <c r="Q641">
        <v>0</v>
      </c>
      <c r="R641">
        <v>0</v>
      </c>
      <c r="S641">
        <v>4</v>
      </c>
      <c r="T641">
        <v>4000</v>
      </c>
    </row>
    <row r="642" spans="1:20">
      <c r="A642" t="s">
        <v>857</v>
      </c>
      <c r="B642" s="1">
        <v>45458</v>
      </c>
      <c r="C642">
        <v>24</v>
      </c>
      <c r="D642">
        <v>6</v>
      </c>
      <c r="E642" t="s">
        <v>786</v>
      </c>
      <c r="F642" t="s">
        <v>349</v>
      </c>
      <c r="G642" t="s">
        <v>221</v>
      </c>
      <c r="H642">
        <v>4</v>
      </c>
      <c r="I642">
        <v>380</v>
      </c>
      <c r="J642">
        <v>5</v>
      </c>
      <c r="K642" t="s">
        <v>1948</v>
      </c>
      <c r="L642">
        <v>200</v>
      </c>
      <c r="M642">
        <v>1520</v>
      </c>
      <c r="N642">
        <v>800</v>
      </c>
      <c r="O642">
        <v>720</v>
      </c>
      <c r="P642">
        <v>0.47368421052631599</v>
      </c>
      <c r="Q642">
        <v>0</v>
      </c>
      <c r="R642">
        <v>0</v>
      </c>
      <c r="S642">
        <v>4</v>
      </c>
      <c r="T642">
        <v>1520</v>
      </c>
    </row>
    <row r="643" spans="1:20">
      <c r="A643" t="s">
        <v>858</v>
      </c>
      <c r="B643" s="1">
        <v>45458</v>
      </c>
      <c r="C643">
        <v>24</v>
      </c>
      <c r="D643">
        <v>6</v>
      </c>
      <c r="E643" t="s">
        <v>786</v>
      </c>
      <c r="F643" t="s">
        <v>369</v>
      </c>
      <c r="G643" t="s">
        <v>221</v>
      </c>
      <c r="H643">
        <v>5</v>
      </c>
      <c r="I643">
        <v>595</v>
      </c>
      <c r="J643">
        <v>15</v>
      </c>
      <c r="K643" t="s">
        <v>1949</v>
      </c>
      <c r="L643">
        <v>350</v>
      </c>
      <c r="M643">
        <v>2975</v>
      </c>
      <c r="N643">
        <v>1750</v>
      </c>
      <c r="O643">
        <v>1225</v>
      </c>
      <c r="P643">
        <v>0.41176470588235298</v>
      </c>
      <c r="Q643">
        <v>0</v>
      </c>
      <c r="R643">
        <v>0</v>
      </c>
      <c r="S643">
        <v>5</v>
      </c>
      <c r="T643">
        <v>2975</v>
      </c>
    </row>
    <row r="644" spans="1:20">
      <c r="A644" t="s">
        <v>859</v>
      </c>
      <c r="B644" s="1">
        <v>45459</v>
      </c>
      <c r="C644">
        <v>24</v>
      </c>
      <c r="D644">
        <v>6</v>
      </c>
      <c r="E644" t="s">
        <v>786</v>
      </c>
      <c r="F644" t="s">
        <v>115</v>
      </c>
      <c r="G644" t="s">
        <v>23</v>
      </c>
      <c r="H644">
        <v>5</v>
      </c>
      <c r="I644">
        <v>1080</v>
      </c>
      <c r="J644">
        <v>10</v>
      </c>
      <c r="K644" t="s">
        <v>1926</v>
      </c>
      <c r="L644">
        <v>600</v>
      </c>
      <c r="M644">
        <v>5400</v>
      </c>
      <c r="N644">
        <v>3000</v>
      </c>
      <c r="O644">
        <v>2400</v>
      </c>
      <c r="P644">
        <v>0.44444444444444398</v>
      </c>
      <c r="Q644">
        <v>0</v>
      </c>
      <c r="R644">
        <v>0</v>
      </c>
      <c r="S644">
        <v>5</v>
      </c>
      <c r="T644">
        <v>5400</v>
      </c>
    </row>
    <row r="645" spans="1:20">
      <c r="A645" t="s">
        <v>861</v>
      </c>
      <c r="B645" s="1">
        <v>45459</v>
      </c>
      <c r="C645">
        <v>24</v>
      </c>
      <c r="D645">
        <v>6</v>
      </c>
      <c r="E645" t="s">
        <v>786</v>
      </c>
      <c r="F645" t="s">
        <v>42</v>
      </c>
      <c r="G645" t="s">
        <v>23</v>
      </c>
      <c r="H645">
        <v>3</v>
      </c>
      <c r="I645">
        <v>600</v>
      </c>
      <c r="J645">
        <v>0</v>
      </c>
      <c r="K645" t="s">
        <v>1928</v>
      </c>
      <c r="L645">
        <v>300</v>
      </c>
      <c r="M645">
        <v>1800</v>
      </c>
      <c r="N645">
        <v>900</v>
      </c>
      <c r="O645">
        <v>900</v>
      </c>
      <c r="P645">
        <v>0.5</v>
      </c>
      <c r="Q645">
        <v>0</v>
      </c>
      <c r="R645">
        <v>0</v>
      </c>
      <c r="S645">
        <v>3</v>
      </c>
      <c r="T645">
        <v>1800</v>
      </c>
    </row>
    <row r="646" spans="1:20">
      <c r="A646" t="s">
        <v>862</v>
      </c>
      <c r="B646" s="1">
        <v>45459</v>
      </c>
      <c r="C646">
        <v>24</v>
      </c>
      <c r="D646">
        <v>6</v>
      </c>
      <c r="E646" t="s">
        <v>786</v>
      </c>
      <c r="F646" t="s">
        <v>80</v>
      </c>
      <c r="G646" t="s">
        <v>14</v>
      </c>
      <c r="H646">
        <v>3</v>
      </c>
      <c r="I646">
        <v>400</v>
      </c>
      <c r="J646">
        <v>0</v>
      </c>
      <c r="K646" t="s">
        <v>1922</v>
      </c>
      <c r="L646">
        <v>180</v>
      </c>
      <c r="M646">
        <v>1200</v>
      </c>
      <c r="N646">
        <v>540</v>
      </c>
      <c r="O646">
        <v>660</v>
      </c>
      <c r="P646">
        <v>0.55000000000000004</v>
      </c>
      <c r="Q646">
        <v>0</v>
      </c>
      <c r="R646">
        <v>0</v>
      </c>
      <c r="S646">
        <v>3</v>
      </c>
      <c r="T646">
        <v>1200</v>
      </c>
    </row>
    <row r="647" spans="1:20">
      <c r="A647" t="s">
        <v>863</v>
      </c>
      <c r="B647" s="1">
        <v>45459</v>
      </c>
      <c r="C647">
        <v>24</v>
      </c>
      <c r="D647">
        <v>6</v>
      </c>
      <c r="E647" t="s">
        <v>786</v>
      </c>
      <c r="F647" t="s">
        <v>64</v>
      </c>
      <c r="G647" t="s">
        <v>14</v>
      </c>
      <c r="H647">
        <v>1</v>
      </c>
      <c r="I647">
        <v>2640</v>
      </c>
      <c r="J647">
        <v>0</v>
      </c>
      <c r="K647" t="s">
        <v>1923</v>
      </c>
      <c r="L647">
        <v>1200</v>
      </c>
      <c r="M647">
        <v>2640</v>
      </c>
      <c r="N647">
        <v>1200</v>
      </c>
      <c r="O647">
        <v>1440</v>
      </c>
      <c r="P647">
        <v>0.54545454545454497</v>
      </c>
      <c r="Q647">
        <v>0</v>
      </c>
      <c r="R647">
        <v>0</v>
      </c>
      <c r="S647">
        <v>1</v>
      </c>
      <c r="T647">
        <v>2640</v>
      </c>
    </row>
    <row r="648" spans="1:20">
      <c r="A648" t="s">
        <v>864</v>
      </c>
      <c r="B648" s="1">
        <v>45459</v>
      </c>
      <c r="C648">
        <v>24</v>
      </c>
      <c r="D648">
        <v>6</v>
      </c>
      <c r="E648" t="s">
        <v>786</v>
      </c>
      <c r="F648" t="s">
        <v>13</v>
      </c>
      <c r="G648" t="s">
        <v>14</v>
      </c>
      <c r="H648">
        <v>4</v>
      </c>
      <c r="I648">
        <v>456</v>
      </c>
      <c r="J648">
        <v>5</v>
      </c>
      <c r="K648" t="s">
        <v>1925</v>
      </c>
      <c r="L648">
        <v>220</v>
      </c>
      <c r="M648">
        <v>1824</v>
      </c>
      <c r="N648">
        <v>880</v>
      </c>
      <c r="O648">
        <v>944</v>
      </c>
      <c r="P648">
        <v>0.51754385964912297</v>
      </c>
      <c r="Q648">
        <v>0</v>
      </c>
      <c r="R648">
        <v>0</v>
      </c>
      <c r="S648">
        <v>4</v>
      </c>
      <c r="T648">
        <v>1824</v>
      </c>
    </row>
    <row r="649" spans="1:20">
      <c r="A649" t="s">
        <v>865</v>
      </c>
      <c r="B649" s="1">
        <v>45459</v>
      </c>
      <c r="C649">
        <v>24</v>
      </c>
      <c r="D649">
        <v>6</v>
      </c>
      <c r="E649" t="s">
        <v>786</v>
      </c>
      <c r="F649" t="s">
        <v>115</v>
      </c>
      <c r="G649" t="s">
        <v>23</v>
      </c>
      <c r="H649">
        <v>2</v>
      </c>
      <c r="I649">
        <v>1200</v>
      </c>
      <c r="J649">
        <v>0</v>
      </c>
      <c r="K649" t="s">
        <v>1926</v>
      </c>
      <c r="L649">
        <v>600</v>
      </c>
      <c r="M649">
        <v>2400</v>
      </c>
      <c r="N649">
        <v>1200</v>
      </c>
      <c r="O649">
        <v>1200</v>
      </c>
      <c r="P649">
        <v>0.5</v>
      </c>
      <c r="Q649">
        <v>0</v>
      </c>
      <c r="R649">
        <v>0</v>
      </c>
      <c r="S649">
        <v>2</v>
      </c>
      <c r="T649">
        <v>2400</v>
      </c>
    </row>
    <row r="650" spans="1:20">
      <c r="A650" t="s">
        <v>866</v>
      </c>
      <c r="B650" s="1">
        <v>45459</v>
      </c>
      <c r="C650">
        <v>24</v>
      </c>
      <c r="D650">
        <v>6</v>
      </c>
      <c r="E650" t="s">
        <v>786</v>
      </c>
      <c r="F650" t="s">
        <v>31</v>
      </c>
      <c r="G650" t="s">
        <v>23</v>
      </c>
      <c r="H650">
        <v>4</v>
      </c>
      <c r="I650">
        <v>1190</v>
      </c>
      <c r="J650">
        <v>15</v>
      </c>
      <c r="K650" t="s">
        <v>1930</v>
      </c>
      <c r="L650">
        <v>700</v>
      </c>
      <c r="M650">
        <v>4760</v>
      </c>
      <c r="N650">
        <v>2800</v>
      </c>
      <c r="O650">
        <v>1960</v>
      </c>
      <c r="P650">
        <v>0.41176470588235298</v>
      </c>
      <c r="Q650">
        <v>0</v>
      </c>
      <c r="R650">
        <v>0</v>
      </c>
      <c r="S650">
        <v>4</v>
      </c>
      <c r="T650">
        <v>4760</v>
      </c>
    </row>
    <row r="651" spans="1:20">
      <c r="A651" t="s">
        <v>867</v>
      </c>
      <c r="B651" s="1">
        <v>45459</v>
      </c>
      <c r="C651">
        <v>24</v>
      </c>
      <c r="D651">
        <v>6</v>
      </c>
      <c r="E651" t="s">
        <v>786</v>
      </c>
      <c r="F651" t="s">
        <v>66</v>
      </c>
      <c r="G651" t="s">
        <v>17</v>
      </c>
      <c r="H651">
        <v>4</v>
      </c>
      <c r="I651">
        <v>1470</v>
      </c>
      <c r="J651">
        <v>0</v>
      </c>
      <c r="K651" t="s">
        <v>1941</v>
      </c>
      <c r="L651">
        <v>700</v>
      </c>
      <c r="M651">
        <v>5880</v>
      </c>
      <c r="N651">
        <v>2800</v>
      </c>
      <c r="O651">
        <v>3080</v>
      </c>
      <c r="P651">
        <v>0.52380952380952395</v>
      </c>
      <c r="Q651">
        <v>0</v>
      </c>
      <c r="R651">
        <v>0</v>
      </c>
      <c r="S651">
        <v>4</v>
      </c>
      <c r="T651">
        <v>5880</v>
      </c>
    </row>
    <row r="652" spans="1:20">
      <c r="A652" t="s">
        <v>868</v>
      </c>
      <c r="B652" s="1">
        <v>45460</v>
      </c>
      <c r="C652">
        <v>25</v>
      </c>
      <c r="D652">
        <v>6</v>
      </c>
      <c r="E652" t="s">
        <v>786</v>
      </c>
      <c r="F652" t="s">
        <v>80</v>
      </c>
      <c r="G652" t="s">
        <v>14</v>
      </c>
      <c r="H652">
        <v>2</v>
      </c>
      <c r="I652">
        <v>340</v>
      </c>
      <c r="J652">
        <v>15</v>
      </c>
      <c r="K652" t="s">
        <v>1922</v>
      </c>
      <c r="L652">
        <v>180</v>
      </c>
      <c r="M652">
        <v>680</v>
      </c>
      <c r="N652">
        <v>360</v>
      </c>
      <c r="O652">
        <v>320</v>
      </c>
      <c r="P652">
        <v>0.47058823529411797</v>
      </c>
      <c r="Q652">
        <v>0</v>
      </c>
      <c r="R652">
        <v>0</v>
      </c>
      <c r="S652">
        <v>2</v>
      </c>
      <c r="T652">
        <v>680</v>
      </c>
    </row>
    <row r="653" spans="1:20">
      <c r="A653" t="s">
        <v>870</v>
      </c>
      <c r="B653" s="1">
        <v>45460</v>
      </c>
      <c r="C653">
        <v>25</v>
      </c>
      <c r="D653">
        <v>6</v>
      </c>
      <c r="E653" t="s">
        <v>786</v>
      </c>
      <c r="F653" t="s">
        <v>187</v>
      </c>
      <c r="G653" t="s">
        <v>14</v>
      </c>
      <c r="H653">
        <v>5</v>
      </c>
      <c r="I653">
        <v>4400</v>
      </c>
      <c r="J653">
        <v>0</v>
      </c>
      <c r="K653" t="s">
        <v>1924</v>
      </c>
      <c r="L653">
        <v>2000</v>
      </c>
      <c r="M653">
        <v>22000</v>
      </c>
      <c r="N653">
        <v>10000</v>
      </c>
      <c r="O653">
        <v>12000</v>
      </c>
      <c r="P653">
        <v>0.54545454545454497</v>
      </c>
      <c r="Q653">
        <v>0</v>
      </c>
      <c r="R653">
        <v>0</v>
      </c>
      <c r="S653">
        <v>5</v>
      </c>
      <c r="T653">
        <v>22000</v>
      </c>
    </row>
    <row r="654" spans="1:20">
      <c r="A654" t="s">
        <v>871</v>
      </c>
      <c r="B654" s="1">
        <v>45460</v>
      </c>
      <c r="C654">
        <v>25</v>
      </c>
      <c r="D654">
        <v>6</v>
      </c>
      <c r="E654" t="s">
        <v>786</v>
      </c>
      <c r="F654" t="s">
        <v>220</v>
      </c>
      <c r="G654" t="s">
        <v>221</v>
      </c>
      <c r="H654">
        <v>4</v>
      </c>
      <c r="I654">
        <v>540</v>
      </c>
      <c r="J654">
        <v>10</v>
      </c>
      <c r="K654" t="s">
        <v>1947</v>
      </c>
      <c r="L654">
        <v>300</v>
      </c>
      <c r="M654">
        <v>2160</v>
      </c>
      <c r="N654">
        <v>1200</v>
      </c>
      <c r="O654">
        <v>960</v>
      </c>
      <c r="P654">
        <v>0.44444444444444398</v>
      </c>
      <c r="Q654">
        <v>0</v>
      </c>
      <c r="R654">
        <v>0</v>
      </c>
      <c r="S654">
        <v>4</v>
      </c>
      <c r="T654">
        <v>2160</v>
      </c>
    </row>
    <row r="655" spans="1:20">
      <c r="A655" t="s">
        <v>872</v>
      </c>
      <c r="B655" s="1">
        <v>45460</v>
      </c>
      <c r="C655">
        <v>25</v>
      </c>
      <c r="D655">
        <v>6</v>
      </c>
      <c r="E655" t="s">
        <v>786</v>
      </c>
      <c r="F655" t="s">
        <v>349</v>
      </c>
      <c r="G655" t="s">
        <v>221</v>
      </c>
      <c r="H655">
        <v>2</v>
      </c>
      <c r="I655">
        <v>360</v>
      </c>
      <c r="J655">
        <v>10</v>
      </c>
      <c r="K655" t="s">
        <v>1948</v>
      </c>
      <c r="L655">
        <v>200</v>
      </c>
      <c r="M655">
        <v>720</v>
      </c>
      <c r="N655">
        <v>400</v>
      </c>
      <c r="O655">
        <v>320</v>
      </c>
      <c r="P655">
        <v>0.44444444444444398</v>
      </c>
      <c r="Q655">
        <v>0</v>
      </c>
      <c r="R655">
        <v>0</v>
      </c>
      <c r="S655">
        <v>2</v>
      </c>
      <c r="T655">
        <v>720</v>
      </c>
    </row>
    <row r="656" spans="1:20">
      <c r="A656" t="s">
        <v>873</v>
      </c>
      <c r="B656" s="1">
        <v>45461</v>
      </c>
      <c r="C656">
        <v>25</v>
      </c>
      <c r="D656">
        <v>6</v>
      </c>
      <c r="E656" t="s">
        <v>786</v>
      </c>
      <c r="F656" t="s">
        <v>369</v>
      </c>
      <c r="G656" t="s">
        <v>221</v>
      </c>
      <c r="H656">
        <v>1</v>
      </c>
      <c r="I656">
        <v>700</v>
      </c>
      <c r="J656">
        <v>0</v>
      </c>
      <c r="K656" t="s">
        <v>1949</v>
      </c>
      <c r="L656">
        <v>350</v>
      </c>
      <c r="M656">
        <v>700</v>
      </c>
      <c r="N656">
        <v>350</v>
      </c>
      <c r="O656">
        <v>350</v>
      </c>
      <c r="P656">
        <v>0.5</v>
      </c>
      <c r="Q656">
        <v>1</v>
      </c>
      <c r="R656">
        <v>1</v>
      </c>
      <c r="S656">
        <v>0</v>
      </c>
      <c r="T656">
        <v>0</v>
      </c>
    </row>
    <row r="657" spans="1:20">
      <c r="A657" t="s">
        <v>875</v>
      </c>
      <c r="B657" s="1">
        <v>45461</v>
      </c>
      <c r="C657">
        <v>25</v>
      </c>
      <c r="D657">
        <v>6</v>
      </c>
      <c r="E657" t="s">
        <v>786</v>
      </c>
      <c r="F657" t="s">
        <v>146</v>
      </c>
      <c r="G657" t="s">
        <v>20</v>
      </c>
      <c r="H657">
        <v>4</v>
      </c>
      <c r="I657">
        <v>630</v>
      </c>
      <c r="J657">
        <v>0</v>
      </c>
      <c r="K657" t="s">
        <v>1934</v>
      </c>
      <c r="L657">
        <v>350</v>
      </c>
      <c r="M657">
        <v>2520</v>
      </c>
      <c r="N657">
        <v>1400</v>
      </c>
      <c r="O657">
        <v>1120</v>
      </c>
      <c r="P657">
        <v>0.44444444444444398</v>
      </c>
      <c r="Q657">
        <v>0</v>
      </c>
      <c r="R657">
        <v>0</v>
      </c>
      <c r="S657">
        <v>4</v>
      </c>
      <c r="T657">
        <v>2520</v>
      </c>
    </row>
    <row r="658" spans="1:20">
      <c r="A658" t="s">
        <v>876</v>
      </c>
      <c r="B658" s="1">
        <v>45462</v>
      </c>
      <c r="C658">
        <v>25</v>
      </c>
      <c r="D658">
        <v>6</v>
      </c>
      <c r="E658" t="s">
        <v>786</v>
      </c>
      <c r="F658" t="s">
        <v>369</v>
      </c>
      <c r="G658" t="s">
        <v>221</v>
      </c>
      <c r="H658">
        <v>1</v>
      </c>
      <c r="I658">
        <v>595</v>
      </c>
      <c r="J658">
        <v>15</v>
      </c>
      <c r="K658" t="s">
        <v>1949</v>
      </c>
      <c r="L658">
        <v>350</v>
      </c>
      <c r="M658">
        <v>595</v>
      </c>
      <c r="N658">
        <v>350</v>
      </c>
      <c r="O658">
        <v>245</v>
      </c>
      <c r="P658">
        <v>0.41176470588235298</v>
      </c>
      <c r="Q658">
        <v>0</v>
      </c>
      <c r="R658">
        <v>0</v>
      </c>
      <c r="S658">
        <v>1</v>
      </c>
      <c r="T658">
        <v>595</v>
      </c>
    </row>
    <row r="659" spans="1:20">
      <c r="A659" t="s">
        <v>878</v>
      </c>
      <c r="B659" s="1">
        <v>45462</v>
      </c>
      <c r="C659">
        <v>25</v>
      </c>
      <c r="D659">
        <v>6</v>
      </c>
      <c r="E659" t="s">
        <v>786</v>
      </c>
      <c r="F659" t="s">
        <v>37</v>
      </c>
      <c r="G659" t="s">
        <v>20</v>
      </c>
      <c r="H659">
        <v>4</v>
      </c>
      <c r="I659">
        <v>2340</v>
      </c>
      <c r="J659">
        <v>0</v>
      </c>
      <c r="K659" t="s">
        <v>1935</v>
      </c>
      <c r="L659">
        <v>1300</v>
      </c>
      <c r="M659">
        <v>9360</v>
      </c>
      <c r="N659">
        <v>5200</v>
      </c>
      <c r="O659">
        <v>4160</v>
      </c>
      <c r="P659">
        <v>0.44444444444444398</v>
      </c>
      <c r="Q659">
        <v>0</v>
      </c>
      <c r="R659">
        <v>0</v>
      </c>
      <c r="S659">
        <v>4</v>
      </c>
      <c r="T659">
        <v>9360</v>
      </c>
    </row>
    <row r="660" spans="1:20">
      <c r="A660" t="s">
        <v>879</v>
      </c>
      <c r="B660" s="1">
        <v>45462</v>
      </c>
      <c r="C660">
        <v>25</v>
      </c>
      <c r="D660">
        <v>6</v>
      </c>
      <c r="E660" t="s">
        <v>786</v>
      </c>
      <c r="F660" t="s">
        <v>364</v>
      </c>
      <c r="G660" t="s">
        <v>221</v>
      </c>
      <c r="H660">
        <v>1</v>
      </c>
      <c r="I660">
        <v>960</v>
      </c>
      <c r="J660">
        <v>0</v>
      </c>
      <c r="K660" t="s">
        <v>1946</v>
      </c>
      <c r="L660">
        <v>480</v>
      </c>
      <c r="M660">
        <v>960</v>
      </c>
      <c r="N660">
        <v>480</v>
      </c>
      <c r="O660">
        <v>480</v>
      </c>
      <c r="P660">
        <v>0.5</v>
      </c>
      <c r="Q660">
        <v>0</v>
      </c>
      <c r="R660">
        <v>0</v>
      </c>
      <c r="S660">
        <v>1</v>
      </c>
      <c r="T660">
        <v>960</v>
      </c>
    </row>
    <row r="661" spans="1:20">
      <c r="A661" t="s">
        <v>880</v>
      </c>
      <c r="B661" s="1">
        <v>45462</v>
      </c>
      <c r="C661">
        <v>25</v>
      </c>
      <c r="D661">
        <v>6</v>
      </c>
      <c r="E661" t="s">
        <v>786</v>
      </c>
      <c r="F661" t="s">
        <v>42</v>
      </c>
      <c r="G661" t="s">
        <v>23</v>
      </c>
      <c r="H661">
        <v>3</v>
      </c>
      <c r="I661">
        <v>570</v>
      </c>
      <c r="J661">
        <v>5</v>
      </c>
      <c r="K661" t="s">
        <v>1928</v>
      </c>
      <c r="L661">
        <v>300</v>
      </c>
      <c r="M661">
        <v>1710</v>
      </c>
      <c r="N661">
        <v>900</v>
      </c>
      <c r="O661">
        <v>810</v>
      </c>
      <c r="P661">
        <v>0.47368421052631599</v>
      </c>
      <c r="Q661">
        <v>0</v>
      </c>
      <c r="R661">
        <v>0</v>
      </c>
      <c r="S661">
        <v>3</v>
      </c>
      <c r="T661">
        <v>1710</v>
      </c>
    </row>
    <row r="662" spans="1:20">
      <c r="A662" t="s">
        <v>881</v>
      </c>
      <c r="B662" s="1">
        <v>45462</v>
      </c>
      <c r="C662">
        <v>25</v>
      </c>
      <c r="D662">
        <v>6</v>
      </c>
      <c r="E662" t="s">
        <v>786</v>
      </c>
      <c r="F662" t="s">
        <v>80</v>
      </c>
      <c r="G662" t="s">
        <v>14</v>
      </c>
      <c r="H662">
        <v>4</v>
      </c>
      <c r="I662">
        <v>340</v>
      </c>
      <c r="J662">
        <v>15</v>
      </c>
      <c r="K662" t="s">
        <v>1922</v>
      </c>
      <c r="L662">
        <v>180</v>
      </c>
      <c r="M662">
        <v>1360</v>
      </c>
      <c r="N662">
        <v>720</v>
      </c>
      <c r="O662">
        <v>640</v>
      </c>
      <c r="P662">
        <v>0.47058823529411797</v>
      </c>
      <c r="Q662">
        <v>0</v>
      </c>
      <c r="R662">
        <v>0</v>
      </c>
      <c r="S662">
        <v>4</v>
      </c>
      <c r="T662">
        <v>1360</v>
      </c>
    </row>
    <row r="663" spans="1:20">
      <c r="A663" t="s">
        <v>882</v>
      </c>
      <c r="B663" s="1">
        <v>45463</v>
      </c>
      <c r="C663">
        <v>25</v>
      </c>
      <c r="D663">
        <v>6</v>
      </c>
      <c r="E663" t="s">
        <v>786</v>
      </c>
      <c r="F663" t="s">
        <v>220</v>
      </c>
      <c r="G663" t="s">
        <v>221</v>
      </c>
      <c r="H663">
        <v>1</v>
      </c>
      <c r="I663">
        <v>570</v>
      </c>
      <c r="J663">
        <v>5</v>
      </c>
      <c r="K663" t="s">
        <v>1947</v>
      </c>
      <c r="L663">
        <v>300</v>
      </c>
      <c r="M663">
        <v>570</v>
      </c>
      <c r="N663">
        <v>300</v>
      </c>
      <c r="O663">
        <v>270</v>
      </c>
      <c r="P663">
        <v>0.47368421052631599</v>
      </c>
      <c r="Q663">
        <v>0</v>
      </c>
      <c r="R663">
        <v>0</v>
      </c>
      <c r="S663">
        <v>1</v>
      </c>
      <c r="T663">
        <v>570</v>
      </c>
    </row>
    <row r="664" spans="1:20">
      <c r="A664" t="s">
        <v>884</v>
      </c>
      <c r="B664" s="1">
        <v>45463</v>
      </c>
      <c r="C664">
        <v>25</v>
      </c>
      <c r="D664">
        <v>6</v>
      </c>
      <c r="E664" t="s">
        <v>786</v>
      </c>
      <c r="F664" t="s">
        <v>39</v>
      </c>
      <c r="G664" t="s">
        <v>14</v>
      </c>
      <c r="H664">
        <v>1</v>
      </c>
      <c r="I664">
        <v>748</v>
      </c>
      <c r="J664">
        <v>15</v>
      </c>
      <c r="K664" t="s">
        <v>1921</v>
      </c>
      <c r="L664">
        <v>400</v>
      </c>
      <c r="M664">
        <v>748</v>
      </c>
      <c r="N664">
        <v>400</v>
      </c>
      <c r="O664">
        <v>348</v>
      </c>
      <c r="P664">
        <v>0.46524064171122997</v>
      </c>
      <c r="Q664">
        <v>0</v>
      </c>
      <c r="R664">
        <v>0</v>
      </c>
      <c r="S664">
        <v>1</v>
      </c>
      <c r="T664">
        <v>748</v>
      </c>
    </row>
    <row r="665" spans="1:20">
      <c r="A665" t="s">
        <v>885</v>
      </c>
      <c r="B665" s="1">
        <v>45463</v>
      </c>
      <c r="C665">
        <v>25</v>
      </c>
      <c r="D665">
        <v>6</v>
      </c>
      <c r="E665" t="s">
        <v>786</v>
      </c>
      <c r="F665" t="s">
        <v>37</v>
      </c>
      <c r="G665" t="s">
        <v>20</v>
      </c>
      <c r="H665">
        <v>2</v>
      </c>
      <c r="I665">
        <v>2340</v>
      </c>
      <c r="J665">
        <v>0</v>
      </c>
      <c r="K665" t="s">
        <v>1935</v>
      </c>
      <c r="L665">
        <v>1300</v>
      </c>
      <c r="M665">
        <v>4680</v>
      </c>
      <c r="N665">
        <v>2600</v>
      </c>
      <c r="O665">
        <v>2080</v>
      </c>
      <c r="P665">
        <v>0.44444444444444398</v>
      </c>
      <c r="Q665">
        <v>0</v>
      </c>
      <c r="R665">
        <v>0</v>
      </c>
      <c r="S665">
        <v>2</v>
      </c>
      <c r="T665">
        <v>4680</v>
      </c>
    </row>
    <row r="666" spans="1:20">
      <c r="A666" t="s">
        <v>886</v>
      </c>
      <c r="B666" s="1">
        <v>45463</v>
      </c>
      <c r="C666">
        <v>25</v>
      </c>
      <c r="D666">
        <v>6</v>
      </c>
      <c r="E666" t="s">
        <v>786</v>
      </c>
      <c r="F666" t="s">
        <v>39</v>
      </c>
      <c r="G666" t="s">
        <v>14</v>
      </c>
      <c r="H666">
        <v>1</v>
      </c>
      <c r="I666">
        <v>880</v>
      </c>
      <c r="J666">
        <v>0</v>
      </c>
      <c r="K666" t="s">
        <v>1921</v>
      </c>
      <c r="L666">
        <v>400</v>
      </c>
      <c r="M666">
        <v>880</v>
      </c>
      <c r="N666">
        <v>400</v>
      </c>
      <c r="O666">
        <v>480</v>
      </c>
      <c r="P666">
        <v>0.54545454545454497</v>
      </c>
      <c r="Q666">
        <v>0</v>
      </c>
      <c r="R666">
        <v>0</v>
      </c>
      <c r="S666">
        <v>1</v>
      </c>
      <c r="T666">
        <v>880</v>
      </c>
    </row>
    <row r="667" spans="1:20">
      <c r="A667" t="s">
        <v>887</v>
      </c>
      <c r="B667" s="1">
        <v>45464</v>
      </c>
      <c r="C667">
        <v>25</v>
      </c>
      <c r="D667">
        <v>6</v>
      </c>
      <c r="E667" t="s">
        <v>786</v>
      </c>
      <c r="F667" t="s">
        <v>51</v>
      </c>
      <c r="G667" t="s">
        <v>26</v>
      </c>
      <c r="H667">
        <v>1</v>
      </c>
      <c r="I667">
        <v>475</v>
      </c>
      <c r="J667">
        <v>5</v>
      </c>
      <c r="K667" t="s">
        <v>1936</v>
      </c>
      <c r="L667">
        <v>200</v>
      </c>
      <c r="M667">
        <v>475</v>
      </c>
      <c r="N667">
        <v>200</v>
      </c>
      <c r="O667">
        <v>275</v>
      </c>
      <c r="P667">
        <v>0.57894736842105299</v>
      </c>
      <c r="Q667">
        <v>0</v>
      </c>
      <c r="R667">
        <v>0</v>
      </c>
      <c r="S667">
        <v>1</v>
      </c>
      <c r="T667">
        <v>475</v>
      </c>
    </row>
    <row r="668" spans="1:20">
      <c r="A668" t="s">
        <v>889</v>
      </c>
      <c r="B668" s="1">
        <v>45464</v>
      </c>
      <c r="C668">
        <v>25</v>
      </c>
      <c r="D668">
        <v>6</v>
      </c>
      <c r="E668" t="s">
        <v>786</v>
      </c>
      <c r="F668" t="s">
        <v>369</v>
      </c>
      <c r="G668" t="s">
        <v>221</v>
      </c>
      <c r="H668">
        <v>2</v>
      </c>
      <c r="I668">
        <v>700</v>
      </c>
      <c r="J668">
        <v>0</v>
      </c>
      <c r="K668" t="s">
        <v>1949</v>
      </c>
      <c r="L668">
        <v>350</v>
      </c>
      <c r="M668">
        <v>1400</v>
      </c>
      <c r="N668">
        <v>700</v>
      </c>
      <c r="O668">
        <v>700</v>
      </c>
      <c r="P668">
        <v>0.5</v>
      </c>
      <c r="Q668">
        <v>0</v>
      </c>
      <c r="R668">
        <v>0</v>
      </c>
      <c r="S668">
        <v>2</v>
      </c>
      <c r="T668">
        <v>1400</v>
      </c>
    </row>
    <row r="669" spans="1:20">
      <c r="A669" t="s">
        <v>890</v>
      </c>
      <c r="B669" s="1">
        <v>45464</v>
      </c>
      <c r="C669">
        <v>25</v>
      </c>
      <c r="D669">
        <v>6</v>
      </c>
      <c r="E669" t="s">
        <v>786</v>
      </c>
      <c r="F669" t="s">
        <v>369</v>
      </c>
      <c r="G669" t="s">
        <v>221</v>
      </c>
      <c r="H669">
        <v>4</v>
      </c>
      <c r="I669">
        <v>665</v>
      </c>
      <c r="J669">
        <v>5</v>
      </c>
      <c r="K669" t="s">
        <v>1949</v>
      </c>
      <c r="L669">
        <v>350</v>
      </c>
      <c r="M669">
        <v>2660</v>
      </c>
      <c r="N669">
        <v>1400</v>
      </c>
      <c r="O669">
        <v>1260</v>
      </c>
      <c r="P669">
        <v>0.47368421052631599</v>
      </c>
      <c r="Q669">
        <v>0</v>
      </c>
      <c r="R669">
        <v>0</v>
      </c>
      <c r="S669">
        <v>4</v>
      </c>
      <c r="T669">
        <v>2660</v>
      </c>
    </row>
    <row r="670" spans="1:20">
      <c r="A670" t="s">
        <v>891</v>
      </c>
      <c r="B670" s="1">
        <v>45464</v>
      </c>
      <c r="C670">
        <v>25</v>
      </c>
      <c r="D670">
        <v>6</v>
      </c>
      <c r="E670" t="s">
        <v>786</v>
      </c>
      <c r="F670" t="s">
        <v>82</v>
      </c>
      <c r="G670" t="s">
        <v>20</v>
      </c>
      <c r="H670">
        <v>2</v>
      </c>
      <c r="I670">
        <v>900</v>
      </c>
      <c r="J670">
        <v>0</v>
      </c>
      <c r="K670" t="s">
        <v>1933</v>
      </c>
      <c r="L670">
        <v>500</v>
      </c>
      <c r="M670">
        <v>1800</v>
      </c>
      <c r="N670">
        <v>1000</v>
      </c>
      <c r="O670">
        <v>800</v>
      </c>
      <c r="P670">
        <v>0.44444444444444398</v>
      </c>
      <c r="Q670">
        <v>0</v>
      </c>
      <c r="R670">
        <v>0</v>
      </c>
      <c r="S670">
        <v>2</v>
      </c>
      <c r="T670">
        <v>1800</v>
      </c>
    </row>
    <row r="671" spans="1:20">
      <c r="A671" t="s">
        <v>892</v>
      </c>
      <c r="B671" s="1">
        <v>45465</v>
      </c>
      <c r="C671">
        <v>25</v>
      </c>
      <c r="D671">
        <v>6</v>
      </c>
      <c r="E671" t="s">
        <v>786</v>
      </c>
      <c r="F671" t="s">
        <v>51</v>
      </c>
      <c r="G671" t="s">
        <v>26</v>
      </c>
      <c r="H671">
        <v>3</v>
      </c>
      <c r="I671">
        <v>500</v>
      </c>
      <c r="J671">
        <v>0</v>
      </c>
      <c r="K671" t="s">
        <v>1936</v>
      </c>
      <c r="L671">
        <v>200</v>
      </c>
      <c r="M671">
        <v>1500</v>
      </c>
      <c r="N671">
        <v>600</v>
      </c>
      <c r="O671">
        <v>900</v>
      </c>
      <c r="P671">
        <v>0.6</v>
      </c>
      <c r="Q671">
        <v>0</v>
      </c>
      <c r="R671">
        <v>0</v>
      </c>
      <c r="S671">
        <v>3</v>
      </c>
      <c r="T671">
        <v>1500</v>
      </c>
    </row>
    <row r="672" spans="1:20">
      <c r="A672" t="s">
        <v>894</v>
      </c>
      <c r="B672" s="1">
        <v>45465</v>
      </c>
      <c r="C672">
        <v>25</v>
      </c>
      <c r="D672">
        <v>6</v>
      </c>
      <c r="E672" t="s">
        <v>786</v>
      </c>
      <c r="F672" t="s">
        <v>42</v>
      </c>
      <c r="G672" t="s">
        <v>23</v>
      </c>
      <c r="H672">
        <v>3</v>
      </c>
      <c r="I672">
        <v>540</v>
      </c>
      <c r="J672">
        <v>10</v>
      </c>
      <c r="K672" t="s">
        <v>1928</v>
      </c>
      <c r="L672">
        <v>300</v>
      </c>
      <c r="M672">
        <v>1620</v>
      </c>
      <c r="N672">
        <v>900</v>
      </c>
      <c r="O672">
        <v>720</v>
      </c>
      <c r="P672">
        <v>0.44444444444444398</v>
      </c>
      <c r="Q672">
        <v>0</v>
      </c>
      <c r="R672">
        <v>0</v>
      </c>
      <c r="S672">
        <v>3</v>
      </c>
      <c r="T672">
        <v>1620</v>
      </c>
    </row>
    <row r="673" spans="1:20">
      <c r="A673" t="s">
        <v>895</v>
      </c>
      <c r="B673" s="1">
        <v>45466</v>
      </c>
      <c r="C673">
        <v>25</v>
      </c>
      <c r="D673">
        <v>6</v>
      </c>
      <c r="E673" t="s">
        <v>786</v>
      </c>
      <c r="F673" t="s">
        <v>64</v>
      </c>
      <c r="G673" t="s">
        <v>14</v>
      </c>
      <c r="H673">
        <v>4</v>
      </c>
      <c r="I673">
        <v>2640</v>
      </c>
      <c r="J673">
        <v>0</v>
      </c>
      <c r="K673" t="s">
        <v>1923</v>
      </c>
      <c r="L673">
        <v>1200</v>
      </c>
      <c r="M673">
        <v>10560</v>
      </c>
      <c r="N673">
        <v>4800</v>
      </c>
      <c r="O673">
        <v>5760</v>
      </c>
      <c r="P673">
        <v>0.54545454545454497</v>
      </c>
      <c r="Q673">
        <v>0</v>
      </c>
      <c r="R673">
        <v>0</v>
      </c>
      <c r="S673">
        <v>4</v>
      </c>
      <c r="T673">
        <v>10560</v>
      </c>
    </row>
    <row r="674" spans="1:20">
      <c r="A674" t="s">
        <v>897</v>
      </c>
      <c r="B674" s="1">
        <v>45466</v>
      </c>
      <c r="C674">
        <v>25</v>
      </c>
      <c r="D674">
        <v>6</v>
      </c>
      <c r="E674" t="s">
        <v>786</v>
      </c>
      <c r="F674" t="s">
        <v>28</v>
      </c>
      <c r="G674" t="s">
        <v>26</v>
      </c>
      <c r="H674">
        <v>3</v>
      </c>
      <c r="I674">
        <v>1500</v>
      </c>
      <c r="J674">
        <v>0</v>
      </c>
      <c r="K674" t="s">
        <v>1939</v>
      </c>
      <c r="L674">
        <v>600</v>
      </c>
      <c r="M674">
        <v>4500</v>
      </c>
      <c r="N674">
        <v>1800</v>
      </c>
      <c r="O674">
        <v>2700</v>
      </c>
      <c r="P674">
        <v>0.6</v>
      </c>
      <c r="Q674">
        <v>0</v>
      </c>
      <c r="R674">
        <v>0</v>
      </c>
      <c r="S674">
        <v>3</v>
      </c>
      <c r="T674">
        <v>4500</v>
      </c>
    </row>
    <row r="675" spans="1:20">
      <c r="A675" t="s">
        <v>898</v>
      </c>
      <c r="B675" s="1">
        <v>45466</v>
      </c>
      <c r="C675">
        <v>25</v>
      </c>
      <c r="D675">
        <v>6</v>
      </c>
      <c r="E675" t="s">
        <v>786</v>
      </c>
      <c r="F675" t="s">
        <v>28</v>
      </c>
      <c r="G675" t="s">
        <v>26</v>
      </c>
      <c r="H675">
        <v>4</v>
      </c>
      <c r="I675">
        <v>1425</v>
      </c>
      <c r="J675">
        <v>5</v>
      </c>
      <c r="K675" t="s">
        <v>1939</v>
      </c>
      <c r="L675">
        <v>600</v>
      </c>
      <c r="M675">
        <v>5700</v>
      </c>
      <c r="N675">
        <v>2400</v>
      </c>
      <c r="O675">
        <v>3300</v>
      </c>
      <c r="P675">
        <v>0.57894736842105299</v>
      </c>
      <c r="Q675">
        <v>0</v>
      </c>
      <c r="R675">
        <v>0</v>
      </c>
      <c r="S675">
        <v>4</v>
      </c>
      <c r="T675">
        <v>5700</v>
      </c>
    </row>
    <row r="676" spans="1:20">
      <c r="A676" t="s">
        <v>899</v>
      </c>
      <c r="B676" s="1">
        <v>45466</v>
      </c>
      <c r="C676">
        <v>25</v>
      </c>
      <c r="D676">
        <v>6</v>
      </c>
      <c r="E676" t="s">
        <v>786</v>
      </c>
      <c r="F676" t="s">
        <v>364</v>
      </c>
      <c r="G676" t="s">
        <v>221</v>
      </c>
      <c r="H676">
        <v>2</v>
      </c>
      <c r="I676">
        <v>912</v>
      </c>
      <c r="J676">
        <v>5</v>
      </c>
      <c r="K676" t="s">
        <v>1946</v>
      </c>
      <c r="L676">
        <v>480</v>
      </c>
      <c r="M676">
        <v>1824</v>
      </c>
      <c r="N676">
        <v>960</v>
      </c>
      <c r="O676">
        <v>864</v>
      </c>
      <c r="P676">
        <v>0.47368421052631599</v>
      </c>
      <c r="Q676">
        <v>0</v>
      </c>
      <c r="R676">
        <v>0</v>
      </c>
      <c r="S676">
        <v>2</v>
      </c>
      <c r="T676">
        <v>1824</v>
      </c>
    </row>
    <row r="677" spans="1:20">
      <c r="A677" t="s">
        <v>900</v>
      </c>
      <c r="B677" s="1">
        <v>45466</v>
      </c>
      <c r="C677">
        <v>25</v>
      </c>
      <c r="D677">
        <v>6</v>
      </c>
      <c r="E677" t="s">
        <v>786</v>
      </c>
      <c r="F677" t="s">
        <v>42</v>
      </c>
      <c r="G677" t="s">
        <v>23</v>
      </c>
      <c r="H677">
        <v>3</v>
      </c>
      <c r="I677">
        <v>600</v>
      </c>
      <c r="J677">
        <v>0</v>
      </c>
      <c r="K677" t="s">
        <v>1928</v>
      </c>
      <c r="L677">
        <v>300</v>
      </c>
      <c r="M677">
        <v>1800</v>
      </c>
      <c r="N677">
        <v>900</v>
      </c>
      <c r="O677">
        <v>900</v>
      </c>
      <c r="P677">
        <v>0.5</v>
      </c>
      <c r="Q677">
        <v>0</v>
      </c>
      <c r="R677">
        <v>0</v>
      </c>
      <c r="S677">
        <v>3</v>
      </c>
      <c r="T677">
        <v>1800</v>
      </c>
    </row>
    <row r="678" spans="1:20">
      <c r="A678" t="s">
        <v>901</v>
      </c>
      <c r="B678" s="1">
        <v>45467</v>
      </c>
      <c r="C678">
        <v>26</v>
      </c>
      <c r="D678">
        <v>6</v>
      </c>
      <c r="E678" t="s">
        <v>786</v>
      </c>
      <c r="F678" t="s">
        <v>220</v>
      </c>
      <c r="G678" t="s">
        <v>221</v>
      </c>
      <c r="H678">
        <v>2</v>
      </c>
      <c r="I678">
        <v>600</v>
      </c>
      <c r="J678">
        <v>0</v>
      </c>
      <c r="K678" t="s">
        <v>1947</v>
      </c>
      <c r="L678">
        <v>300</v>
      </c>
      <c r="M678">
        <v>1200</v>
      </c>
      <c r="N678">
        <v>600</v>
      </c>
      <c r="O678">
        <v>600</v>
      </c>
      <c r="P678">
        <v>0.5</v>
      </c>
      <c r="Q678">
        <v>0</v>
      </c>
      <c r="R678">
        <v>0</v>
      </c>
      <c r="S678">
        <v>2</v>
      </c>
      <c r="T678">
        <v>1200</v>
      </c>
    </row>
    <row r="679" spans="1:20">
      <c r="A679" t="s">
        <v>903</v>
      </c>
      <c r="B679" s="1">
        <v>45467</v>
      </c>
      <c r="C679">
        <v>26</v>
      </c>
      <c r="D679">
        <v>6</v>
      </c>
      <c r="E679" t="s">
        <v>786</v>
      </c>
      <c r="F679" t="s">
        <v>115</v>
      </c>
      <c r="G679" t="s">
        <v>23</v>
      </c>
      <c r="H679">
        <v>1</v>
      </c>
      <c r="I679">
        <v>1140</v>
      </c>
      <c r="J679">
        <v>5</v>
      </c>
      <c r="K679" t="s">
        <v>1926</v>
      </c>
      <c r="L679">
        <v>600</v>
      </c>
      <c r="M679">
        <v>1140</v>
      </c>
      <c r="N679">
        <v>600</v>
      </c>
      <c r="O679">
        <v>540</v>
      </c>
      <c r="P679">
        <v>0.47368421052631599</v>
      </c>
      <c r="Q679">
        <v>0</v>
      </c>
      <c r="R679">
        <v>0</v>
      </c>
      <c r="S679">
        <v>1</v>
      </c>
      <c r="T679">
        <v>1140</v>
      </c>
    </row>
    <row r="680" spans="1:20">
      <c r="A680" t="s">
        <v>904</v>
      </c>
      <c r="B680" s="1">
        <v>45468</v>
      </c>
      <c r="C680">
        <v>26</v>
      </c>
      <c r="D680">
        <v>6</v>
      </c>
      <c r="E680" t="s">
        <v>786</v>
      </c>
      <c r="F680" t="s">
        <v>45</v>
      </c>
      <c r="G680" t="s">
        <v>26</v>
      </c>
      <c r="H680">
        <v>4</v>
      </c>
      <c r="I680">
        <v>4500</v>
      </c>
      <c r="J680">
        <v>0</v>
      </c>
      <c r="K680" t="s">
        <v>1938</v>
      </c>
      <c r="L680">
        <v>1800</v>
      </c>
      <c r="M680">
        <v>18000</v>
      </c>
      <c r="N680">
        <v>7200</v>
      </c>
      <c r="O680">
        <v>10800</v>
      </c>
      <c r="P680">
        <v>0.6</v>
      </c>
      <c r="Q680">
        <v>0</v>
      </c>
      <c r="R680">
        <v>0</v>
      </c>
      <c r="S680">
        <v>4</v>
      </c>
      <c r="T680">
        <v>18000</v>
      </c>
    </row>
    <row r="681" spans="1:20">
      <c r="A681" t="s">
        <v>906</v>
      </c>
      <c r="B681" s="1">
        <v>45468</v>
      </c>
      <c r="C681">
        <v>26</v>
      </c>
      <c r="D681">
        <v>6</v>
      </c>
      <c r="E681" t="s">
        <v>786</v>
      </c>
      <c r="F681" t="s">
        <v>187</v>
      </c>
      <c r="G681" t="s">
        <v>14</v>
      </c>
      <c r="H681">
        <v>3</v>
      </c>
      <c r="I681">
        <v>4400</v>
      </c>
      <c r="J681">
        <v>0</v>
      </c>
      <c r="K681" t="s">
        <v>1924</v>
      </c>
      <c r="L681">
        <v>2000</v>
      </c>
      <c r="M681">
        <v>13200</v>
      </c>
      <c r="N681">
        <v>6000</v>
      </c>
      <c r="O681">
        <v>7200</v>
      </c>
      <c r="P681">
        <v>0.54545454545454497</v>
      </c>
      <c r="Q681">
        <v>1</v>
      </c>
      <c r="R681">
        <v>1</v>
      </c>
      <c r="S681">
        <v>2</v>
      </c>
      <c r="T681">
        <v>8800</v>
      </c>
    </row>
    <row r="682" spans="1:20">
      <c r="A682" t="s">
        <v>907</v>
      </c>
      <c r="B682" s="1">
        <v>45468</v>
      </c>
      <c r="C682">
        <v>26</v>
      </c>
      <c r="D682">
        <v>6</v>
      </c>
      <c r="E682" t="s">
        <v>786</v>
      </c>
      <c r="F682" t="s">
        <v>28</v>
      </c>
      <c r="G682" t="s">
        <v>26</v>
      </c>
      <c r="H682">
        <v>3</v>
      </c>
      <c r="I682">
        <v>1350</v>
      </c>
      <c r="J682">
        <v>10</v>
      </c>
      <c r="K682" t="s">
        <v>1939</v>
      </c>
      <c r="L682">
        <v>600</v>
      </c>
      <c r="M682">
        <v>4050</v>
      </c>
      <c r="N682">
        <v>1800</v>
      </c>
      <c r="O682">
        <v>2250</v>
      </c>
      <c r="P682">
        <v>0.55555555555555602</v>
      </c>
      <c r="Q682">
        <v>0</v>
      </c>
      <c r="R682">
        <v>0</v>
      </c>
      <c r="S682">
        <v>3</v>
      </c>
      <c r="T682">
        <v>4050</v>
      </c>
    </row>
    <row r="683" spans="1:20">
      <c r="A683" t="s">
        <v>908</v>
      </c>
      <c r="B683" s="1">
        <v>45468</v>
      </c>
      <c r="C683">
        <v>26</v>
      </c>
      <c r="D683">
        <v>6</v>
      </c>
      <c r="E683" t="s">
        <v>786</v>
      </c>
      <c r="F683" t="s">
        <v>369</v>
      </c>
      <c r="G683" t="s">
        <v>221</v>
      </c>
      <c r="H683">
        <v>5</v>
      </c>
      <c r="I683">
        <v>595</v>
      </c>
      <c r="J683">
        <v>15</v>
      </c>
      <c r="K683" t="s">
        <v>1949</v>
      </c>
      <c r="L683">
        <v>350</v>
      </c>
      <c r="M683">
        <v>2975</v>
      </c>
      <c r="N683">
        <v>1750</v>
      </c>
      <c r="O683">
        <v>1225</v>
      </c>
      <c r="P683">
        <v>0.41176470588235298</v>
      </c>
      <c r="Q683">
        <v>0</v>
      </c>
      <c r="R683">
        <v>0</v>
      </c>
      <c r="S683">
        <v>5</v>
      </c>
      <c r="T683">
        <v>2975</v>
      </c>
    </row>
    <row r="684" spans="1:20">
      <c r="A684" t="s">
        <v>909</v>
      </c>
      <c r="B684" s="1">
        <v>45469</v>
      </c>
      <c r="C684">
        <v>26</v>
      </c>
      <c r="D684">
        <v>6</v>
      </c>
      <c r="E684" t="s">
        <v>786</v>
      </c>
      <c r="F684" t="s">
        <v>19</v>
      </c>
      <c r="G684" t="s">
        <v>20</v>
      </c>
      <c r="H684">
        <v>3</v>
      </c>
      <c r="I684">
        <v>1377</v>
      </c>
      <c r="J684">
        <v>15</v>
      </c>
      <c r="K684" t="s">
        <v>1931</v>
      </c>
      <c r="L684">
        <v>900</v>
      </c>
      <c r="M684">
        <v>4131</v>
      </c>
      <c r="N684">
        <v>2700</v>
      </c>
      <c r="O684">
        <v>1431</v>
      </c>
      <c r="P684">
        <v>0.34640522875816998</v>
      </c>
      <c r="Q684">
        <v>0</v>
      </c>
      <c r="R684">
        <v>0</v>
      </c>
      <c r="S684">
        <v>3</v>
      </c>
      <c r="T684">
        <v>4131</v>
      </c>
    </row>
    <row r="685" spans="1:20">
      <c r="A685" t="s">
        <v>911</v>
      </c>
      <c r="B685" s="1">
        <v>45469</v>
      </c>
      <c r="C685">
        <v>26</v>
      </c>
      <c r="D685">
        <v>6</v>
      </c>
      <c r="E685" t="s">
        <v>786</v>
      </c>
      <c r="F685" t="s">
        <v>146</v>
      </c>
      <c r="G685" t="s">
        <v>20</v>
      </c>
      <c r="H685">
        <v>4</v>
      </c>
      <c r="I685">
        <v>535.5</v>
      </c>
      <c r="J685">
        <v>15</v>
      </c>
      <c r="K685" t="s">
        <v>1934</v>
      </c>
      <c r="L685">
        <v>350</v>
      </c>
      <c r="M685">
        <v>2142</v>
      </c>
      <c r="N685">
        <v>1400</v>
      </c>
      <c r="O685">
        <v>742</v>
      </c>
      <c r="P685">
        <v>0.34640522875816998</v>
      </c>
      <c r="Q685">
        <v>0</v>
      </c>
      <c r="R685">
        <v>0</v>
      </c>
      <c r="S685">
        <v>4</v>
      </c>
      <c r="T685">
        <v>2142</v>
      </c>
    </row>
    <row r="686" spans="1:20">
      <c r="A686" t="s">
        <v>912</v>
      </c>
      <c r="B686" s="1">
        <v>45469</v>
      </c>
      <c r="C686">
        <v>26</v>
      </c>
      <c r="D686">
        <v>6</v>
      </c>
      <c r="E686" t="s">
        <v>786</v>
      </c>
      <c r="F686" t="s">
        <v>39</v>
      </c>
      <c r="G686" t="s">
        <v>14</v>
      </c>
      <c r="H686">
        <v>1</v>
      </c>
      <c r="I686">
        <v>880</v>
      </c>
      <c r="J686">
        <v>0</v>
      </c>
      <c r="K686" t="s">
        <v>1921</v>
      </c>
      <c r="L686">
        <v>400</v>
      </c>
      <c r="M686">
        <v>880</v>
      </c>
      <c r="N686">
        <v>400</v>
      </c>
      <c r="O686">
        <v>480</v>
      </c>
      <c r="P686">
        <v>0.54545454545454497</v>
      </c>
      <c r="Q686">
        <v>0</v>
      </c>
      <c r="R686">
        <v>0</v>
      </c>
      <c r="S686">
        <v>1</v>
      </c>
      <c r="T686">
        <v>880</v>
      </c>
    </row>
    <row r="687" spans="1:20">
      <c r="A687" t="s">
        <v>913</v>
      </c>
      <c r="B687" s="1">
        <v>45470</v>
      </c>
      <c r="C687">
        <v>26</v>
      </c>
      <c r="D687">
        <v>6</v>
      </c>
      <c r="E687" t="s">
        <v>786</v>
      </c>
      <c r="F687" t="s">
        <v>364</v>
      </c>
      <c r="G687" t="s">
        <v>221</v>
      </c>
      <c r="H687">
        <v>1</v>
      </c>
      <c r="I687">
        <v>960</v>
      </c>
      <c r="J687">
        <v>0</v>
      </c>
      <c r="K687" t="s">
        <v>1946</v>
      </c>
      <c r="L687">
        <v>480</v>
      </c>
      <c r="M687">
        <v>960</v>
      </c>
      <c r="N687">
        <v>480</v>
      </c>
      <c r="O687">
        <v>480</v>
      </c>
      <c r="P687">
        <v>0.5</v>
      </c>
      <c r="Q687">
        <v>0</v>
      </c>
      <c r="R687">
        <v>0</v>
      </c>
      <c r="S687">
        <v>1</v>
      </c>
      <c r="T687">
        <v>960</v>
      </c>
    </row>
    <row r="688" spans="1:20">
      <c r="A688" t="s">
        <v>915</v>
      </c>
      <c r="B688" s="1">
        <v>45470</v>
      </c>
      <c r="C688">
        <v>26</v>
      </c>
      <c r="D688">
        <v>6</v>
      </c>
      <c r="E688" t="s">
        <v>786</v>
      </c>
      <c r="F688" t="s">
        <v>349</v>
      </c>
      <c r="G688" t="s">
        <v>221</v>
      </c>
      <c r="H688">
        <v>1</v>
      </c>
      <c r="I688">
        <v>360</v>
      </c>
      <c r="J688">
        <v>10</v>
      </c>
      <c r="K688" t="s">
        <v>1948</v>
      </c>
      <c r="L688">
        <v>200</v>
      </c>
      <c r="M688">
        <v>360</v>
      </c>
      <c r="N688">
        <v>200</v>
      </c>
      <c r="O688">
        <v>160</v>
      </c>
      <c r="P688">
        <v>0.44444444444444398</v>
      </c>
      <c r="Q688">
        <v>0</v>
      </c>
      <c r="R688">
        <v>0</v>
      </c>
      <c r="S688">
        <v>1</v>
      </c>
      <c r="T688">
        <v>360</v>
      </c>
    </row>
    <row r="689" spans="1:20">
      <c r="A689" t="s">
        <v>916</v>
      </c>
      <c r="B689" s="1">
        <v>45470</v>
      </c>
      <c r="C689">
        <v>26</v>
      </c>
      <c r="D689">
        <v>6</v>
      </c>
      <c r="E689" t="s">
        <v>786</v>
      </c>
      <c r="F689" t="s">
        <v>39</v>
      </c>
      <c r="G689" t="s">
        <v>14</v>
      </c>
      <c r="H689">
        <v>1</v>
      </c>
      <c r="I689">
        <v>792</v>
      </c>
      <c r="J689">
        <v>10</v>
      </c>
      <c r="K689" t="s">
        <v>1921</v>
      </c>
      <c r="L689">
        <v>400</v>
      </c>
      <c r="M689">
        <v>792</v>
      </c>
      <c r="N689">
        <v>400</v>
      </c>
      <c r="O689">
        <v>392</v>
      </c>
      <c r="P689">
        <v>0.49494949494949497</v>
      </c>
      <c r="Q689">
        <v>0</v>
      </c>
      <c r="R689">
        <v>0</v>
      </c>
      <c r="S689">
        <v>1</v>
      </c>
      <c r="T689">
        <v>792</v>
      </c>
    </row>
    <row r="690" spans="1:20">
      <c r="A690" t="s">
        <v>917</v>
      </c>
      <c r="B690" s="1">
        <v>45470</v>
      </c>
      <c r="C690">
        <v>26</v>
      </c>
      <c r="D690">
        <v>6</v>
      </c>
      <c r="E690" t="s">
        <v>786</v>
      </c>
      <c r="F690" t="s">
        <v>64</v>
      </c>
      <c r="G690" t="s">
        <v>14</v>
      </c>
      <c r="H690">
        <v>1</v>
      </c>
      <c r="I690">
        <v>2508</v>
      </c>
      <c r="J690">
        <v>5</v>
      </c>
      <c r="K690" t="s">
        <v>1923</v>
      </c>
      <c r="L690">
        <v>1200</v>
      </c>
      <c r="M690">
        <v>2508</v>
      </c>
      <c r="N690">
        <v>1200</v>
      </c>
      <c r="O690">
        <v>1308</v>
      </c>
      <c r="P690">
        <v>0.52153110047846896</v>
      </c>
      <c r="Q690">
        <v>0</v>
      </c>
      <c r="R690">
        <v>0</v>
      </c>
      <c r="S690">
        <v>1</v>
      </c>
      <c r="T690">
        <v>2508</v>
      </c>
    </row>
    <row r="691" spans="1:20">
      <c r="A691" t="s">
        <v>918</v>
      </c>
      <c r="B691" s="1">
        <v>45470</v>
      </c>
      <c r="C691">
        <v>26</v>
      </c>
      <c r="D691">
        <v>6</v>
      </c>
      <c r="E691" t="s">
        <v>786</v>
      </c>
      <c r="F691" t="s">
        <v>58</v>
      </c>
      <c r="G691" t="s">
        <v>23</v>
      </c>
      <c r="H691">
        <v>3</v>
      </c>
      <c r="I691">
        <v>1000</v>
      </c>
      <c r="J691">
        <v>0</v>
      </c>
      <c r="K691" t="s">
        <v>1927</v>
      </c>
      <c r="L691">
        <v>500</v>
      </c>
      <c r="M691">
        <v>3000</v>
      </c>
      <c r="N691">
        <v>1500</v>
      </c>
      <c r="O691">
        <v>1500</v>
      </c>
      <c r="P691">
        <v>0.5</v>
      </c>
      <c r="Q691">
        <v>0</v>
      </c>
      <c r="R691">
        <v>0</v>
      </c>
      <c r="S691">
        <v>3</v>
      </c>
      <c r="T691">
        <v>3000</v>
      </c>
    </row>
    <row r="692" spans="1:20">
      <c r="A692" t="s">
        <v>919</v>
      </c>
      <c r="B692" s="1">
        <v>45470</v>
      </c>
      <c r="C692">
        <v>26</v>
      </c>
      <c r="D692">
        <v>6</v>
      </c>
      <c r="E692" t="s">
        <v>786</v>
      </c>
      <c r="F692" t="s">
        <v>51</v>
      </c>
      <c r="G692" t="s">
        <v>26</v>
      </c>
      <c r="H692">
        <v>5</v>
      </c>
      <c r="I692">
        <v>500</v>
      </c>
      <c r="J692">
        <v>0</v>
      </c>
      <c r="K692" t="s">
        <v>1936</v>
      </c>
      <c r="L692">
        <v>200</v>
      </c>
      <c r="M692">
        <v>2500</v>
      </c>
      <c r="N692">
        <v>1000</v>
      </c>
      <c r="O692">
        <v>1500</v>
      </c>
      <c r="P692">
        <v>0.6</v>
      </c>
      <c r="Q692">
        <v>0</v>
      </c>
      <c r="R692">
        <v>0</v>
      </c>
      <c r="S692">
        <v>5</v>
      </c>
      <c r="T692">
        <v>2500</v>
      </c>
    </row>
    <row r="693" spans="1:20">
      <c r="A693" t="s">
        <v>920</v>
      </c>
      <c r="B693" s="1">
        <v>45471</v>
      </c>
      <c r="C693">
        <v>26</v>
      </c>
      <c r="D693">
        <v>6</v>
      </c>
      <c r="E693" t="s">
        <v>786</v>
      </c>
      <c r="F693" t="s">
        <v>64</v>
      </c>
      <c r="G693" t="s">
        <v>14</v>
      </c>
      <c r="H693">
        <v>5</v>
      </c>
      <c r="I693">
        <v>2508</v>
      </c>
      <c r="J693">
        <v>5</v>
      </c>
      <c r="K693" t="s">
        <v>1923</v>
      </c>
      <c r="L693">
        <v>1200</v>
      </c>
      <c r="M693">
        <v>12540</v>
      </c>
      <c r="N693">
        <v>6000</v>
      </c>
      <c r="O693">
        <v>6540</v>
      </c>
      <c r="P693">
        <v>0.52153110047846896</v>
      </c>
      <c r="Q693">
        <v>0</v>
      </c>
      <c r="R693">
        <v>0</v>
      </c>
      <c r="S693">
        <v>5</v>
      </c>
      <c r="T693">
        <v>12540</v>
      </c>
    </row>
    <row r="694" spans="1:20">
      <c r="A694" t="s">
        <v>922</v>
      </c>
      <c r="B694" s="1">
        <v>45471</v>
      </c>
      <c r="C694">
        <v>26</v>
      </c>
      <c r="D694">
        <v>6</v>
      </c>
      <c r="E694" t="s">
        <v>786</v>
      </c>
      <c r="F694" t="s">
        <v>82</v>
      </c>
      <c r="G694" t="s">
        <v>20</v>
      </c>
      <c r="H694">
        <v>1</v>
      </c>
      <c r="I694">
        <v>765</v>
      </c>
      <c r="J694">
        <v>15</v>
      </c>
      <c r="K694" t="s">
        <v>1933</v>
      </c>
      <c r="L694">
        <v>500</v>
      </c>
      <c r="M694">
        <v>765</v>
      </c>
      <c r="N694">
        <v>500</v>
      </c>
      <c r="O694">
        <v>265</v>
      </c>
      <c r="P694">
        <v>0.34640522875816998</v>
      </c>
      <c r="Q694">
        <v>0</v>
      </c>
      <c r="R694">
        <v>0</v>
      </c>
      <c r="S694">
        <v>1</v>
      </c>
      <c r="T694">
        <v>765</v>
      </c>
    </row>
    <row r="695" spans="1:20">
      <c r="A695" t="s">
        <v>923</v>
      </c>
      <c r="B695" s="1">
        <v>45471</v>
      </c>
      <c r="C695">
        <v>26</v>
      </c>
      <c r="D695">
        <v>6</v>
      </c>
      <c r="E695" t="s">
        <v>786</v>
      </c>
      <c r="F695" t="s">
        <v>42</v>
      </c>
      <c r="G695" t="s">
        <v>23</v>
      </c>
      <c r="H695">
        <v>4</v>
      </c>
      <c r="I695">
        <v>600</v>
      </c>
      <c r="J695">
        <v>0</v>
      </c>
      <c r="K695" t="s">
        <v>1928</v>
      </c>
      <c r="L695">
        <v>300</v>
      </c>
      <c r="M695">
        <v>2400</v>
      </c>
      <c r="N695">
        <v>1200</v>
      </c>
      <c r="O695">
        <v>1200</v>
      </c>
      <c r="P695">
        <v>0.5</v>
      </c>
      <c r="Q695">
        <v>0</v>
      </c>
      <c r="R695">
        <v>0</v>
      </c>
      <c r="S695">
        <v>4</v>
      </c>
      <c r="T695">
        <v>2400</v>
      </c>
    </row>
    <row r="696" spans="1:20">
      <c r="A696" t="s">
        <v>924</v>
      </c>
      <c r="B696" s="1">
        <v>45471</v>
      </c>
      <c r="C696">
        <v>26</v>
      </c>
      <c r="D696">
        <v>6</v>
      </c>
      <c r="E696" t="s">
        <v>786</v>
      </c>
      <c r="F696" t="s">
        <v>82</v>
      </c>
      <c r="G696" t="s">
        <v>20</v>
      </c>
      <c r="H696">
        <v>3</v>
      </c>
      <c r="I696">
        <v>900</v>
      </c>
      <c r="J696">
        <v>0</v>
      </c>
      <c r="K696" t="s">
        <v>1933</v>
      </c>
      <c r="L696">
        <v>500</v>
      </c>
      <c r="M696">
        <v>2700</v>
      </c>
      <c r="N696">
        <v>1500</v>
      </c>
      <c r="O696">
        <v>1200</v>
      </c>
      <c r="P696">
        <v>0.44444444444444398</v>
      </c>
      <c r="Q696">
        <v>0</v>
      </c>
      <c r="R696">
        <v>0</v>
      </c>
      <c r="S696">
        <v>3</v>
      </c>
      <c r="T696">
        <v>2700</v>
      </c>
    </row>
    <row r="697" spans="1:20">
      <c r="A697" t="s">
        <v>925</v>
      </c>
      <c r="B697" s="1">
        <v>45471</v>
      </c>
      <c r="C697">
        <v>26</v>
      </c>
      <c r="D697">
        <v>6</v>
      </c>
      <c r="E697" t="s">
        <v>786</v>
      </c>
      <c r="F697" t="s">
        <v>369</v>
      </c>
      <c r="G697" t="s">
        <v>221</v>
      </c>
      <c r="H697">
        <v>5</v>
      </c>
      <c r="I697">
        <v>700</v>
      </c>
      <c r="J697">
        <v>0</v>
      </c>
      <c r="K697" t="s">
        <v>1949</v>
      </c>
      <c r="L697">
        <v>350</v>
      </c>
      <c r="M697">
        <v>3500</v>
      </c>
      <c r="N697">
        <v>1750</v>
      </c>
      <c r="O697">
        <v>1750</v>
      </c>
      <c r="P697">
        <v>0.5</v>
      </c>
      <c r="Q697">
        <v>0</v>
      </c>
      <c r="R697">
        <v>0</v>
      </c>
      <c r="S697">
        <v>5</v>
      </c>
      <c r="T697">
        <v>3500</v>
      </c>
    </row>
    <row r="698" spans="1:20">
      <c r="A698" t="s">
        <v>926</v>
      </c>
      <c r="B698" s="1">
        <v>45471</v>
      </c>
      <c r="C698">
        <v>26</v>
      </c>
      <c r="D698">
        <v>6</v>
      </c>
      <c r="E698" t="s">
        <v>786</v>
      </c>
      <c r="F698" t="s">
        <v>31</v>
      </c>
      <c r="G698" t="s">
        <v>23</v>
      </c>
      <c r="H698">
        <v>2</v>
      </c>
      <c r="I698">
        <v>1260</v>
      </c>
      <c r="J698">
        <v>10</v>
      </c>
      <c r="K698" t="s">
        <v>1930</v>
      </c>
      <c r="L698">
        <v>700</v>
      </c>
      <c r="M698">
        <v>2520</v>
      </c>
      <c r="N698">
        <v>1400</v>
      </c>
      <c r="O698">
        <v>1120</v>
      </c>
      <c r="P698">
        <v>0.44444444444444398</v>
      </c>
      <c r="Q698">
        <v>0</v>
      </c>
      <c r="R698">
        <v>0</v>
      </c>
      <c r="S698">
        <v>2</v>
      </c>
      <c r="T698">
        <v>2520</v>
      </c>
    </row>
    <row r="699" spans="1:20">
      <c r="A699" t="s">
        <v>927</v>
      </c>
      <c r="B699" s="1">
        <v>45472</v>
      </c>
      <c r="C699">
        <v>26</v>
      </c>
      <c r="D699">
        <v>6</v>
      </c>
      <c r="E699" t="s">
        <v>786</v>
      </c>
      <c r="F699" t="s">
        <v>349</v>
      </c>
      <c r="G699" t="s">
        <v>221</v>
      </c>
      <c r="H699">
        <v>5</v>
      </c>
      <c r="I699">
        <v>400</v>
      </c>
      <c r="J699">
        <v>0</v>
      </c>
      <c r="K699" t="s">
        <v>1948</v>
      </c>
      <c r="L699">
        <v>200</v>
      </c>
      <c r="M699">
        <v>2000</v>
      </c>
      <c r="N699">
        <v>1000</v>
      </c>
      <c r="O699">
        <v>1000</v>
      </c>
      <c r="P699">
        <v>0.5</v>
      </c>
      <c r="Q699">
        <v>0</v>
      </c>
      <c r="R699">
        <v>0</v>
      </c>
      <c r="S699">
        <v>5</v>
      </c>
      <c r="T699">
        <v>2000</v>
      </c>
    </row>
    <row r="700" spans="1:20">
      <c r="A700" t="s">
        <v>929</v>
      </c>
      <c r="B700" s="1">
        <v>45473</v>
      </c>
      <c r="C700">
        <v>26</v>
      </c>
      <c r="D700">
        <v>6</v>
      </c>
      <c r="E700" t="s">
        <v>786</v>
      </c>
      <c r="F700" t="s">
        <v>80</v>
      </c>
      <c r="G700" t="s">
        <v>14</v>
      </c>
      <c r="H700">
        <v>4</v>
      </c>
      <c r="I700">
        <v>400</v>
      </c>
      <c r="J700">
        <v>0</v>
      </c>
      <c r="K700" t="s">
        <v>1922</v>
      </c>
      <c r="L700">
        <v>180</v>
      </c>
      <c r="M700">
        <v>1600</v>
      </c>
      <c r="N700">
        <v>720</v>
      </c>
      <c r="O700">
        <v>880</v>
      </c>
      <c r="P700">
        <v>0.55000000000000004</v>
      </c>
      <c r="Q700">
        <v>0</v>
      </c>
      <c r="R700">
        <v>0</v>
      </c>
      <c r="S700">
        <v>4</v>
      </c>
      <c r="T700">
        <v>1600</v>
      </c>
    </row>
    <row r="701" spans="1:20">
      <c r="A701" t="s">
        <v>931</v>
      </c>
      <c r="B701" s="1">
        <v>45473</v>
      </c>
      <c r="C701">
        <v>26</v>
      </c>
      <c r="D701">
        <v>6</v>
      </c>
      <c r="E701" t="s">
        <v>786</v>
      </c>
      <c r="F701" t="s">
        <v>45</v>
      </c>
      <c r="G701" t="s">
        <v>26</v>
      </c>
      <c r="H701">
        <v>1</v>
      </c>
      <c r="I701">
        <v>4275</v>
      </c>
      <c r="J701">
        <v>5</v>
      </c>
      <c r="K701" t="s">
        <v>1938</v>
      </c>
      <c r="L701">
        <v>1800</v>
      </c>
      <c r="M701">
        <v>4275</v>
      </c>
      <c r="N701">
        <v>1800</v>
      </c>
      <c r="O701">
        <v>2475</v>
      </c>
      <c r="P701">
        <v>0.57894736842105299</v>
      </c>
      <c r="Q701">
        <v>0</v>
      </c>
      <c r="R701">
        <v>0</v>
      </c>
      <c r="S701">
        <v>1</v>
      </c>
      <c r="T701">
        <v>4275</v>
      </c>
    </row>
    <row r="702" spans="1:20">
      <c r="A702" t="s">
        <v>932</v>
      </c>
      <c r="B702" s="1">
        <v>45473</v>
      </c>
      <c r="C702">
        <v>26</v>
      </c>
      <c r="D702">
        <v>6</v>
      </c>
      <c r="E702" t="s">
        <v>786</v>
      </c>
      <c r="F702" t="s">
        <v>119</v>
      </c>
      <c r="G702" t="s">
        <v>14</v>
      </c>
      <c r="H702">
        <v>5</v>
      </c>
      <c r="I702">
        <v>770</v>
      </c>
      <c r="J702">
        <v>0</v>
      </c>
      <c r="K702" t="s">
        <v>1920</v>
      </c>
      <c r="L702">
        <v>350</v>
      </c>
      <c r="M702">
        <v>3850</v>
      </c>
      <c r="N702">
        <v>1750</v>
      </c>
      <c r="O702">
        <v>2100</v>
      </c>
      <c r="P702">
        <v>0.54545454545454497</v>
      </c>
      <c r="Q702">
        <v>0</v>
      </c>
      <c r="R702">
        <v>0</v>
      </c>
      <c r="S702">
        <v>5</v>
      </c>
      <c r="T702">
        <v>3850</v>
      </c>
    </row>
    <row r="703" spans="1:20">
      <c r="A703" t="s">
        <v>933</v>
      </c>
      <c r="B703" s="1">
        <v>45473</v>
      </c>
      <c r="C703">
        <v>26</v>
      </c>
      <c r="D703">
        <v>6</v>
      </c>
      <c r="E703" t="s">
        <v>786</v>
      </c>
      <c r="F703" t="s">
        <v>349</v>
      </c>
      <c r="G703" t="s">
        <v>221</v>
      </c>
      <c r="H703">
        <v>5</v>
      </c>
      <c r="I703">
        <v>400</v>
      </c>
      <c r="J703">
        <v>0</v>
      </c>
      <c r="K703" t="s">
        <v>1948</v>
      </c>
      <c r="L703">
        <v>200</v>
      </c>
      <c r="M703">
        <v>2000</v>
      </c>
      <c r="N703">
        <v>1000</v>
      </c>
      <c r="O703">
        <v>1000</v>
      </c>
      <c r="P703">
        <v>0.5</v>
      </c>
      <c r="Q703">
        <v>0</v>
      </c>
      <c r="R703">
        <v>0</v>
      </c>
      <c r="S703">
        <v>5</v>
      </c>
      <c r="T703">
        <v>2000</v>
      </c>
    </row>
    <row r="704" spans="1:20">
      <c r="A704" t="s">
        <v>934</v>
      </c>
      <c r="B704" s="1">
        <v>45473</v>
      </c>
      <c r="C704">
        <v>26</v>
      </c>
      <c r="D704">
        <v>6</v>
      </c>
      <c r="E704" t="s">
        <v>786</v>
      </c>
      <c r="F704" t="s">
        <v>119</v>
      </c>
      <c r="G704" t="s">
        <v>14</v>
      </c>
      <c r="H704">
        <v>2</v>
      </c>
      <c r="I704">
        <v>770</v>
      </c>
      <c r="J704">
        <v>0</v>
      </c>
      <c r="K704" t="s">
        <v>1920</v>
      </c>
      <c r="L704">
        <v>350</v>
      </c>
      <c r="M704">
        <v>1540</v>
      </c>
      <c r="N704">
        <v>700</v>
      </c>
      <c r="O704">
        <v>840</v>
      </c>
      <c r="P704">
        <v>0.54545454545454497</v>
      </c>
      <c r="Q704">
        <v>0</v>
      </c>
      <c r="R704">
        <v>0</v>
      </c>
      <c r="S704">
        <v>2</v>
      </c>
      <c r="T704">
        <v>1540</v>
      </c>
    </row>
    <row r="705" spans="1:20">
      <c r="A705" t="s">
        <v>935</v>
      </c>
      <c r="B705" s="1">
        <v>45473</v>
      </c>
      <c r="C705">
        <v>26</v>
      </c>
      <c r="D705">
        <v>6</v>
      </c>
      <c r="E705" t="s">
        <v>786</v>
      </c>
      <c r="F705" t="s">
        <v>64</v>
      </c>
      <c r="G705" t="s">
        <v>14</v>
      </c>
      <c r="H705">
        <v>1</v>
      </c>
      <c r="I705">
        <v>2640</v>
      </c>
      <c r="J705">
        <v>0</v>
      </c>
      <c r="K705" t="s">
        <v>1923</v>
      </c>
      <c r="L705">
        <v>1200</v>
      </c>
      <c r="M705">
        <v>2640</v>
      </c>
      <c r="N705">
        <v>1200</v>
      </c>
      <c r="O705">
        <v>1440</v>
      </c>
      <c r="P705">
        <v>0.54545454545454497</v>
      </c>
      <c r="Q705">
        <v>0</v>
      </c>
      <c r="R705">
        <v>0</v>
      </c>
      <c r="S705">
        <v>1</v>
      </c>
      <c r="T705">
        <v>2640</v>
      </c>
    </row>
    <row r="706" spans="1:20">
      <c r="A706" t="s">
        <v>936</v>
      </c>
      <c r="B706" s="1">
        <v>45474</v>
      </c>
      <c r="C706">
        <v>27</v>
      </c>
      <c r="D706">
        <v>7</v>
      </c>
      <c r="E706" t="s">
        <v>938</v>
      </c>
      <c r="F706" t="s">
        <v>369</v>
      </c>
      <c r="G706" t="s">
        <v>221</v>
      </c>
      <c r="H706">
        <v>1</v>
      </c>
      <c r="I706">
        <v>665</v>
      </c>
      <c r="J706">
        <v>5</v>
      </c>
      <c r="K706" t="s">
        <v>1949</v>
      </c>
      <c r="L706">
        <v>350</v>
      </c>
      <c r="M706">
        <v>665</v>
      </c>
      <c r="N706">
        <v>350</v>
      </c>
      <c r="O706">
        <v>315</v>
      </c>
      <c r="P706">
        <v>0.47368421052631599</v>
      </c>
      <c r="Q706">
        <v>0</v>
      </c>
      <c r="R706">
        <v>0</v>
      </c>
      <c r="S706">
        <v>1</v>
      </c>
      <c r="T706">
        <v>665</v>
      </c>
    </row>
    <row r="707" spans="1:20">
      <c r="A707" t="s">
        <v>939</v>
      </c>
      <c r="B707" s="1">
        <v>45474</v>
      </c>
      <c r="C707">
        <v>27</v>
      </c>
      <c r="D707">
        <v>7</v>
      </c>
      <c r="E707" t="s">
        <v>938</v>
      </c>
      <c r="F707" t="s">
        <v>51</v>
      </c>
      <c r="G707" t="s">
        <v>26</v>
      </c>
      <c r="H707">
        <v>1</v>
      </c>
      <c r="I707">
        <v>450</v>
      </c>
      <c r="J707">
        <v>10</v>
      </c>
      <c r="K707" t="s">
        <v>1936</v>
      </c>
      <c r="L707">
        <v>200</v>
      </c>
      <c r="M707">
        <v>450</v>
      </c>
      <c r="N707">
        <v>200</v>
      </c>
      <c r="O707">
        <v>250</v>
      </c>
      <c r="P707">
        <v>0.55555555555555602</v>
      </c>
      <c r="Q707">
        <v>0</v>
      </c>
      <c r="R707">
        <v>0</v>
      </c>
      <c r="S707">
        <v>1</v>
      </c>
      <c r="T707">
        <v>450</v>
      </c>
    </row>
    <row r="708" spans="1:20">
      <c r="A708" t="s">
        <v>940</v>
      </c>
      <c r="B708" s="1">
        <v>45475</v>
      </c>
      <c r="C708">
        <v>27</v>
      </c>
      <c r="D708">
        <v>7</v>
      </c>
      <c r="E708" t="s">
        <v>938</v>
      </c>
      <c r="F708" t="s">
        <v>349</v>
      </c>
      <c r="G708" t="s">
        <v>221</v>
      </c>
      <c r="H708">
        <v>1</v>
      </c>
      <c r="I708">
        <v>360</v>
      </c>
      <c r="J708">
        <v>10</v>
      </c>
      <c r="K708" t="s">
        <v>1948</v>
      </c>
      <c r="L708">
        <v>200</v>
      </c>
      <c r="M708">
        <v>360</v>
      </c>
      <c r="N708">
        <v>200</v>
      </c>
      <c r="O708">
        <v>160</v>
      </c>
      <c r="P708">
        <v>0.44444444444444398</v>
      </c>
      <c r="Q708">
        <v>1</v>
      </c>
      <c r="R708">
        <v>1</v>
      </c>
      <c r="S708">
        <v>0</v>
      </c>
      <c r="T708">
        <v>0</v>
      </c>
    </row>
    <row r="709" spans="1:20">
      <c r="A709" t="s">
        <v>942</v>
      </c>
      <c r="B709" s="1">
        <v>45475</v>
      </c>
      <c r="C709">
        <v>27</v>
      </c>
      <c r="D709">
        <v>7</v>
      </c>
      <c r="E709" t="s">
        <v>938</v>
      </c>
      <c r="F709" t="s">
        <v>45</v>
      </c>
      <c r="G709" t="s">
        <v>26</v>
      </c>
      <c r="H709">
        <v>1</v>
      </c>
      <c r="I709">
        <v>4500</v>
      </c>
      <c r="J709">
        <v>0</v>
      </c>
      <c r="K709" t="s">
        <v>1938</v>
      </c>
      <c r="L709">
        <v>1800</v>
      </c>
      <c r="M709">
        <v>4500</v>
      </c>
      <c r="N709">
        <v>1800</v>
      </c>
      <c r="O709">
        <v>2700</v>
      </c>
      <c r="P709">
        <v>0.6</v>
      </c>
      <c r="Q709">
        <v>0</v>
      </c>
      <c r="R709">
        <v>0</v>
      </c>
      <c r="S709">
        <v>1</v>
      </c>
      <c r="T709">
        <v>4500</v>
      </c>
    </row>
    <row r="710" spans="1:20">
      <c r="A710" t="s">
        <v>943</v>
      </c>
      <c r="B710" s="1">
        <v>45475</v>
      </c>
      <c r="C710">
        <v>27</v>
      </c>
      <c r="D710">
        <v>7</v>
      </c>
      <c r="E710" t="s">
        <v>938</v>
      </c>
      <c r="F710" t="s">
        <v>28</v>
      </c>
      <c r="G710" t="s">
        <v>26</v>
      </c>
      <c r="H710">
        <v>2</v>
      </c>
      <c r="I710">
        <v>1350</v>
      </c>
      <c r="J710">
        <v>10</v>
      </c>
      <c r="K710" t="s">
        <v>1939</v>
      </c>
      <c r="L710">
        <v>600</v>
      </c>
      <c r="M710">
        <v>2700</v>
      </c>
      <c r="N710">
        <v>1200</v>
      </c>
      <c r="O710">
        <v>1500</v>
      </c>
      <c r="P710">
        <v>0.55555555555555602</v>
      </c>
      <c r="Q710">
        <v>0</v>
      </c>
      <c r="R710">
        <v>0</v>
      </c>
      <c r="S710">
        <v>2</v>
      </c>
      <c r="T710">
        <v>2700</v>
      </c>
    </row>
    <row r="711" spans="1:20">
      <c r="A711" t="s">
        <v>944</v>
      </c>
      <c r="B711" s="1">
        <v>45475</v>
      </c>
      <c r="C711">
        <v>27</v>
      </c>
      <c r="D711">
        <v>7</v>
      </c>
      <c r="E711" t="s">
        <v>938</v>
      </c>
      <c r="F711" t="s">
        <v>115</v>
      </c>
      <c r="G711" t="s">
        <v>23</v>
      </c>
      <c r="H711">
        <v>2</v>
      </c>
      <c r="I711">
        <v>1080</v>
      </c>
      <c r="J711">
        <v>10</v>
      </c>
      <c r="K711" t="s">
        <v>1926</v>
      </c>
      <c r="L711">
        <v>600</v>
      </c>
      <c r="M711">
        <v>2160</v>
      </c>
      <c r="N711">
        <v>1200</v>
      </c>
      <c r="O711">
        <v>960</v>
      </c>
      <c r="P711">
        <v>0.44444444444444398</v>
      </c>
      <c r="Q711">
        <v>0</v>
      </c>
      <c r="R711">
        <v>0</v>
      </c>
      <c r="S711">
        <v>2</v>
      </c>
      <c r="T711">
        <v>2160</v>
      </c>
    </row>
    <row r="712" spans="1:20">
      <c r="A712" t="s">
        <v>945</v>
      </c>
      <c r="B712" s="1">
        <v>45476</v>
      </c>
      <c r="C712">
        <v>27</v>
      </c>
      <c r="D712">
        <v>7</v>
      </c>
      <c r="E712" t="s">
        <v>938</v>
      </c>
      <c r="F712" t="s">
        <v>42</v>
      </c>
      <c r="G712" t="s">
        <v>23</v>
      </c>
      <c r="H712">
        <v>2</v>
      </c>
      <c r="I712">
        <v>600</v>
      </c>
      <c r="J712">
        <v>0</v>
      </c>
      <c r="K712" t="s">
        <v>1928</v>
      </c>
      <c r="L712">
        <v>300</v>
      </c>
      <c r="M712">
        <v>1200</v>
      </c>
      <c r="N712">
        <v>600</v>
      </c>
      <c r="O712">
        <v>600</v>
      </c>
      <c r="P712">
        <v>0.5</v>
      </c>
      <c r="Q712">
        <v>0</v>
      </c>
      <c r="R712">
        <v>0</v>
      </c>
      <c r="S712">
        <v>2</v>
      </c>
      <c r="T712">
        <v>1200</v>
      </c>
    </row>
    <row r="713" spans="1:20">
      <c r="A713" t="s">
        <v>947</v>
      </c>
      <c r="B713" s="1">
        <v>45476</v>
      </c>
      <c r="C713">
        <v>27</v>
      </c>
      <c r="D713">
        <v>7</v>
      </c>
      <c r="E713" t="s">
        <v>938</v>
      </c>
      <c r="F713" t="s">
        <v>31</v>
      </c>
      <c r="G713" t="s">
        <v>23</v>
      </c>
      <c r="H713">
        <v>2</v>
      </c>
      <c r="I713">
        <v>1330</v>
      </c>
      <c r="J713">
        <v>5</v>
      </c>
      <c r="K713" t="s">
        <v>1930</v>
      </c>
      <c r="L713">
        <v>700</v>
      </c>
      <c r="M713">
        <v>2660</v>
      </c>
      <c r="N713">
        <v>1400</v>
      </c>
      <c r="O713">
        <v>1260</v>
      </c>
      <c r="P713">
        <v>0.47368421052631599</v>
      </c>
      <c r="Q713">
        <v>0</v>
      </c>
      <c r="R713">
        <v>0</v>
      </c>
      <c r="S713">
        <v>2</v>
      </c>
      <c r="T713">
        <v>2660</v>
      </c>
    </row>
    <row r="714" spans="1:20">
      <c r="A714" t="s">
        <v>948</v>
      </c>
      <c r="B714" s="1">
        <v>45476</v>
      </c>
      <c r="C714">
        <v>27</v>
      </c>
      <c r="D714">
        <v>7</v>
      </c>
      <c r="E714" t="s">
        <v>938</v>
      </c>
      <c r="F714" t="s">
        <v>187</v>
      </c>
      <c r="G714" t="s">
        <v>14</v>
      </c>
      <c r="H714">
        <v>3</v>
      </c>
      <c r="I714">
        <v>3960</v>
      </c>
      <c r="J714">
        <v>10</v>
      </c>
      <c r="K714" t="s">
        <v>1924</v>
      </c>
      <c r="L714">
        <v>2000</v>
      </c>
      <c r="M714">
        <v>11880</v>
      </c>
      <c r="N714">
        <v>6000</v>
      </c>
      <c r="O714">
        <v>5880</v>
      </c>
      <c r="P714">
        <v>0.49494949494949497</v>
      </c>
      <c r="Q714">
        <v>1</v>
      </c>
      <c r="R714">
        <v>1</v>
      </c>
      <c r="S714">
        <v>2</v>
      </c>
      <c r="T714">
        <v>7920</v>
      </c>
    </row>
    <row r="715" spans="1:20">
      <c r="A715" t="s">
        <v>949</v>
      </c>
      <c r="B715" s="1">
        <v>45477</v>
      </c>
      <c r="C715">
        <v>27</v>
      </c>
      <c r="D715">
        <v>7</v>
      </c>
      <c r="E715" t="s">
        <v>938</v>
      </c>
      <c r="F715" t="s">
        <v>369</v>
      </c>
      <c r="G715" t="s">
        <v>221</v>
      </c>
      <c r="H715">
        <v>2</v>
      </c>
      <c r="I715">
        <v>595</v>
      </c>
      <c r="J715">
        <v>15</v>
      </c>
      <c r="K715" t="s">
        <v>1949</v>
      </c>
      <c r="L715">
        <v>350</v>
      </c>
      <c r="M715">
        <v>1190</v>
      </c>
      <c r="N715">
        <v>700</v>
      </c>
      <c r="O715">
        <v>490</v>
      </c>
      <c r="P715">
        <v>0.41176470588235298</v>
      </c>
      <c r="Q715">
        <v>0</v>
      </c>
      <c r="R715">
        <v>0</v>
      </c>
      <c r="S715">
        <v>2</v>
      </c>
      <c r="T715">
        <v>1190</v>
      </c>
    </row>
    <row r="716" spans="1:20">
      <c r="A716" t="s">
        <v>951</v>
      </c>
      <c r="B716" s="1">
        <v>45477</v>
      </c>
      <c r="C716">
        <v>27</v>
      </c>
      <c r="D716">
        <v>7</v>
      </c>
      <c r="E716" t="s">
        <v>938</v>
      </c>
      <c r="F716" t="s">
        <v>19</v>
      </c>
      <c r="G716" t="s">
        <v>20</v>
      </c>
      <c r="H716">
        <v>5</v>
      </c>
      <c r="I716">
        <v>1620</v>
      </c>
      <c r="J716">
        <v>0</v>
      </c>
      <c r="K716" t="s">
        <v>1931</v>
      </c>
      <c r="L716">
        <v>900</v>
      </c>
      <c r="M716">
        <v>8100</v>
      </c>
      <c r="N716">
        <v>4500</v>
      </c>
      <c r="O716">
        <v>3600</v>
      </c>
      <c r="P716">
        <v>0.44444444444444398</v>
      </c>
      <c r="Q716">
        <v>0</v>
      </c>
      <c r="R716">
        <v>0</v>
      </c>
      <c r="S716">
        <v>5</v>
      </c>
      <c r="T716">
        <v>8100</v>
      </c>
    </row>
    <row r="717" spans="1:20">
      <c r="A717" t="s">
        <v>952</v>
      </c>
      <c r="B717" s="1">
        <v>45478</v>
      </c>
      <c r="C717">
        <v>27</v>
      </c>
      <c r="D717">
        <v>7</v>
      </c>
      <c r="E717" t="s">
        <v>938</v>
      </c>
      <c r="F717" t="s">
        <v>42</v>
      </c>
      <c r="G717" t="s">
        <v>23</v>
      </c>
      <c r="H717">
        <v>3</v>
      </c>
      <c r="I717">
        <v>600</v>
      </c>
      <c r="J717">
        <v>0</v>
      </c>
      <c r="K717" t="s">
        <v>1928</v>
      </c>
      <c r="L717">
        <v>300</v>
      </c>
      <c r="M717">
        <v>1800</v>
      </c>
      <c r="N717">
        <v>900</v>
      </c>
      <c r="O717">
        <v>900</v>
      </c>
      <c r="P717">
        <v>0.5</v>
      </c>
      <c r="Q717">
        <v>2</v>
      </c>
      <c r="R717">
        <v>2</v>
      </c>
      <c r="S717">
        <v>1</v>
      </c>
      <c r="T717">
        <v>600</v>
      </c>
    </row>
    <row r="718" spans="1:20">
      <c r="A718" t="s">
        <v>954</v>
      </c>
      <c r="B718" s="1">
        <v>45478</v>
      </c>
      <c r="C718">
        <v>27</v>
      </c>
      <c r="D718">
        <v>7</v>
      </c>
      <c r="E718" t="s">
        <v>938</v>
      </c>
      <c r="F718" t="s">
        <v>45</v>
      </c>
      <c r="G718" t="s">
        <v>26</v>
      </c>
      <c r="H718">
        <v>5</v>
      </c>
      <c r="I718">
        <v>4500</v>
      </c>
      <c r="J718">
        <v>0</v>
      </c>
      <c r="K718" t="s">
        <v>1938</v>
      </c>
      <c r="L718">
        <v>1800</v>
      </c>
      <c r="M718">
        <v>22500</v>
      </c>
      <c r="N718">
        <v>9000</v>
      </c>
      <c r="O718">
        <v>13500</v>
      </c>
      <c r="P718">
        <v>0.6</v>
      </c>
      <c r="Q718">
        <v>0</v>
      </c>
      <c r="R718">
        <v>0</v>
      </c>
      <c r="S718">
        <v>5</v>
      </c>
      <c r="T718">
        <v>22500</v>
      </c>
    </row>
    <row r="719" spans="1:20">
      <c r="A719" t="s">
        <v>955</v>
      </c>
      <c r="B719" s="1">
        <v>45478</v>
      </c>
      <c r="C719">
        <v>27</v>
      </c>
      <c r="D719">
        <v>7</v>
      </c>
      <c r="E719" t="s">
        <v>938</v>
      </c>
      <c r="F719" t="s">
        <v>22</v>
      </c>
      <c r="G719" t="s">
        <v>23</v>
      </c>
      <c r="H719">
        <v>3</v>
      </c>
      <c r="I719">
        <v>500</v>
      </c>
      <c r="J719">
        <v>0</v>
      </c>
      <c r="K719" t="s">
        <v>1929</v>
      </c>
      <c r="L719">
        <v>250</v>
      </c>
      <c r="M719">
        <v>1500</v>
      </c>
      <c r="N719">
        <v>750</v>
      </c>
      <c r="O719">
        <v>750</v>
      </c>
      <c r="P719">
        <v>0.5</v>
      </c>
      <c r="Q719">
        <v>0</v>
      </c>
      <c r="R719">
        <v>0</v>
      </c>
      <c r="S719">
        <v>3</v>
      </c>
      <c r="T719">
        <v>1500</v>
      </c>
    </row>
    <row r="720" spans="1:20">
      <c r="A720" t="s">
        <v>956</v>
      </c>
      <c r="B720" s="1">
        <v>45479</v>
      </c>
      <c r="C720">
        <v>27</v>
      </c>
      <c r="D720">
        <v>7</v>
      </c>
      <c r="E720" t="s">
        <v>938</v>
      </c>
      <c r="F720" t="s">
        <v>13</v>
      </c>
      <c r="G720" t="s">
        <v>14</v>
      </c>
      <c r="H720">
        <v>1</v>
      </c>
      <c r="I720">
        <v>480</v>
      </c>
      <c r="J720">
        <v>0</v>
      </c>
      <c r="K720" t="s">
        <v>1925</v>
      </c>
      <c r="L720">
        <v>220</v>
      </c>
      <c r="M720">
        <v>480</v>
      </c>
      <c r="N720">
        <v>220</v>
      </c>
      <c r="O720">
        <v>260</v>
      </c>
      <c r="P720">
        <v>0.54166666666666696</v>
      </c>
      <c r="Q720">
        <v>0</v>
      </c>
      <c r="R720">
        <v>0</v>
      </c>
      <c r="S720">
        <v>1</v>
      </c>
      <c r="T720">
        <v>480</v>
      </c>
    </row>
    <row r="721" spans="1:20">
      <c r="A721" t="s">
        <v>958</v>
      </c>
      <c r="B721" s="1">
        <v>45479</v>
      </c>
      <c r="C721">
        <v>27</v>
      </c>
      <c r="D721">
        <v>7</v>
      </c>
      <c r="E721" t="s">
        <v>938</v>
      </c>
      <c r="F721" t="s">
        <v>97</v>
      </c>
      <c r="G721" t="s">
        <v>20</v>
      </c>
      <c r="H721">
        <v>1</v>
      </c>
      <c r="I721">
        <v>1980</v>
      </c>
      <c r="J721">
        <v>0</v>
      </c>
      <c r="K721" t="s">
        <v>1932</v>
      </c>
      <c r="L721">
        <v>1100</v>
      </c>
      <c r="M721">
        <v>1980</v>
      </c>
      <c r="N721">
        <v>1100</v>
      </c>
      <c r="O721">
        <v>880</v>
      </c>
      <c r="P721">
        <v>0.44444444444444398</v>
      </c>
      <c r="Q721">
        <v>0</v>
      </c>
      <c r="R721">
        <v>0</v>
      </c>
      <c r="S721">
        <v>1</v>
      </c>
      <c r="T721">
        <v>1980</v>
      </c>
    </row>
    <row r="722" spans="1:20">
      <c r="A722" t="s">
        <v>959</v>
      </c>
      <c r="B722" s="1">
        <v>45480</v>
      </c>
      <c r="C722">
        <v>27</v>
      </c>
      <c r="D722">
        <v>7</v>
      </c>
      <c r="E722" t="s">
        <v>938</v>
      </c>
      <c r="F722" t="s">
        <v>97</v>
      </c>
      <c r="G722" t="s">
        <v>20</v>
      </c>
      <c r="H722">
        <v>2</v>
      </c>
      <c r="I722">
        <v>1881</v>
      </c>
      <c r="J722">
        <v>5</v>
      </c>
      <c r="K722" t="s">
        <v>1932</v>
      </c>
      <c r="L722">
        <v>1100</v>
      </c>
      <c r="M722">
        <v>3762</v>
      </c>
      <c r="N722">
        <v>2200</v>
      </c>
      <c r="O722">
        <v>1562</v>
      </c>
      <c r="P722">
        <v>0.41520467836257302</v>
      </c>
      <c r="Q722">
        <v>0</v>
      </c>
      <c r="R722">
        <v>0</v>
      </c>
      <c r="S722">
        <v>2</v>
      </c>
      <c r="T722">
        <v>3762</v>
      </c>
    </row>
    <row r="723" spans="1:20">
      <c r="A723" t="s">
        <v>961</v>
      </c>
      <c r="B723" s="1">
        <v>45480</v>
      </c>
      <c r="C723">
        <v>27</v>
      </c>
      <c r="D723">
        <v>7</v>
      </c>
      <c r="E723" t="s">
        <v>938</v>
      </c>
      <c r="F723" t="s">
        <v>22</v>
      </c>
      <c r="G723" t="s">
        <v>23</v>
      </c>
      <c r="H723">
        <v>1</v>
      </c>
      <c r="I723">
        <v>450</v>
      </c>
      <c r="J723">
        <v>10</v>
      </c>
      <c r="K723" t="s">
        <v>1929</v>
      </c>
      <c r="L723">
        <v>250</v>
      </c>
      <c r="M723">
        <v>450</v>
      </c>
      <c r="N723">
        <v>250</v>
      </c>
      <c r="O723">
        <v>200</v>
      </c>
      <c r="P723">
        <v>0.44444444444444398</v>
      </c>
      <c r="Q723">
        <v>0</v>
      </c>
      <c r="R723">
        <v>0</v>
      </c>
      <c r="S723">
        <v>1</v>
      </c>
      <c r="T723">
        <v>450</v>
      </c>
    </row>
    <row r="724" spans="1:20">
      <c r="A724" t="s">
        <v>962</v>
      </c>
      <c r="B724" s="1">
        <v>45480</v>
      </c>
      <c r="C724">
        <v>27</v>
      </c>
      <c r="D724">
        <v>7</v>
      </c>
      <c r="E724" t="s">
        <v>938</v>
      </c>
      <c r="F724" t="s">
        <v>19</v>
      </c>
      <c r="G724" t="s">
        <v>20</v>
      </c>
      <c r="H724">
        <v>4</v>
      </c>
      <c r="I724">
        <v>1620</v>
      </c>
      <c r="J724">
        <v>0</v>
      </c>
      <c r="K724" t="s">
        <v>1931</v>
      </c>
      <c r="L724">
        <v>900</v>
      </c>
      <c r="M724">
        <v>6480</v>
      </c>
      <c r="N724">
        <v>3600</v>
      </c>
      <c r="O724">
        <v>2880</v>
      </c>
      <c r="P724">
        <v>0.44444444444444398</v>
      </c>
      <c r="Q724">
        <v>0</v>
      </c>
      <c r="R724">
        <v>0</v>
      </c>
      <c r="S724">
        <v>4</v>
      </c>
      <c r="T724">
        <v>6480</v>
      </c>
    </row>
    <row r="725" spans="1:20">
      <c r="A725" t="s">
        <v>963</v>
      </c>
      <c r="B725" s="1">
        <v>45481</v>
      </c>
      <c r="C725">
        <v>28</v>
      </c>
      <c r="D725">
        <v>7</v>
      </c>
      <c r="E725" t="s">
        <v>938</v>
      </c>
      <c r="F725" t="s">
        <v>66</v>
      </c>
      <c r="G725" t="s">
        <v>17</v>
      </c>
      <c r="H725">
        <v>2</v>
      </c>
      <c r="I725">
        <v>1249.5</v>
      </c>
      <c r="J725">
        <v>15</v>
      </c>
      <c r="K725" t="s">
        <v>1941</v>
      </c>
      <c r="L725">
        <v>700</v>
      </c>
      <c r="M725">
        <v>2499</v>
      </c>
      <c r="N725">
        <v>1400</v>
      </c>
      <c r="O725">
        <v>1099</v>
      </c>
      <c r="P725">
        <v>0.43977591036414598</v>
      </c>
      <c r="Q725">
        <v>0</v>
      </c>
      <c r="R725">
        <v>0</v>
      </c>
      <c r="S725">
        <v>2</v>
      </c>
      <c r="T725">
        <v>2499</v>
      </c>
    </row>
    <row r="726" spans="1:20">
      <c r="A726" t="s">
        <v>965</v>
      </c>
      <c r="B726" s="1">
        <v>45481</v>
      </c>
      <c r="C726">
        <v>28</v>
      </c>
      <c r="D726">
        <v>7</v>
      </c>
      <c r="E726" t="s">
        <v>938</v>
      </c>
      <c r="F726" t="s">
        <v>97</v>
      </c>
      <c r="G726" t="s">
        <v>20</v>
      </c>
      <c r="H726">
        <v>3</v>
      </c>
      <c r="I726">
        <v>1881</v>
      </c>
      <c r="J726">
        <v>5</v>
      </c>
      <c r="K726" t="s">
        <v>1932</v>
      </c>
      <c r="L726">
        <v>1100</v>
      </c>
      <c r="M726">
        <v>5643</v>
      </c>
      <c r="N726">
        <v>3300</v>
      </c>
      <c r="O726">
        <v>2343</v>
      </c>
      <c r="P726">
        <v>0.41520467836257302</v>
      </c>
      <c r="Q726">
        <v>0</v>
      </c>
      <c r="R726">
        <v>0</v>
      </c>
      <c r="S726">
        <v>3</v>
      </c>
      <c r="T726">
        <v>5643</v>
      </c>
    </row>
    <row r="727" spans="1:20">
      <c r="A727" t="s">
        <v>966</v>
      </c>
      <c r="B727" s="1">
        <v>45481</v>
      </c>
      <c r="C727">
        <v>28</v>
      </c>
      <c r="D727">
        <v>7</v>
      </c>
      <c r="E727" t="s">
        <v>938</v>
      </c>
      <c r="F727" t="s">
        <v>51</v>
      </c>
      <c r="G727" t="s">
        <v>26</v>
      </c>
      <c r="H727">
        <v>1</v>
      </c>
      <c r="I727">
        <v>425</v>
      </c>
      <c r="J727">
        <v>15</v>
      </c>
      <c r="K727" t="s">
        <v>1936</v>
      </c>
      <c r="L727">
        <v>200</v>
      </c>
      <c r="M727">
        <v>425</v>
      </c>
      <c r="N727">
        <v>200</v>
      </c>
      <c r="O727">
        <v>225</v>
      </c>
      <c r="P727">
        <v>0.52941176470588203</v>
      </c>
      <c r="Q727">
        <v>0</v>
      </c>
      <c r="R727">
        <v>0</v>
      </c>
      <c r="S727">
        <v>1</v>
      </c>
      <c r="T727">
        <v>425</v>
      </c>
    </row>
    <row r="728" spans="1:20">
      <c r="A728" t="s">
        <v>967</v>
      </c>
      <c r="B728" s="1">
        <v>45482</v>
      </c>
      <c r="C728">
        <v>28</v>
      </c>
      <c r="D728">
        <v>7</v>
      </c>
      <c r="E728" t="s">
        <v>938</v>
      </c>
      <c r="F728" t="s">
        <v>19</v>
      </c>
      <c r="G728" t="s">
        <v>20</v>
      </c>
      <c r="H728">
        <v>5</v>
      </c>
      <c r="I728">
        <v>1539</v>
      </c>
      <c r="J728">
        <v>5</v>
      </c>
      <c r="K728" t="s">
        <v>1931</v>
      </c>
      <c r="L728">
        <v>900</v>
      </c>
      <c r="M728">
        <v>7695</v>
      </c>
      <c r="N728">
        <v>4500</v>
      </c>
      <c r="O728">
        <v>3195</v>
      </c>
      <c r="P728">
        <v>0.41520467836257302</v>
      </c>
      <c r="Q728">
        <v>0</v>
      </c>
      <c r="R728">
        <v>0</v>
      </c>
      <c r="S728">
        <v>5</v>
      </c>
      <c r="T728">
        <v>7695</v>
      </c>
    </row>
    <row r="729" spans="1:20">
      <c r="A729" t="s">
        <v>969</v>
      </c>
      <c r="B729" s="1">
        <v>45482</v>
      </c>
      <c r="C729">
        <v>28</v>
      </c>
      <c r="D729">
        <v>7</v>
      </c>
      <c r="E729" t="s">
        <v>938</v>
      </c>
      <c r="F729" t="s">
        <v>187</v>
      </c>
      <c r="G729" t="s">
        <v>14</v>
      </c>
      <c r="H729">
        <v>2</v>
      </c>
      <c r="I729">
        <v>4180</v>
      </c>
      <c r="J729">
        <v>5</v>
      </c>
      <c r="K729" t="s">
        <v>1924</v>
      </c>
      <c r="L729">
        <v>2000</v>
      </c>
      <c r="M729">
        <v>8360</v>
      </c>
      <c r="N729">
        <v>4000</v>
      </c>
      <c r="O729">
        <v>4360</v>
      </c>
      <c r="P729">
        <v>0.52153110047846896</v>
      </c>
      <c r="Q729">
        <v>0</v>
      </c>
      <c r="R729">
        <v>0</v>
      </c>
      <c r="S729">
        <v>2</v>
      </c>
      <c r="T729">
        <v>8360</v>
      </c>
    </row>
    <row r="730" spans="1:20">
      <c r="A730" t="s">
        <v>970</v>
      </c>
      <c r="B730" s="1">
        <v>45482</v>
      </c>
      <c r="C730">
        <v>28</v>
      </c>
      <c r="D730">
        <v>7</v>
      </c>
      <c r="E730" t="s">
        <v>938</v>
      </c>
      <c r="F730" t="s">
        <v>51</v>
      </c>
      <c r="G730" t="s">
        <v>26</v>
      </c>
      <c r="H730">
        <v>5</v>
      </c>
      <c r="I730">
        <v>425</v>
      </c>
      <c r="J730">
        <v>15</v>
      </c>
      <c r="K730" t="s">
        <v>1936</v>
      </c>
      <c r="L730">
        <v>200</v>
      </c>
      <c r="M730">
        <v>2125</v>
      </c>
      <c r="N730">
        <v>1000</v>
      </c>
      <c r="O730">
        <v>1125</v>
      </c>
      <c r="P730">
        <v>0.52941176470588203</v>
      </c>
      <c r="Q730">
        <v>0</v>
      </c>
      <c r="R730">
        <v>0</v>
      </c>
      <c r="S730">
        <v>5</v>
      </c>
      <c r="T730">
        <v>2125</v>
      </c>
    </row>
    <row r="731" spans="1:20">
      <c r="A731" t="s">
        <v>971</v>
      </c>
      <c r="B731" s="1">
        <v>45482</v>
      </c>
      <c r="C731">
        <v>28</v>
      </c>
      <c r="D731">
        <v>7</v>
      </c>
      <c r="E731" t="s">
        <v>938</v>
      </c>
      <c r="F731" t="s">
        <v>31</v>
      </c>
      <c r="G731" t="s">
        <v>23</v>
      </c>
      <c r="H731">
        <v>3</v>
      </c>
      <c r="I731">
        <v>1190</v>
      </c>
      <c r="J731">
        <v>15</v>
      </c>
      <c r="K731" t="s">
        <v>1930</v>
      </c>
      <c r="L731">
        <v>700</v>
      </c>
      <c r="M731">
        <v>3570</v>
      </c>
      <c r="N731">
        <v>2100</v>
      </c>
      <c r="O731">
        <v>1470</v>
      </c>
      <c r="P731">
        <v>0.41176470588235298</v>
      </c>
      <c r="Q731">
        <v>0</v>
      </c>
      <c r="R731">
        <v>0</v>
      </c>
      <c r="S731">
        <v>3</v>
      </c>
      <c r="T731">
        <v>3570</v>
      </c>
    </row>
    <row r="732" spans="1:20">
      <c r="A732" t="s">
        <v>972</v>
      </c>
      <c r="B732" s="1">
        <v>45483</v>
      </c>
      <c r="C732">
        <v>28</v>
      </c>
      <c r="D732">
        <v>7</v>
      </c>
      <c r="E732" t="s">
        <v>938</v>
      </c>
      <c r="F732" t="s">
        <v>25</v>
      </c>
      <c r="G732" t="s">
        <v>26</v>
      </c>
      <c r="H732">
        <v>2</v>
      </c>
      <c r="I732">
        <v>850</v>
      </c>
      <c r="J732">
        <v>15</v>
      </c>
      <c r="K732" t="s">
        <v>1940</v>
      </c>
      <c r="L732">
        <v>400</v>
      </c>
      <c r="M732">
        <v>1700</v>
      </c>
      <c r="N732">
        <v>800</v>
      </c>
      <c r="O732">
        <v>900</v>
      </c>
      <c r="P732">
        <v>0.52941176470588203</v>
      </c>
      <c r="Q732">
        <v>0</v>
      </c>
      <c r="R732">
        <v>0</v>
      </c>
      <c r="S732">
        <v>2</v>
      </c>
      <c r="T732">
        <v>1700</v>
      </c>
    </row>
    <row r="733" spans="1:20">
      <c r="A733" t="s">
        <v>974</v>
      </c>
      <c r="B733" s="1">
        <v>45483</v>
      </c>
      <c r="C733">
        <v>28</v>
      </c>
      <c r="D733">
        <v>7</v>
      </c>
      <c r="E733" t="s">
        <v>938</v>
      </c>
      <c r="F733" t="s">
        <v>45</v>
      </c>
      <c r="G733" t="s">
        <v>26</v>
      </c>
      <c r="H733">
        <v>2</v>
      </c>
      <c r="I733">
        <v>4500</v>
      </c>
      <c r="J733">
        <v>0</v>
      </c>
      <c r="K733" t="s">
        <v>1938</v>
      </c>
      <c r="L733">
        <v>1800</v>
      </c>
      <c r="M733">
        <v>9000</v>
      </c>
      <c r="N733">
        <v>3600</v>
      </c>
      <c r="O733">
        <v>5400</v>
      </c>
      <c r="P733">
        <v>0.6</v>
      </c>
      <c r="Q733">
        <v>0</v>
      </c>
      <c r="R733">
        <v>0</v>
      </c>
      <c r="S733">
        <v>2</v>
      </c>
      <c r="T733">
        <v>9000</v>
      </c>
    </row>
    <row r="734" spans="1:20">
      <c r="A734" t="s">
        <v>975</v>
      </c>
      <c r="B734" s="1">
        <v>45483</v>
      </c>
      <c r="C734">
        <v>28</v>
      </c>
      <c r="D734">
        <v>7</v>
      </c>
      <c r="E734" t="s">
        <v>938</v>
      </c>
      <c r="F734" t="s">
        <v>369</v>
      </c>
      <c r="G734" t="s">
        <v>221</v>
      </c>
      <c r="H734">
        <v>2</v>
      </c>
      <c r="I734">
        <v>700</v>
      </c>
      <c r="J734">
        <v>0</v>
      </c>
      <c r="K734" t="s">
        <v>1949</v>
      </c>
      <c r="L734">
        <v>350</v>
      </c>
      <c r="M734">
        <v>1400</v>
      </c>
      <c r="N734">
        <v>700</v>
      </c>
      <c r="O734">
        <v>700</v>
      </c>
      <c r="P734">
        <v>0.5</v>
      </c>
      <c r="Q734">
        <v>0</v>
      </c>
      <c r="R734">
        <v>0</v>
      </c>
      <c r="S734">
        <v>2</v>
      </c>
      <c r="T734">
        <v>1400</v>
      </c>
    </row>
    <row r="735" spans="1:20">
      <c r="A735" t="s">
        <v>976</v>
      </c>
      <c r="B735" s="1">
        <v>45483</v>
      </c>
      <c r="C735">
        <v>28</v>
      </c>
      <c r="D735">
        <v>7</v>
      </c>
      <c r="E735" t="s">
        <v>938</v>
      </c>
      <c r="F735" t="s">
        <v>19</v>
      </c>
      <c r="G735" t="s">
        <v>20</v>
      </c>
      <c r="H735">
        <v>3</v>
      </c>
      <c r="I735">
        <v>1539</v>
      </c>
      <c r="J735">
        <v>5</v>
      </c>
      <c r="K735" t="s">
        <v>1931</v>
      </c>
      <c r="L735">
        <v>900</v>
      </c>
      <c r="M735">
        <v>4617</v>
      </c>
      <c r="N735">
        <v>2700</v>
      </c>
      <c r="O735">
        <v>1917</v>
      </c>
      <c r="P735">
        <v>0.41520467836257302</v>
      </c>
      <c r="Q735">
        <v>0</v>
      </c>
      <c r="R735">
        <v>0</v>
      </c>
      <c r="S735">
        <v>3</v>
      </c>
      <c r="T735">
        <v>4617</v>
      </c>
    </row>
    <row r="736" spans="1:20">
      <c r="A736" t="s">
        <v>977</v>
      </c>
      <c r="B736" s="1">
        <v>45484</v>
      </c>
      <c r="C736">
        <v>28</v>
      </c>
      <c r="D736">
        <v>7</v>
      </c>
      <c r="E736" t="s">
        <v>938</v>
      </c>
      <c r="F736" t="s">
        <v>82</v>
      </c>
      <c r="G736" t="s">
        <v>20</v>
      </c>
      <c r="H736">
        <v>1</v>
      </c>
      <c r="I736">
        <v>765</v>
      </c>
      <c r="J736">
        <v>15</v>
      </c>
      <c r="K736" t="s">
        <v>1933</v>
      </c>
      <c r="L736">
        <v>500</v>
      </c>
      <c r="M736">
        <v>765</v>
      </c>
      <c r="N736">
        <v>500</v>
      </c>
      <c r="O736">
        <v>265</v>
      </c>
      <c r="P736">
        <v>0.34640522875816998</v>
      </c>
      <c r="Q736">
        <v>0</v>
      </c>
      <c r="R736">
        <v>0</v>
      </c>
      <c r="S736">
        <v>1</v>
      </c>
      <c r="T736">
        <v>765</v>
      </c>
    </row>
    <row r="737" spans="1:20">
      <c r="A737" t="s">
        <v>979</v>
      </c>
      <c r="B737" s="1">
        <v>45485</v>
      </c>
      <c r="C737">
        <v>28</v>
      </c>
      <c r="D737">
        <v>7</v>
      </c>
      <c r="E737" t="s">
        <v>938</v>
      </c>
      <c r="F737" t="s">
        <v>187</v>
      </c>
      <c r="G737" t="s">
        <v>14</v>
      </c>
      <c r="H737">
        <v>4</v>
      </c>
      <c r="I737">
        <v>3740</v>
      </c>
      <c r="J737">
        <v>15</v>
      </c>
      <c r="K737" t="s">
        <v>1924</v>
      </c>
      <c r="L737">
        <v>2000</v>
      </c>
      <c r="M737">
        <v>14960</v>
      </c>
      <c r="N737">
        <v>8000</v>
      </c>
      <c r="O737">
        <v>6960</v>
      </c>
      <c r="P737">
        <v>0.46524064171122997</v>
      </c>
      <c r="Q737">
        <v>0</v>
      </c>
      <c r="R737">
        <v>0</v>
      </c>
      <c r="S737">
        <v>4</v>
      </c>
      <c r="T737">
        <v>14960</v>
      </c>
    </row>
    <row r="738" spans="1:20">
      <c r="A738" t="s">
        <v>981</v>
      </c>
      <c r="B738" s="1">
        <v>45485</v>
      </c>
      <c r="C738">
        <v>28</v>
      </c>
      <c r="D738">
        <v>7</v>
      </c>
      <c r="E738" t="s">
        <v>938</v>
      </c>
      <c r="F738" t="s">
        <v>364</v>
      </c>
      <c r="G738" t="s">
        <v>221</v>
      </c>
      <c r="H738">
        <v>2</v>
      </c>
      <c r="I738">
        <v>864</v>
      </c>
      <c r="J738">
        <v>10</v>
      </c>
      <c r="K738" t="s">
        <v>1946</v>
      </c>
      <c r="L738">
        <v>480</v>
      </c>
      <c r="M738">
        <v>1728</v>
      </c>
      <c r="N738">
        <v>960</v>
      </c>
      <c r="O738">
        <v>768</v>
      </c>
      <c r="P738">
        <v>0.44444444444444398</v>
      </c>
      <c r="Q738">
        <v>1</v>
      </c>
      <c r="R738">
        <v>1</v>
      </c>
      <c r="S738">
        <v>1</v>
      </c>
      <c r="T738">
        <v>864</v>
      </c>
    </row>
    <row r="739" spans="1:20">
      <c r="A739" t="s">
        <v>982</v>
      </c>
      <c r="B739" s="1">
        <v>45485</v>
      </c>
      <c r="C739">
        <v>28</v>
      </c>
      <c r="D739">
        <v>7</v>
      </c>
      <c r="E739" t="s">
        <v>938</v>
      </c>
      <c r="F739" t="s">
        <v>37</v>
      </c>
      <c r="G739" t="s">
        <v>20</v>
      </c>
      <c r="H739">
        <v>4</v>
      </c>
      <c r="I739">
        <v>2223</v>
      </c>
      <c r="J739">
        <v>5</v>
      </c>
      <c r="K739" t="s">
        <v>1935</v>
      </c>
      <c r="L739">
        <v>1300</v>
      </c>
      <c r="M739">
        <v>8892</v>
      </c>
      <c r="N739">
        <v>5200</v>
      </c>
      <c r="O739">
        <v>3692</v>
      </c>
      <c r="P739">
        <v>0.41520467836257302</v>
      </c>
      <c r="Q739">
        <v>0</v>
      </c>
      <c r="R739">
        <v>0</v>
      </c>
      <c r="S739">
        <v>4</v>
      </c>
      <c r="T739">
        <v>8892</v>
      </c>
    </row>
    <row r="740" spans="1:20">
      <c r="A740" t="s">
        <v>983</v>
      </c>
      <c r="B740" s="1">
        <v>45486</v>
      </c>
      <c r="C740">
        <v>28</v>
      </c>
      <c r="D740">
        <v>7</v>
      </c>
      <c r="E740" t="s">
        <v>938</v>
      </c>
      <c r="F740" t="s">
        <v>31</v>
      </c>
      <c r="G740" t="s">
        <v>23</v>
      </c>
      <c r="H740">
        <v>4</v>
      </c>
      <c r="I740">
        <v>1260</v>
      </c>
      <c r="J740">
        <v>10</v>
      </c>
      <c r="K740" t="s">
        <v>1930</v>
      </c>
      <c r="L740">
        <v>700</v>
      </c>
      <c r="M740">
        <v>5040</v>
      </c>
      <c r="N740">
        <v>2800</v>
      </c>
      <c r="O740">
        <v>2240</v>
      </c>
      <c r="P740">
        <v>0.44444444444444398</v>
      </c>
      <c r="Q740">
        <v>0</v>
      </c>
      <c r="R740">
        <v>0</v>
      </c>
      <c r="S740">
        <v>4</v>
      </c>
      <c r="T740">
        <v>5040</v>
      </c>
    </row>
    <row r="741" spans="1:20">
      <c r="A741" t="s">
        <v>985</v>
      </c>
      <c r="B741" s="1">
        <v>45486</v>
      </c>
      <c r="C741">
        <v>28</v>
      </c>
      <c r="D741">
        <v>7</v>
      </c>
      <c r="E741" t="s">
        <v>938</v>
      </c>
      <c r="F741" t="s">
        <v>22</v>
      </c>
      <c r="G741" t="s">
        <v>23</v>
      </c>
      <c r="H741">
        <v>2</v>
      </c>
      <c r="I741">
        <v>500</v>
      </c>
      <c r="J741">
        <v>0</v>
      </c>
      <c r="K741" t="s">
        <v>1929</v>
      </c>
      <c r="L741">
        <v>250</v>
      </c>
      <c r="M741">
        <v>1000</v>
      </c>
      <c r="N741">
        <v>500</v>
      </c>
      <c r="O741">
        <v>500</v>
      </c>
      <c r="P741">
        <v>0.5</v>
      </c>
      <c r="Q741">
        <v>0</v>
      </c>
      <c r="R741">
        <v>0</v>
      </c>
      <c r="S741">
        <v>2</v>
      </c>
      <c r="T741">
        <v>1000</v>
      </c>
    </row>
    <row r="742" spans="1:20">
      <c r="A742" t="s">
        <v>986</v>
      </c>
      <c r="B742" s="1">
        <v>45486</v>
      </c>
      <c r="C742">
        <v>28</v>
      </c>
      <c r="D742">
        <v>7</v>
      </c>
      <c r="E742" t="s">
        <v>938</v>
      </c>
      <c r="F742" t="s">
        <v>39</v>
      </c>
      <c r="G742" t="s">
        <v>14</v>
      </c>
      <c r="H742">
        <v>3</v>
      </c>
      <c r="I742">
        <v>880</v>
      </c>
      <c r="J742">
        <v>0</v>
      </c>
      <c r="K742" t="s">
        <v>1921</v>
      </c>
      <c r="L742">
        <v>400</v>
      </c>
      <c r="M742">
        <v>2640</v>
      </c>
      <c r="N742">
        <v>1200</v>
      </c>
      <c r="O742">
        <v>1440</v>
      </c>
      <c r="P742">
        <v>0.54545454545454497</v>
      </c>
      <c r="Q742">
        <v>0</v>
      </c>
      <c r="R742">
        <v>0</v>
      </c>
      <c r="S742">
        <v>3</v>
      </c>
      <c r="T742">
        <v>2640</v>
      </c>
    </row>
    <row r="743" spans="1:20">
      <c r="A743" t="s">
        <v>987</v>
      </c>
      <c r="B743" s="1">
        <v>45487</v>
      </c>
      <c r="C743">
        <v>28</v>
      </c>
      <c r="D743">
        <v>7</v>
      </c>
      <c r="E743" t="s">
        <v>938</v>
      </c>
      <c r="F743" t="s">
        <v>364</v>
      </c>
      <c r="G743" t="s">
        <v>221</v>
      </c>
      <c r="H743">
        <v>4</v>
      </c>
      <c r="I743">
        <v>960</v>
      </c>
      <c r="J743">
        <v>0</v>
      </c>
      <c r="K743" t="s">
        <v>1946</v>
      </c>
      <c r="L743">
        <v>480</v>
      </c>
      <c r="M743">
        <v>3840</v>
      </c>
      <c r="N743">
        <v>1920</v>
      </c>
      <c r="O743">
        <v>1920</v>
      </c>
      <c r="P743">
        <v>0.5</v>
      </c>
      <c r="Q743">
        <v>4</v>
      </c>
      <c r="R743">
        <v>4</v>
      </c>
      <c r="S743">
        <v>0</v>
      </c>
      <c r="T743">
        <v>0</v>
      </c>
    </row>
    <row r="744" spans="1:20">
      <c r="A744" t="s">
        <v>989</v>
      </c>
      <c r="B744" s="1">
        <v>45488</v>
      </c>
      <c r="C744">
        <v>29</v>
      </c>
      <c r="D744">
        <v>7</v>
      </c>
      <c r="E744" t="s">
        <v>938</v>
      </c>
      <c r="F744" t="s">
        <v>16</v>
      </c>
      <c r="G744" t="s">
        <v>17</v>
      </c>
      <c r="H744">
        <v>1</v>
      </c>
      <c r="I744">
        <v>520</v>
      </c>
      <c r="J744">
        <v>0</v>
      </c>
      <c r="K744" t="s">
        <v>1945</v>
      </c>
      <c r="L744">
        <v>250</v>
      </c>
      <c r="M744">
        <v>520</v>
      </c>
      <c r="N744">
        <v>250</v>
      </c>
      <c r="O744">
        <v>270</v>
      </c>
      <c r="P744">
        <v>0.51923076923076905</v>
      </c>
      <c r="Q744">
        <v>0</v>
      </c>
      <c r="R744">
        <v>0</v>
      </c>
      <c r="S744">
        <v>1</v>
      </c>
      <c r="T744">
        <v>520</v>
      </c>
    </row>
    <row r="745" spans="1:20">
      <c r="A745" t="s">
        <v>991</v>
      </c>
      <c r="B745" s="1">
        <v>45488</v>
      </c>
      <c r="C745">
        <v>29</v>
      </c>
      <c r="D745">
        <v>7</v>
      </c>
      <c r="E745" t="s">
        <v>938</v>
      </c>
      <c r="F745" t="s">
        <v>25</v>
      </c>
      <c r="G745" t="s">
        <v>26</v>
      </c>
      <c r="H745">
        <v>2</v>
      </c>
      <c r="I745">
        <v>1000</v>
      </c>
      <c r="J745">
        <v>0</v>
      </c>
      <c r="K745" t="s">
        <v>1940</v>
      </c>
      <c r="L745">
        <v>400</v>
      </c>
      <c r="M745">
        <v>2000</v>
      </c>
      <c r="N745">
        <v>800</v>
      </c>
      <c r="O745">
        <v>1200</v>
      </c>
      <c r="P745">
        <v>0.6</v>
      </c>
      <c r="Q745">
        <v>0</v>
      </c>
      <c r="R745">
        <v>0</v>
      </c>
      <c r="S745">
        <v>2</v>
      </c>
      <c r="T745">
        <v>2000</v>
      </c>
    </row>
    <row r="746" spans="1:20">
      <c r="A746" t="s">
        <v>992</v>
      </c>
      <c r="B746" s="1">
        <v>45488</v>
      </c>
      <c r="C746">
        <v>29</v>
      </c>
      <c r="D746">
        <v>7</v>
      </c>
      <c r="E746" t="s">
        <v>938</v>
      </c>
      <c r="F746" t="s">
        <v>25</v>
      </c>
      <c r="G746" t="s">
        <v>26</v>
      </c>
      <c r="H746">
        <v>3</v>
      </c>
      <c r="I746">
        <v>850</v>
      </c>
      <c r="J746">
        <v>15</v>
      </c>
      <c r="K746" t="s">
        <v>1940</v>
      </c>
      <c r="L746">
        <v>400</v>
      </c>
      <c r="M746">
        <v>2550</v>
      </c>
      <c r="N746">
        <v>1200</v>
      </c>
      <c r="O746">
        <v>1350</v>
      </c>
      <c r="P746">
        <v>0.52941176470588203</v>
      </c>
      <c r="Q746">
        <v>0</v>
      </c>
      <c r="R746">
        <v>0</v>
      </c>
      <c r="S746">
        <v>3</v>
      </c>
      <c r="T746">
        <v>2550</v>
      </c>
    </row>
    <row r="747" spans="1:20">
      <c r="A747" t="s">
        <v>993</v>
      </c>
      <c r="B747" s="1">
        <v>45488</v>
      </c>
      <c r="C747">
        <v>29</v>
      </c>
      <c r="D747">
        <v>7</v>
      </c>
      <c r="E747" t="s">
        <v>938</v>
      </c>
      <c r="F747" t="s">
        <v>22</v>
      </c>
      <c r="G747" t="s">
        <v>23</v>
      </c>
      <c r="H747">
        <v>4</v>
      </c>
      <c r="I747">
        <v>500</v>
      </c>
      <c r="J747">
        <v>0</v>
      </c>
      <c r="K747" t="s">
        <v>1929</v>
      </c>
      <c r="L747">
        <v>250</v>
      </c>
      <c r="M747">
        <v>2000</v>
      </c>
      <c r="N747">
        <v>1000</v>
      </c>
      <c r="O747">
        <v>1000</v>
      </c>
      <c r="P747">
        <v>0.5</v>
      </c>
      <c r="Q747">
        <v>0</v>
      </c>
      <c r="R747">
        <v>0</v>
      </c>
      <c r="S747">
        <v>4</v>
      </c>
      <c r="T747">
        <v>2000</v>
      </c>
    </row>
    <row r="748" spans="1:20">
      <c r="A748" t="s">
        <v>994</v>
      </c>
      <c r="B748" s="1">
        <v>45490</v>
      </c>
      <c r="C748">
        <v>29</v>
      </c>
      <c r="D748">
        <v>7</v>
      </c>
      <c r="E748" t="s">
        <v>938</v>
      </c>
      <c r="F748" t="s">
        <v>64</v>
      </c>
      <c r="G748" t="s">
        <v>14</v>
      </c>
      <c r="H748">
        <v>5</v>
      </c>
      <c r="I748">
        <v>2376</v>
      </c>
      <c r="J748">
        <v>10</v>
      </c>
      <c r="K748" t="s">
        <v>1923</v>
      </c>
      <c r="L748">
        <v>1200</v>
      </c>
      <c r="M748">
        <v>11880</v>
      </c>
      <c r="N748">
        <v>6000</v>
      </c>
      <c r="O748">
        <v>5880</v>
      </c>
      <c r="P748">
        <v>0.49494949494949497</v>
      </c>
      <c r="Q748">
        <v>0</v>
      </c>
      <c r="R748">
        <v>0</v>
      </c>
      <c r="S748">
        <v>5</v>
      </c>
      <c r="T748">
        <v>11880</v>
      </c>
    </row>
    <row r="749" spans="1:20">
      <c r="A749" t="s">
        <v>996</v>
      </c>
      <c r="B749" s="1">
        <v>45490</v>
      </c>
      <c r="C749">
        <v>29</v>
      </c>
      <c r="D749">
        <v>7</v>
      </c>
      <c r="E749" t="s">
        <v>938</v>
      </c>
      <c r="F749" t="s">
        <v>97</v>
      </c>
      <c r="G749" t="s">
        <v>20</v>
      </c>
      <c r="H749">
        <v>3</v>
      </c>
      <c r="I749">
        <v>1881</v>
      </c>
      <c r="J749">
        <v>5</v>
      </c>
      <c r="K749" t="s">
        <v>1932</v>
      </c>
      <c r="L749">
        <v>1100</v>
      </c>
      <c r="M749">
        <v>5643</v>
      </c>
      <c r="N749">
        <v>3300</v>
      </c>
      <c r="O749">
        <v>2343</v>
      </c>
      <c r="P749">
        <v>0.41520467836257302</v>
      </c>
      <c r="Q749">
        <v>0</v>
      </c>
      <c r="R749">
        <v>0</v>
      </c>
      <c r="S749">
        <v>3</v>
      </c>
      <c r="T749">
        <v>5643</v>
      </c>
    </row>
    <row r="750" spans="1:20">
      <c r="A750" t="s">
        <v>997</v>
      </c>
      <c r="B750" s="1">
        <v>45492</v>
      </c>
      <c r="C750">
        <v>29</v>
      </c>
      <c r="D750">
        <v>7</v>
      </c>
      <c r="E750" t="s">
        <v>938</v>
      </c>
      <c r="F750" t="s">
        <v>220</v>
      </c>
      <c r="G750" t="s">
        <v>221</v>
      </c>
      <c r="H750">
        <v>4</v>
      </c>
      <c r="I750">
        <v>510</v>
      </c>
      <c r="J750">
        <v>15</v>
      </c>
      <c r="K750" t="s">
        <v>1947</v>
      </c>
      <c r="L750">
        <v>300</v>
      </c>
      <c r="M750">
        <v>2040</v>
      </c>
      <c r="N750">
        <v>1200</v>
      </c>
      <c r="O750">
        <v>840</v>
      </c>
      <c r="P750">
        <v>0.41176470588235298</v>
      </c>
      <c r="Q750">
        <v>0</v>
      </c>
      <c r="R750">
        <v>0</v>
      </c>
      <c r="S750">
        <v>4</v>
      </c>
      <c r="T750">
        <v>2040</v>
      </c>
    </row>
    <row r="751" spans="1:20">
      <c r="A751" t="s">
        <v>999</v>
      </c>
      <c r="B751" s="1">
        <v>45492</v>
      </c>
      <c r="C751">
        <v>29</v>
      </c>
      <c r="D751">
        <v>7</v>
      </c>
      <c r="E751" t="s">
        <v>938</v>
      </c>
      <c r="F751" t="s">
        <v>364</v>
      </c>
      <c r="G751" t="s">
        <v>221</v>
      </c>
      <c r="H751">
        <v>2</v>
      </c>
      <c r="I751">
        <v>960</v>
      </c>
      <c r="J751">
        <v>0</v>
      </c>
      <c r="K751" t="s">
        <v>1946</v>
      </c>
      <c r="L751">
        <v>480</v>
      </c>
      <c r="M751">
        <v>1920</v>
      </c>
      <c r="N751">
        <v>960</v>
      </c>
      <c r="O751">
        <v>960</v>
      </c>
      <c r="P751">
        <v>0.5</v>
      </c>
      <c r="Q751">
        <v>0</v>
      </c>
      <c r="R751">
        <v>0</v>
      </c>
      <c r="S751">
        <v>2</v>
      </c>
      <c r="T751">
        <v>1920</v>
      </c>
    </row>
    <row r="752" spans="1:20">
      <c r="A752" t="s">
        <v>1000</v>
      </c>
      <c r="B752" s="1">
        <v>45493</v>
      </c>
      <c r="C752">
        <v>29</v>
      </c>
      <c r="D752">
        <v>7</v>
      </c>
      <c r="E752" t="s">
        <v>938</v>
      </c>
      <c r="F752" t="s">
        <v>115</v>
      </c>
      <c r="G752" t="s">
        <v>23</v>
      </c>
      <c r="H752">
        <v>5</v>
      </c>
      <c r="I752">
        <v>1020</v>
      </c>
      <c r="J752">
        <v>15</v>
      </c>
      <c r="K752" t="s">
        <v>1926</v>
      </c>
      <c r="L752">
        <v>600</v>
      </c>
      <c r="M752">
        <v>5100</v>
      </c>
      <c r="N752">
        <v>3000</v>
      </c>
      <c r="O752">
        <v>2100</v>
      </c>
      <c r="P752">
        <v>0.41176470588235298</v>
      </c>
      <c r="Q752">
        <v>0</v>
      </c>
      <c r="R752">
        <v>0</v>
      </c>
      <c r="S752">
        <v>5</v>
      </c>
      <c r="T752">
        <v>5100</v>
      </c>
    </row>
    <row r="753" spans="1:20">
      <c r="A753" t="s">
        <v>1002</v>
      </c>
      <c r="B753" s="1">
        <v>45493</v>
      </c>
      <c r="C753">
        <v>29</v>
      </c>
      <c r="D753">
        <v>7</v>
      </c>
      <c r="E753" t="s">
        <v>938</v>
      </c>
      <c r="F753" t="s">
        <v>31</v>
      </c>
      <c r="G753" t="s">
        <v>23</v>
      </c>
      <c r="H753">
        <v>1</v>
      </c>
      <c r="I753">
        <v>1400</v>
      </c>
      <c r="J753">
        <v>0</v>
      </c>
      <c r="K753" t="s">
        <v>1930</v>
      </c>
      <c r="L753">
        <v>700</v>
      </c>
      <c r="M753">
        <v>1400</v>
      </c>
      <c r="N753">
        <v>700</v>
      </c>
      <c r="O753">
        <v>700</v>
      </c>
      <c r="P753">
        <v>0.5</v>
      </c>
      <c r="Q753">
        <v>0</v>
      </c>
      <c r="R753">
        <v>0</v>
      </c>
      <c r="S753">
        <v>1</v>
      </c>
      <c r="T753">
        <v>1400</v>
      </c>
    </row>
    <row r="754" spans="1:20">
      <c r="A754" t="s">
        <v>1003</v>
      </c>
      <c r="B754" s="1">
        <v>45494</v>
      </c>
      <c r="C754">
        <v>29</v>
      </c>
      <c r="D754">
        <v>7</v>
      </c>
      <c r="E754" t="s">
        <v>938</v>
      </c>
      <c r="F754" t="s">
        <v>45</v>
      </c>
      <c r="G754" t="s">
        <v>26</v>
      </c>
      <c r="H754">
        <v>4</v>
      </c>
      <c r="I754">
        <v>4275</v>
      </c>
      <c r="J754">
        <v>5</v>
      </c>
      <c r="K754" t="s">
        <v>1938</v>
      </c>
      <c r="L754">
        <v>1800</v>
      </c>
      <c r="M754">
        <v>17100</v>
      </c>
      <c r="N754">
        <v>7200</v>
      </c>
      <c r="O754">
        <v>9900</v>
      </c>
      <c r="P754">
        <v>0.57894736842105299</v>
      </c>
      <c r="Q754">
        <v>0</v>
      </c>
      <c r="R754">
        <v>0</v>
      </c>
      <c r="S754">
        <v>4</v>
      </c>
      <c r="T754">
        <v>17100</v>
      </c>
    </row>
    <row r="755" spans="1:20">
      <c r="A755" t="s">
        <v>1005</v>
      </c>
      <c r="B755" s="1">
        <v>45494</v>
      </c>
      <c r="C755">
        <v>29</v>
      </c>
      <c r="D755">
        <v>7</v>
      </c>
      <c r="E755" t="s">
        <v>938</v>
      </c>
      <c r="F755" t="s">
        <v>82</v>
      </c>
      <c r="G755" t="s">
        <v>20</v>
      </c>
      <c r="H755">
        <v>1</v>
      </c>
      <c r="I755">
        <v>765</v>
      </c>
      <c r="J755">
        <v>15</v>
      </c>
      <c r="K755" t="s">
        <v>1933</v>
      </c>
      <c r="L755">
        <v>500</v>
      </c>
      <c r="M755">
        <v>765</v>
      </c>
      <c r="N755">
        <v>500</v>
      </c>
      <c r="O755">
        <v>265</v>
      </c>
      <c r="P755">
        <v>0.34640522875816998</v>
      </c>
      <c r="Q755">
        <v>0</v>
      </c>
      <c r="R755">
        <v>0</v>
      </c>
      <c r="S755">
        <v>1</v>
      </c>
      <c r="T755">
        <v>765</v>
      </c>
    </row>
    <row r="756" spans="1:20">
      <c r="A756" t="s">
        <v>1006</v>
      </c>
      <c r="B756" s="1">
        <v>45494</v>
      </c>
      <c r="C756">
        <v>29</v>
      </c>
      <c r="D756">
        <v>7</v>
      </c>
      <c r="E756" t="s">
        <v>938</v>
      </c>
      <c r="F756" t="s">
        <v>220</v>
      </c>
      <c r="G756" t="s">
        <v>221</v>
      </c>
      <c r="H756">
        <v>2</v>
      </c>
      <c r="I756">
        <v>600</v>
      </c>
      <c r="J756">
        <v>0</v>
      </c>
      <c r="K756" t="s">
        <v>1947</v>
      </c>
      <c r="L756">
        <v>300</v>
      </c>
      <c r="M756">
        <v>1200</v>
      </c>
      <c r="N756">
        <v>600</v>
      </c>
      <c r="O756">
        <v>600</v>
      </c>
      <c r="P756">
        <v>0.5</v>
      </c>
      <c r="Q756">
        <v>2</v>
      </c>
      <c r="R756">
        <v>2</v>
      </c>
      <c r="S756">
        <v>0</v>
      </c>
      <c r="T756">
        <v>0</v>
      </c>
    </row>
    <row r="757" spans="1:20">
      <c r="A757" t="s">
        <v>1007</v>
      </c>
      <c r="B757" s="1">
        <v>45494</v>
      </c>
      <c r="C757">
        <v>29</v>
      </c>
      <c r="D757">
        <v>7</v>
      </c>
      <c r="E757" t="s">
        <v>938</v>
      </c>
      <c r="F757" t="s">
        <v>68</v>
      </c>
      <c r="G757" t="s">
        <v>26</v>
      </c>
      <c r="H757">
        <v>2</v>
      </c>
      <c r="I757">
        <v>380</v>
      </c>
      <c r="J757">
        <v>0</v>
      </c>
      <c r="K757" t="s">
        <v>1937</v>
      </c>
      <c r="L757">
        <v>150</v>
      </c>
      <c r="M757">
        <v>760</v>
      </c>
      <c r="N757">
        <v>300</v>
      </c>
      <c r="O757">
        <v>460</v>
      </c>
      <c r="P757">
        <v>0.60526315789473695</v>
      </c>
      <c r="Q757">
        <v>0</v>
      </c>
      <c r="R757">
        <v>0</v>
      </c>
      <c r="S757">
        <v>2</v>
      </c>
      <c r="T757">
        <v>760</v>
      </c>
    </row>
    <row r="758" spans="1:20">
      <c r="A758" t="s">
        <v>1008</v>
      </c>
      <c r="B758" s="1">
        <v>45494</v>
      </c>
      <c r="C758">
        <v>29</v>
      </c>
      <c r="D758">
        <v>7</v>
      </c>
      <c r="E758" t="s">
        <v>938</v>
      </c>
      <c r="F758" t="s">
        <v>35</v>
      </c>
      <c r="G758" t="s">
        <v>17</v>
      </c>
      <c r="H758">
        <v>1</v>
      </c>
      <c r="I758">
        <v>3150</v>
      </c>
      <c r="J758">
        <v>0</v>
      </c>
      <c r="K758" t="s">
        <v>1942</v>
      </c>
      <c r="L758">
        <v>1500</v>
      </c>
      <c r="M758">
        <v>3150</v>
      </c>
      <c r="N758">
        <v>1500</v>
      </c>
      <c r="O758">
        <v>1650</v>
      </c>
      <c r="P758">
        <v>0.52380952380952395</v>
      </c>
      <c r="Q758">
        <v>0</v>
      </c>
      <c r="R758">
        <v>0</v>
      </c>
      <c r="S758">
        <v>1</v>
      </c>
      <c r="T758">
        <v>3150</v>
      </c>
    </row>
    <row r="759" spans="1:20">
      <c r="A759" t="s">
        <v>1009</v>
      </c>
      <c r="B759" s="1">
        <v>45494</v>
      </c>
      <c r="C759">
        <v>29</v>
      </c>
      <c r="D759">
        <v>7</v>
      </c>
      <c r="E759" t="s">
        <v>938</v>
      </c>
      <c r="F759" t="s">
        <v>80</v>
      </c>
      <c r="G759" t="s">
        <v>14</v>
      </c>
      <c r="H759">
        <v>1</v>
      </c>
      <c r="I759">
        <v>340</v>
      </c>
      <c r="J759">
        <v>15</v>
      </c>
      <c r="K759" t="s">
        <v>1922</v>
      </c>
      <c r="L759">
        <v>180</v>
      </c>
      <c r="M759">
        <v>340</v>
      </c>
      <c r="N759">
        <v>180</v>
      </c>
      <c r="O759">
        <v>160</v>
      </c>
      <c r="P759">
        <v>0.47058823529411797</v>
      </c>
      <c r="Q759">
        <v>0</v>
      </c>
      <c r="R759">
        <v>0</v>
      </c>
      <c r="S759">
        <v>1</v>
      </c>
      <c r="T759">
        <v>340</v>
      </c>
    </row>
    <row r="760" spans="1:20">
      <c r="A760" t="s">
        <v>1010</v>
      </c>
      <c r="B760" s="1">
        <v>45495</v>
      </c>
      <c r="C760">
        <v>30</v>
      </c>
      <c r="D760">
        <v>7</v>
      </c>
      <c r="E760" t="s">
        <v>938</v>
      </c>
      <c r="F760" t="s">
        <v>13</v>
      </c>
      <c r="G760" t="s">
        <v>14</v>
      </c>
      <c r="H760">
        <v>3</v>
      </c>
      <c r="I760">
        <v>432</v>
      </c>
      <c r="J760">
        <v>10</v>
      </c>
      <c r="K760" t="s">
        <v>1925</v>
      </c>
      <c r="L760">
        <v>220</v>
      </c>
      <c r="M760">
        <v>1296</v>
      </c>
      <c r="N760">
        <v>660</v>
      </c>
      <c r="O760">
        <v>636</v>
      </c>
      <c r="P760">
        <v>0.49074074074074098</v>
      </c>
      <c r="Q760">
        <v>0</v>
      </c>
      <c r="R760">
        <v>0</v>
      </c>
      <c r="S760">
        <v>3</v>
      </c>
      <c r="T760">
        <v>1296</v>
      </c>
    </row>
    <row r="761" spans="1:20">
      <c r="A761" t="s">
        <v>1012</v>
      </c>
      <c r="B761" s="1">
        <v>45495</v>
      </c>
      <c r="C761">
        <v>30</v>
      </c>
      <c r="D761">
        <v>7</v>
      </c>
      <c r="E761" t="s">
        <v>938</v>
      </c>
      <c r="F761" t="s">
        <v>369</v>
      </c>
      <c r="G761" t="s">
        <v>221</v>
      </c>
      <c r="H761">
        <v>3</v>
      </c>
      <c r="I761">
        <v>700</v>
      </c>
      <c r="J761">
        <v>0</v>
      </c>
      <c r="K761" t="s">
        <v>1949</v>
      </c>
      <c r="L761">
        <v>350</v>
      </c>
      <c r="M761">
        <v>2100</v>
      </c>
      <c r="N761">
        <v>1050</v>
      </c>
      <c r="O761">
        <v>1050</v>
      </c>
      <c r="P761">
        <v>0.5</v>
      </c>
      <c r="Q761">
        <v>0</v>
      </c>
      <c r="R761">
        <v>0</v>
      </c>
      <c r="S761">
        <v>3</v>
      </c>
      <c r="T761">
        <v>2100</v>
      </c>
    </row>
    <row r="762" spans="1:20">
      <c r="A762" t="s">
        <v>1013</v>
      </c>
      <c r="B762" s="1">
        <v>45496</v>
      </c>
      <c r="C762">
        <v>30</v>
      </c>
      <c r="D762">
        <v>7</v>
      </c>
      <c r="E762" t="s">
        <v>938</v>
      </c>
      <c r="F762" t="s">
        <v>51</v>
      </c>
      <c r="G762" t="s">
        <v>26</v>
      </c>
      <c r="H762">
        <v>4</v>
      </c>
      <c r="I762">
        <v>500</v>
      </c>
      <c r="J762">
        <v>0</v>
      </c>
      <c r="K762" t="s">
        <v>1936</v>
      </c>
      <c r="L762">
        <v>200</v>
      </c>
      <c r="M762">
        <v>2000</v>
      </c>
      <c r="N762">
        <v>800</v>
      </c>
      <c r="O762">
        <v>1200</v>
      </c>
      <c r="P762">
        <v>0.6</v>
      </c>
      <c r="Q762">
        <v>0</v>
      </c>
      <c r="R762">
        <v>0</v>
      </c>
      <c r="S762">
        <v>4</v>
      </c>
      <c r="T762">
        <v>2000</v>
      </c>
    </row>
    <row r="763" spans="1:20">
      <c r="A763" t="s">
        <v>1015</v>
      </c>
      <c r="B763" s="1">
        <v>45496</v>
      </c>
      <c r="C763">
        <v>30</v>
      </c>
      <c r="D763">
        <v>7</v>
      </c>
      <c r="E763" t="s">
        <v>938</v>
      </c>
      <c r="F763" t="s">
        <v>119</v>
      </c>
      <c r="G763" t="s">
        <v>14</v>
      </c>
      <c r="H763">
        <v>2</v>
      </c>
      <c r="I763">
        <v>731.5</v>
      </c>
      <c r="J763">
        <v>5</v>
      </c>
      <c r="K763" t="s">
        <v>1920</v>
      </c>
      <c r="L763">
        <v>350</v>
      </c>
      <c r="M763">
        <v>1463</v>
      </c>
      <c r="N763">
        <v>700</v>
      </c>
      <c r="O763">
        <v>763</v>
      </c>
      <c r="P763">
        <v>0.52153110047846896</v>
      </c>
      <c r="Q763">
        <v>0</v>
      </c>
      <c r="R763">
        <v>0</v>
      </c>
      <c r="S763">
        <v>2</v>
      </c>
      <c r="T763">
        <v>1463</v>
      </c>
    </row>
    <row r="764" spans="1:20">
      <c r="A764" t="s">
        <v>1016</v>
      </c>
      <c r="B764" s="1">
        <v>45496</v>
      </c>
      <c r="C764">
        <v>30</v>
      </c>
      <c r="D764">
        <v>7</v>
      </c>
      <c r="E764" t="s">
        <v>938</v>
      </c>
      <c r="F764" t="s">
        <v>68</v>
      </c>
      <c r="G764" t="s">
        <v>26</v>
      </c>
      <c r="H764">
        <v>2</v>
      </c>
      <c r="I764">
        <v>380</v>
      </c>
      <c r="J764">
        <v>0</v>
      </c>
      <c r="K764" t="s">
        <v>1937</v>
      </c>
      <c r="L764">
        <v>150</v>
      </c>
      <c r="M764">
        <v>760</v>
      </c>
      <c r="N764">
        <v>300</v>
      </c>
      <c r="O764">
        <v>460</v>
      </c>
      <c r="P764">
        <v>0.60526315789473695</v>
      </c>
      <c r="Q764">
        <v>0</v>
      </c>
      <c r="R764">
        <v>0</v>
      </c>
      <c r="S764">
        <v>2</v>
      </c>
      <c r="T764">
        <v>760</v>
      </c>
    </row>
    <row r="765" spans="1:20">
      <c r="A765" t="s">
        <v>1017</v>
      </c>
      <c r="B765" s="1">
        <v>45496</v>
      </c>
      <c r="C765">
        <v>30</v>
      </c>
      <c r="D765">
        <v>7</v>
      </c>
      <c r="E765" t="s">
        <v>938</v>
      </c>
      <c r="F765" t="s">
        <v>187</v>
      </c>
      <c r="G765" t="s">
        <v>14</v>
      </c>
      <c r="H765">
        <v>1</v>
      </c>
      <c r="I765">
        <v>4400</v>
      </c>
      <c r="J765">
        <v>0</v>
      </c>
      <c r="K765" t="s">
        <v>1924</v>
      </c>
      <c r="L765">
        <v>2000</v>
      </c>
      <c r="M765">
        <v>4400</v>
      </c>
      <c r="N765">
        <v>2000</v>
      </c>
      <c r="O765">
        <v>2400</v>
      </c>
      <c r="P765">
        <v>0.54545454545454497</v>
      </c>
      <c r="Q765">
        <v>0</v>
      </c>
      <c r="R765">
        <v>0</v>
      </c>
      <c r="S765">
        <v>1</v>
      </c>
      <c r="T765">
        <v>4400</v>
      </c>
    </row>
    <row r="766" spans="1:20">
      <c r="A766" t="s">
        <v>1018</v>
      </c>
      <c r="B766" s="1">
        <v>45497</v>
      </c>
      <c r="C766">
        <v>30</v>
      </c>
      <c r="D766">
        <v>7</v>
      </c>
      <c r="E766" t="s">
        <v>938</v>
      </c>
      <c r="F766" t="s">
        <v>187</v>
      </c>
      <c r="G766" t="s">
        <v>14</v>
      </c>
      <c r="H766">
        <v>5</v>
      </c>
      <c r="I766">
        <v>4180</v>
      </c>
      <c r="J766">
        <v>5</v>
      </c>
      <c r="K766" t="s">
        <v>1924</v>
      </c>
      <c r="L766">
        <v>2000</v>
      </c>
      <c r="M766">
        <v>20900</v>
      </c>
      <c r="N766">
        <v>10000</v>
      </c>
      <c r="O766">
        <v>10900</v>
      </c>
      <c r="P766">
        <v>0.52153110047846896</v>
      </c>
      <c r="Q766">
        <v>0</v>
      </c>
      <c r="R766">
        <v>0</v>
      </c>
      <c r="S766">
        <v>5</v>
      </c>
      <c r="T766">
        <v>20900</v>
      </c>
    </row>
    <row r="767" spans="1:20">
      <c r="A767" t="s">
        <v>1020</v>
      </c>
      <c r="B767" s="1">
        <v>45498</v>
      </c>
      <c r="C767">
        <v>30</v>
      </c>
      <c r="D767">
        <v>7</v>
      </c>
      <c r="E767" t="s">
        <v>938</v>
      </c>
      <c r="F767" t="s">
        <v>115</v>
      </c>
      <c r="G767" t="s">
        <v>23</v>
      </c>
      <c r="H767">
        <v>4</v>
      </c>
      <c r="I767">
        <v>1200</v>
      </c>
      <c r="J767">
        <v>0</v>
      </c>
      <c r="K767" t="s">
        <v>1926</v>
      </c>
      <c r="L767">
        <v>600</v>
      </c>
      <c r="M767">
        <v>4800</v>
      </c>
      <c r="N767">
        <v>2400</v>
      </c>
      <c r="O767">
        <v>2400</v>
      </c>
      <c r="P767">
        <v>0.5</v>
      </c>
      <c r="Q767">
        <v>0</v>
      </c>
      <c r="R767">
        <v>0</v>
      </c>
      <c r="S767">
        <v>4</v>
      </c>
      <c r="T767">
        <v>4800</v>
      </c>
    </row>
    <row r="768" spans="1:20">
      <c r="A768" t="s">
        <v>1022</v>
      </c>
      <c r="B768" s="1">
        <v>45498</v>
      </c>
      <c r="C768">
        <v>30</v>
      </c>
      <c r="D768">
        <v>7</v>
      </c>
      <c r="E768" t="s">
        <v>938</v>
      </c>
      <c r="F768" t="s">
        <v>220</v>
      </c>
      <c r="G768" t="s">
        <v>221</v>
      </c>
      <c r="H768">
        <v>2</v>
      </c>
      <c r="I768">
        <v>510</v>
      </c>
      <c r="J768">
        <v>15</v>
      </c>
      <c r="K768" t="s">
        <v>1947</v>
      </c>
      <c r="L768">
        <v>300</v>
      </c>
      <c r="M768">
        <v>1020</v>
      </c>
      <c r="N768">
        <v>600</v>
      </c>
      <c r="O768">
        <v>420</v>
      </c>
      <c r="P768">
        <v>0.41176470588235298</v>
      </c>
      <c r="Q768">
        <v>0</v>
      </c>
      <c r="R768">
        <v>0</v>
      </c>
      <c r="S768">
        <v>2</v>
      </c>
      <c r="T768">
        <v>1020</v>
      </c>
    </row>
    <row r="769" spans="1:20">
      <c r="A769" t="s">
        <v>1023</v>
      </c>
      <c r="B769" s="1">
        <v>45498</v>
      </c>
      <c r="C769">
        <v>30</v>
      </c>
      <c r="D769">
        <v>7</v>
      </c>
      <c r="E769" t="s">
        <v>938</v>
      </c>
      <c r="F769" t="s">
        <v>51</v>
      </c>
      <c r="G769" t="s">
        <v>26</v>
      </c>
      <c r="H769">
        <v>1</v>
      </c>
      <c r="I769">
        <v>425</v>
      </c>
      <c r="J769">
        <v>15</v>
      </c>
      <c r="K769" t="s">
        <v>1936</v>
      </c>
      <c r="L769">
        <v>200</v>
      </c>
      <c r="M769">
        <v>425</v>
      </c>
      <c r="N769">
        <v>200</v>
      </c>
      <c r="O769">
        <v>225</v>
      </c>
      <c r="P769">
        <v>0.52941176470588203</v>
      </c>
      <c r="Q769">
        <v>0</v>
      </c>
      <c r="R769">
        <v>0</v>
      </c>
      <c r="S769">
        <v>1</v>
      </c>
      <c r="T769">
        <v>425</v>
      </c>
    </row>
    <row r="770" spans="1:20">
      <c r="A770" t="s">
        <v>1024</v>
      </c>
      <c r="B770" s="1">
        <v>45498</v>
      </c>
      <c r="C770">
        <v>30</v>
      </c>
      <c r="D770">
        <v>7</v>
      </c>
      <c r="E770" t="s">
        <v>938</v>
      </c>
      <c r="F770" t="s">
        <v>28</v>
      </c>
      <c r="G770" t="s">
        <v>26</v>
      </c>
      <c r="H770">
        <v>4</v>
      </c>
      <c r="I770">
        <v>1275</v>
      </c>
      <c r="J770">
        <v>15</v>
      </c>
      <c r="K770" t="s">
        <v>1939</v>
      </c>
      <c r="L770">
        <v>600</v>
      </c>
      <c r="M770">
        <v>5100</v>
      </c>
      <c r="N770">
        <v>2400</v>
      </c>
      <c r="O770">
        <v>2700</v>
      </c>
      <c r="P770">
        <v>0.52941176470588203</v>
      </c>
      <c r="Q770">
        <v>0</v>
      </c>
      <c r="R770">
        <v>0</v>
      </c>
      <c r="S770">
        <v>4</v>
      </c>
      <c r="T770">
        <v>5100</v>
      </c>
    </row>
    <row r="771" spans="1:20">
      <c r="A771" t="s">
        <v>1025</v>
      </c>
      <c r="B771" s="1">
        <v>45499</v>
      </c>
      <c r="C771">
        <v>30</v>
      </c>
      <c r="D771">
        <v>7</v>
      </c>
      <c r="E771" t="s">
        <v>938</v>
      </c>
      <c r="F771" t="s">
        <v>37</v>
      </c>
      <c r="G771" t="s">
        <v>20</v>
      </c>
      <c r="H771">
        <v>2</v>
      </c>
      <c r="I771">
        <v>2340</v>
      </c>
      <c r="J771">
        <v>0</v>
      </c>
      <c r="K771" t="s">
        <v>1935</v>
      </c>
      <c r="L771">
        <v>1300</v>
      </c>
      <c r="M771">
        <v>4680</v>
      </c>
      <c r="N771">
        <v>2600</v>
      </c>
      <c r="O771">
        <v>2080</v>
      </c>
      <c r="P771">
        <v>0.44444444444444398</v>
      </c>
      <c r="Q771">
        <v>0</v>
      </c>
      <c r="R771">
        <v>0</v>
      </c>
      <c r="S771">
        <v>2</v>
      </c>
      <c r="T771">
        <v>4680</v>
      </c>
    </row>
    <row r="772" spans="1:20">
      <c r="A772" t="s">
        <v>1027</v>
      </c>
      <c r="B772" s="1">
        <v>45499</v>
      </c>
      <c r="C772">
        <v>30</v>
      </c>
      <c r="D772">
        <v>7</v>
      </c>
      <c r="E772" t="s">
        <v>938</v>
      </c>
      <c r="F772" t="s">
        <v>82</v>
      </c>
      <c r="G772" t="s">
        <v>20</v>
      </c>
      <c r="H772">
        <v>4</v>
      </c>
      <c r="I772">
        <v>810</v>
      </c>
      <c r="J772">
        <v>10</v>
      </c>
      <c r="K772" t="s">
        <v>1933</v>
      </c>
      <c r="L772">
        <v>500</v>
      </c>
      <c r="M772">
        <v>3240</v>
      </c>
      <c r="N772">
        <v>2000</v>
      </c>
      <c r="O772">
        <v>1240</v>
      </c>
      <c r="P772">
        <v>0.38271604938271597</v>
      </c>
      <c r="Q772">
        <v>0</v>
      </c>
      <c r="R772">
        <v>0</v>
      </c>
      <c r="S772">
        <v>4</v>
      </c>
      <c r="T772">
        <v>3240</v>
      </c>
    </row>
    <row r="773" spans="1:20">
      <c r="A773" t="s">
        <v>1028</v>
      </c>
      <c r="B773" s="1">
        <v>45499</v>
      </c>
      <c r="C773">
        <v>30</v>
      </c>
      <c r="D773">
        <v>7</v>
      </c>
      <c r="E773" t="s">
        <v>938</v>
      </c>
      <c r="F773" t="s">
        <v>349</v>
      </c>
      <c r="G773" t="s">
        <v>221</v>
      </c>
      <c r="H773">
        <v>1</v>
      </c>
      <c r="I773">
        <v>400</v>
      </c>
      <c r="J773">
        <v>0</v>
      </c>
      <c r="K773" t="s">
        <v>1948</v>
      </c>
      <c r="L773">
        <v>200</v>
      </c>
      <c r="M773">
        <v>400</v>
      </c>
      <c r="N773">
        <v>200</v>
      </c>
      <c r="O773">
        <v>200</v>
      </c>
      <c r="P773">
        <v>0.5</v>
      </c>
      <c r="Q773">
        <v>0</v>
      </c>
      <c r="R773">
        <v>0</v>
      </c>
      <c r="S773">
        <v>1</v>
      </c>
      <c r="T773">
        <v>400</v>
      </c>
    </row>
    <row r="774" spans="1:20">
      <c r="A774" t="s">
        <v>1029</v>
      </c>
      <c r="B774" s="1">
        <v>45500</v>
      </c>
      <c r="C774">
        <v>30</v>
      </c>
      <c r="D774">
        <v>7</v>
      </c>
      <c r="E774" t="s">
        <v>938</v>
      </c>
      <c r="F774" t="s">
        <v>39</v>
      </c>
      <c r="G774" t="s">
        <v>14</v>
      </c>
      <c r="H774">
        <v>1</v>
      </c>
      <c r="I774">
        <v>880</v>
      </c>
      <c r="J774">
        <v>0</v>
      </c>
      <c r="K774" t="s">
        <v>1921</v>
      </c>
      <c r="L774">
        <v>400</v>
      </c>
      <c r="M774">
        <v>880</v>
      </c>
      <c r="N774">
        <v>400</v>
      </c>
      <c r="O774">
        <v>480</v>
      </c>
      <c r="P774">
        <v>0.54545454545454497</v>
      </c>
      <c r="Q774">
        <v>0</v>
      </c>
      <c r="R774">
        <v>0</v>
      </c>
      <c r="S774">
        <v>1</v>
      </c>
      <c r="T774">
        <v>880</v>
      </c>
    </row>
    <row r="775" spans="1:20">
      <c r="A775" t="s">
        <v>1031</v>
      </c>
      <c r="B775" s="1">
        <v>45500</v>
      </c>
      <c r="C775">
        <v>30</v>
      </c>
      <c r="D775">
        <v>7</v>
      </c>
      <c r="E775" t="s">
        <v>938</v>
      </c>
      <c r="F775" t="s">
        <v>220</v>
      </c>
      <c r="G775" t="s">
        <v>221</v>
      </c>
      <c r="H775">
        <v>4</v>
      </c>
      <c r="I775">
        <v>510</v>
      </c>
      <c r="J775">
        <v>15</v>
      </c>
      <c r="K775" t="s">
        <v>1947</v>
      </c>
      <c r="L775">
        <v>300</v>
      </c>
      <c r="M775">
        <v>2040</v>
      </c>
      <c r="N775">
        <v>1200</v>
      </c>
      <c r="O775">
        <v>840</v>
      </c>
      <c r="P775">
        <v>0.41176470588235298</v>
      </c>
      <c r="Q775">
        <v>0</v>
      </c>
      <c r="R775">
        <v>0</v>
      </c>
      <c r="S775">
        <v>4</v>
      </c>
      <c r="T775">
        <v>2040</v>
      </c>
    </row>
    <row r="776" spans="1:20">
      <c r="A776" t="s">
        <v>1032</v>
      </c>
      <c r="B776" s="1">
        <v>45500</v>
      </c>
      <c r="C776">
        <v>30</v>
      </c>
      <c r="D776">
        <v>7</v>
      </c>
      <c r="E776" t="s">
        <v>938</v>
      </c>
      <c r="F776" t="s">
        <v>51</v>
      </c>
      <c r="G776" t="s">
        <v>26</v>
      </c>
      <c r="H776">
        <v>3</v>
      </c>
      <c r="I776">
        <v>500</v>
      </c>
      <c r="J776">
        <v>0</v>
      </c>
      <c r="K776" t="s">
        <v>1936</v>
      </c>
      <c r="L776">
        <v>200</v>
      </c>
      <c r="M776">
        <v>1500</v>
      </c>
      <c r="N776">
        <v>600</v>
      </c>
      <c r="O776">
        <v>900</v>
      </c>
      <c r="P776">
        <v>0.6</v>
      </c>
      <c r="Q776">
        <v>0</v>
      </c>
      <c r="R776">
        <v>0</v>
      </c>
      <c r="S776">
        <v>3</v>
      </c>
      <c r="T776">
        <v>1500</v>
      </c>
    </row>
    <row r="777" spans="1:20">
      <c r="A777" t="s">
        <v>1033</v>
      </c>
      <c r="B777" s="1">
        <v>45501</v>
      </c>
      <c r="C777">
        <v>30</v>
      </c>
      <c r="D777">
        <v>7</v>
      </c>
      <c r="E777" t="s">
        <v>938</v>
      </c>
      <c r="F777" t="s">
        <v>68</v>
      </c>
      <c r="G777" t="s">
        <v>26</v>
      </c>
      <c r="H777">
        <v>1</v>
      </c>
      <c r="I777">
        <v>323</v>
      </c>
      <c r="J777">
        <v>15</v>
      </c>
      <c r="K777" t="s">
        <v>1937</v>
      </c>
      <c r="L777">
        <v>150</v>
      </c>
      <c r="M777">
        <v>323</v>
      </c>
      <c r="N777">
        <v>150</v>
      </c>
      <c r="O777">
        <v>173</v>
      </c>
      <c r="P777">
        <v>0.53560371517027905</v>
      </c>
      <c r="Q777">
        <v>0</v>
      </c>
      <c r="R777">
        <v>0</v>
      </c>
      <c r="S777">
        <v>1</v>
      </c>
      <c r="T777">
        <v>323</v>
      </c>
    </row>
    <row r="778" spans="1:20">
      <c r="A778" t="s">
        <v>1035</v>
      </c>
      <c r="B778" s="1">
        <v>45501</v>
      </c>
      <c r="C778">
        <v>30</v>
      </c>
      <c r="D778">
        <v>7</v>
      </c>
      <c r="E778" t="s">
        <v>938</v>
      </c>
      <c r="F778" t="s">
        <v>349</v>
      </c>
      <c r="G778" t="s">
        <v>221</v>
      </c>
      <c r="H778">
        <v>1</v>
      </c>
      <c r="I778">
        <v>360</v>
      </c>
      <c r="J778">
        <v>10</v>
      </c>
      <c r="K778" t="s">
        <v>1948</v>
      </c>
      <c r="L778">
        <v>200</v>
      </c>
      <c r="M778">
        <v>360</v>
      </c>
      <c r="N778">
        <v>200</v>
      </c>
      <c r="O778">
        <v>160</v>
      </c>
      <c r="P778">
        <v>0.44444444444444398</v>
      </c>
      <c r="Q778">
        <v>0</v>
      </c>
      <c r="R778">
        <v>0</v>
      </c>
      <c r="S778">
        <v>1</v>
      </c>
      <c r="T778">
        <v>360</v>
      </c>
    </row>
    <row r="779" spans="1:20">
      <c r="A779" t="s">
        <v>1036</v>
      </c>
      <c r="B779" s="1">
        <v>45501</v>
      </c>
      <c r="C779">
        <v>30</v>
      </c>
      <c r="D779">
        <v>7</v>
      </c>
      <c r="E779" t="s">
        <v>938</v>
      </c>
      <c r="F779" t="s">
        <v>68</v>
      </c>
      <c r="G779" t="s">
        <v>26</v>
      </c>
      <c r="H779">
        <v>2</v>
      </c>
      <c r="I779">
        <v>342</v>
      </c>
      <c r="J779">
        <v>10</v>
      </c>
      <c r="K779" t="s">
        <v>1937</v>
      </c>
      <c r="L779">
        <v>150</v>
      </c>
      <c r="M779">
        <v>684</v>
      </c>
      <c r="N779">
        <v>300</v>
      </c>
      <c r="O779">
        <v>384</v>
      </c>
      <c r="P779">
        <v>0.56140350877193002</v>
      </c>
      <c r="Q779">
        <v>0</v>
      </c>
      <c r="R779">
        <v>0</v>
      </c>
      <c r="S779">
        <v>2</v>
      </c>
      <c r="T779">
        <v>684</v>
      </c>
    </row>
    <row r="780" spans="1:20">
      <c r="A780" t="s">
        <v>1037</v>
      </c>
      <c r="B780" s="1">
        <v>45501</v>
      </c>
      <c r="C780">
        <v>30</v>
      </c>
      <c r="D780">
        <v>7</v>
      </c>
      <c r="E780" t="s">
        <v>938</v>
      </c>
      <c r="F780" t="s">
        <v>64</v>
      </c>
      <c r="G780" t="s">
        <v>14</v>
      </c>
      <c r="H780">
        <v>4</v>
      </c>
      <c r="I780">
        <v>2244</v>
      </c>
      <c r="J780">
        <v>15</v>
      </c>
      <c r="K780" t="s">
        <v>1923</v>
      </c>
      <c r="L780">
        <v>1200</v>
      </c>
      <c r="M780">
        <v>8976</v>
      </c>
      <c r="N780">
        <v>4800</v>
      </c>
      <c r="O780">
        <v>4176</v>
      </c>
      <c r="P780">
        <v>0.46524064171122997</v>
      </c>
      <c r="Q780">
        <v>0</v>
      </c>
      <c r="R780">
        <v>0</v>
      </c>
      <c r="S780">
        <v>4</v>
      </c>
      <c r="T780">
        <v>8976</v>
      </c>
    </row>
    <row r="781" spans="1:20">
      <c r="A781" t="s">
        <v>1038</v>
      </c>
      <c r="B781" s="1">
        <v>45501</v>
      </c>
      <c r="C781">
        <v>30</v>
      </c>
      <c r="D781">
        <v>7</v>
      </c>
      <c r="E781" t="s">
        <v>938</v>
      </c>
      <c r="F781" t="s">
        <v>45</v>
      </c>
      <c r="G781" t="s">
        <v>26</v>
      </c>
      <c r="H781">
        <v>4</v>
      </c>
      <c r="I781">
        <v>4275</v>
      </c>
      <c r="J781">
        <v>5</v>
      </c>
      <c r="K781" t="s">
        <v>1938</v>
      </c>
      <c r="L781">
        <v>1800</v>
      </c>
      <c r="M781">
        <v>17100</v>
      </c>
      <c r="N781">
        <v>7200</v>
      </c>
      <c r="O781">
        <v>9900</v>
      </c>
      <c r="P781">
        <v>0.57894736842105299</v>
      </c>
      <c r="Q781">
        <v>0</v>
      </c>
      <c r="R781">
        <v>0</v>
      </c>
      <c r="S781">
        <v>4</v>
      </c>
      <c r="T781">
        <v>17100</v>
      </c>
    </row>
    <row r="782" spans="1:20">
      <c r="A782" t="s">
        <v>1039</v>
      </c>
      <c r="B782" s="1">
        <v>45501</v>
      </c>
      <c r="C782">
        <v>30</v>
      </c>
      <c r="D782">
        <v>7</v>
      </c>
      <c r="E782" t="s">
        <v>938</v>
      </c>
      <c r="F782" t="s">
        <v>364</v>
      </c>
      <c r="G782" t="s">
        <v>221</v>
      </c>
      <c r="H782">
        <v>1</v>
      </c>
      <c r="I782">
        <v>912</v>
      </c>
      <c r="J782">
        <v>5</v>
      </c>
      <c r="K782" t="s">
        <v>1946</v>
      </c>
      <c r="L782">
        <v>480</v>
      </c>
      <c r="M782">
        <v>912</v>
      </c>
      <c r="N782">
        <v>480</v>
      </c>
      <c r="O782">
        <v>432</v>
      </c>
      <c r="P782">
        <v>0.47368421052631599</v>
      </c>
      <c r="Q782">
        <v>0</v>
      </c>
      <c r="R782">
        <v>0</v>
      </c>
      <c r="S782">
        <v>1</v>
      </c>
      <c r="T782">
        <v>912</v>
      </c>
    </row>
    <row r="783" spans="1:20">
      <c r="A783" t="s">
        <v>1040</v>
      </c>
      <c r="B783" s="1">
        <v>45501</v>
      </c>
      <c r="C783">
        <v>30</v>
      </c>
      <c r="D783">
        <v>7</v>
      </c>
      <c r="E783" t="s">
        <v>938</v>
      </c>
      <c r="F783" t="s">
        <v>97</v>
      </c>
      <c r="G783" t="s">
        <v>20</v>
      </c>
      <c r="H783">
        <v>3</v>
      </c>
      <c r="I783">
        <v>1980</v>
      </c>
      <c r="J783">
        <v>0</v>
      </c>
      <c r="K783" t="s">
        <v>1932</v>
      </c>
      <c r="L783">
        <v>1100</v>
      </c>
      <c r="M783">
        <v>5940</v>
      </c>
      <c r="N783">
        <v>3300</v>
      </c>
      <c r="O783">
        <v>2640</v>
      </c>
      <c r="P783">
        <v>0.44444444444444398</v>
      </c>
      <c r="Q783">
        <v>0</v>
      </c>
      <c r="R783">
        <v>0</v>
      </c>
      <c r="S783">
        <v>3</v>
      </c>
      <c r="T783">
        <v>5940</v>
      </c>
    </row>
    <row r="784" spans="1:20">
      <c r="A784" t="s">
        <v>1041</v>
      </c>
      <c r="B784" s="1">
        <v>45502</v>
      </c>
      <c r="C784">
        <v>31</v>
      </c>
      <c r="D784">
        <v>7</v>
      </c>
      <c r="E784" t="s">
        <v>938</v>
      </c>
      <c r="F784" t="s">
        <v>19</v>
      </c>
      <c r="G784" t="s">
        <v>20</v>
      </c>
      <c r="H784">
        <v>4</v>
      </c>
      <c r="I784">
        <v>1377</v>
      </c>
      <c r="J784">
        <v>15</v>
      </c>
      <c r="K784" t="s">
        <v>1931</v>
      </c>
      <c r="L784">
        <v>900</v>
      </c>
      <c r="M784">
        <v>5508</v>
      </c>
      <c r="N784">
        <v>3600</v>
      </c>
      <c r="O784">
        <v>1908</v>
      </c>
      <c r="P784">
        <v>0.34640522875816998</v>
      </c>
      <c r="Q784">
        <v>0</v>
      </c>
      <c r="R784">
        <v>0</v>
      </c>
      <c r="S784">
        <v>4</v>
      </c>
      <c r="T784">
        <v>5508</v>
      </c>
    </row>
    <row r="785" spans="1:20">
      <c r="A785" t="s">
        <v>1043</v>
      </c>
      <c r="B785" s="1">
        <v>45502</v>
      </c>
      <c r="C785">
        <v>31</v>
      </c>
      <c r="D785">
        <v>7</v>
      </c>
      <c r="E785" t="s">
        <v>938</v>
      </c>
      <c r="F785" t="s">
        <v>115</v>
      </c>
      <c r="G785" t="s">
        <v>23</v>
      </c>
      <c r="H785">
        <v>2</v>
      </c>
      <c r="I785">
        <v>1200</v>
      </c>
      <c r="J785">
        <v>0</v>
      </c>
      <c r="K785" t="s">
        <v>1926</v>
      </c>
      <c r="L785">
        <v>600</v>
      </c>
      <c r="M785">
        <v>2400</v>
      </c>
      <c r="N785">
        <v>1200</v>
      </c>
      <c r="O785">
        <v>1200</v>
      </c>
      <c r="P785">
        <v>0.5</v>
      </c>
      <c r="Q785">
        <v>0</v>
      </c>
      <c r="R785">
        <v>0</v>
      </c>
      <c r="S785">
        <v>2</v>
      </c>
      <c r="T785">
        <v>2400</v>
      </c>
    </row>
    <row r="786" spans="1:20">
      <c r="A786" t="s">
        <v>1044</v>
      </c>
      <c r="B786" s="1">
        <v>45502</v>
      </c>
      <c r="C786">
        <v>31</v>
      </c>
      <c r="D786">
        <v>7</v>
      </c>
      <c r="E786" t="s">
        <v>938</v>
      </c>
      <c r="F786" t="s">
        <v>80</v>
      </c>
      <c r="G786" t="s">
        <v>14</v>
      </c>
      <c r="H786">
        <v>4</v>
      </c>
      <c r="I786">
        <v>380</v>
      </c>
      <c r="J786">
        <v>5</v>
      </c>
      <c r="K786" t="s">
        <v>1922</v>
      </c>
      <c r="L786">
        <v>180</v>
      </c>
      <c r="M786">
        <v>1520</v>
      </c>
      <c r="N786">
        <v>720</v>
      </c>
      <c r="O786">
        <v>800</v>
      </c>
      <c r="P786">
        <v>0.52631578947368396</v>
      </c>
      <c r="Q786">
        <v>0</v>
      </c>
      <c r="R786">
        <v>0</v>
      </c>
      <c r="S786">
        <v>4</v>
      </c>
      <c r="T786">
        <v>1520</v>
      </c>
    </row>
    <row r="787" spans="1:20">
      <c r="A787" t="s">
        <v>1045</v>
      </c>
      <c r="B787" s="1">
        <v>45502</v>
      </c>
      <c r="C787">
        <v>31</v>
      </c>
      <c r="D787">
        <v>7</v>
      </c>
      <c r="E787" t="s">
        <v>938</v>
      </c>
      <c r="F787" t="s">
        <v>97</v>
      </c>
      <c r="G787" t="s">
        <v>20</v>
      </c>
      <c r="H787">
        <v>4</v>
      </c>
      <c r="I787">
        <v>1980</v>
      </c>
      <c r="J787">
        <v>0</v>
      </c>
      <c r="K787" t="s">
        <v>1932</v>
      </c>
      <c r="L787">
        <v>1100</v>
      </c>
      <c r="M787">
        <v>7920</v>
      </c>
      <c r="N787">
        <v>4400</v>
      </c>
      <c r="O787">
        <v>3520</v>
      </c>
      <c r="P787">
        <v>0.44444444444444398</v>
      </c>
      <c r="Q787">
        <v>0</v>
      </c>
      <c r="R787">
        <v>0</v>
      </c>
      <c r="S787">
        <v>4</v>
      </c>
      <c r="T787">
        <v>7920</v>
      </c>
    </row>
    <row r="788" spans="1:20">
      <c r="A788" t="s">
        <v>1046</v>
      </c>
      <c r="B788" s="1">
        <v>45502</v>
      </c>
      <c r="C788">
        <v>31</v>
      </c>
      <c r="D788">
        <v>7</v>
      </c>
      <c r="E788" t="s">
        <v>938</v>
      </c>
      <c r="F788" t="s">
        <v>349</v>
      </c>
      <c r="G788" t="s">
        <v>221</v>
      </c>
      <c r="H788">
        <v>5</v>
      </c>
      <c r="I788">
        <v>400</v>
      </c>
      <c r="J788">
        <v>0</v>
      </c>
      <c r="K788" t="s">
        <v>1948</v>
      </c>
      <c r="L788">
        <v>200</v>
      </c>
      <c r="M788">
        <v>2000</v>
      </c>
      <c r="N788">
        <v>1000</v>
      </c>
      <c r="O788">
        <v>1000</v>
      </c>
      <c r="P788">
        <v>0.5</v>
      </c>
      <c r="Q788">
        <v>0</v>
      </c>
      <c r="R788">
        <v>0</v>
      </c>
      <c r="S788">
        <v>5</v>
      </c>
      <c r="T788">
        <v>2000</v>
      </c>
    </row>
    <row r="789" spans="1:20">
      <c r="A789" t="s">
        <v>1047</v>
      </c>
      <c r="B789" s="1">
        <v>45503</v>
      </c>
      <c r="C789">
        <v>31</v>
      </c>
      <c r="D789">
        <v>7</v>
      </c>
      <c r="E789" t="s">
        <v>938</v>
      </c>
      <c r="F789" t="s">
        <v>349</v>
      </c>
      <c r="G789" t="s">
        <v>221</v>
      </c>
      <c r="H789">
        <v>5</v>
      </c>
      <c r="I789">
        <v>400</v>
      </c>
      <c r="J789">
        <v>0</v>
      </c>
      <c r="K789" t="s">
        <v>1948</v>
      </c>
      <c r="L789">
        <v>200</v>
      </c>
      <c r="M789">
        <v>2000</v>
      </c>
      <c r="N789">
        <v>1000</v>
      </c>
      <c r="O789">
        <v>1000</v>
      </c>
      <c r="P789">
        <v>0.5</v>
      </c>
      <c r="Q789">
        <v>0</v>
      </c>
      <c r="R789">
        <v>0</v>
      </c>
      <c r="S789">
        <v>5</v>
      </c>
      <c r="T789">
        <v>2000</v>
      </c>
    </row>
    <row r="790" spans="1:20">
      <c r="A790" t="s">
        <v>1049</v>
      </c>
      <c r="B790" s="1">
        <v>45503</v>
      </c>
      <c r="C790">
        <v>31</v>
      </c>
      <c r="D790">
        <v>7</v>
      </c>
      <c r="E790" t="s">
        <v>938</v>
      </c>
      <c r="F790" t="s">
        <v>42</v>
      </c>
      <c r="G790" t="s">
        <v>23</v>
      </c>
      <c r="H790">
        <v>1</v>
      </c>
      <c r="I790">
        <v>600</v>
      </c>
      <c r="J790">
        <v>0</v>
      </c>
      <c r="K790" t="s">
        <v>1928</v>
      </c>
      <c r="L790">
        <v>300</v>
      </c>
      <c r="M790">
        <v>600</v>
      </c>
      <c r="N790">
        <v>300</v>
      </c>
      <c r="O790">
        <v>300</v>
      </c>
      <c r="P790">
        <v>0.5</v>
      </c>
      <c r="Q790">
        <v>0</v>
      </c>
      <c r="R790">
        <v>0</v>
      </c>
      <c r="S790">
        <v>1</v>
      </c>
      <c r="T790">
        <v>600</v>
      </c>
    </row>
    <row r="791" spans="1:20">
      <c r="A791" t="s">
        <v>1050</v>
      </c>
      <c r="B791" s="1">
        <v>45503</v>
      </c>
      <c r="C791">
        <v>31</v>
      </c>
      <c r="D791">
        <v>7</v>
      </c>
      <c r="E791" t="s">
        <v>938</v>
      </c>
      <c r="F791" t="s">
        <v>13</v>
      </c>
      <c r="G791" t="s">
        <v>14</v>
      </c>
      <c r="H791">
        <v>4</v>
      </c>
      <c r="I791">
        <v>432</v>
      </c>
      <c r="J791">
        <v>10</v>
      </c>
      <c r="K791" t="s">
        <v>1925</v>
      </c>
      <c r="L791">
        <v>220</v>
      </c>
      <c r="M791">
        <v>1728</v>
      </c>
      <c r="N791">
        <v>880</v>
      </c>
      <c r="O791">
        <v>848</v>
      </c>
      <c r="P791">
        <v>0.49074074074074098</v>
      </c>
      <c r="Q791">
        <v>0</v>
      </c>
      <c r="R791">
        <v>0</v>
      </c>
      <c r="S791">
        <v>4</v>
      </c>
      <c r="T791">
        <v>1728</v>
      </c>
    </row>
    <row r="792" spans="1:20">
      <c r="A792" t="s">
        <v>1051</v>
      </c>
      <c r="B792" s="1">
        <v>45503</v>
      </c>
      <c r="C792">
        <v>31</v>
      </c>
      <c r="D792">
        <v>7</v>
      </c>
      <c r="E792" t="s">
        <v>938</v>
      </c>
      <c r="F792" t="s">
        <v>45</v>
      </c>
      <c r="G792" t="s">
        <v>26</v>
      </c>
      <c r="H792">
        <v>5</v>
      </c>
      <c r="I792">
        <v>4500</v>
      </c>
      <c r="J792">
        <v>0</v>
      </c>
      <c r="K792" t="s">
        <v>1938</v>
      </c>
      <c r="L792">
        <v>1800</v>
      </c>
      <c r="M792">
        <v>22500</v>
      </c>
      <c r="N792">
        <v>9000</v>
      </c>
      <c r="O792">
        <v>13500</v>
      </c>
      <c r="P792">
        <v>0.6</v>
      </c>
      <c r="Q792">
        <v>0</v>
      </c>
      <c r="R792">
        <v>0</v>
      </c>
      <c r="S792">
        <v>5</v>
      </c>
      <c r="T792">
        <v>22500</v>
      </c>
    </row>
    <row r="793" spans="1:20">
      <c r="A793" t="s">
        <v>1052</v>
      </c>
      <c r="B793" s="1">
        <v>45504</v>
      </c>
      <c r="C793">
        <v>31</v>
      </c>
      <c r="D793">
        <v>7</v>
      </c>
      <c r="E793" t="s">
        <v>938</v>
      </c>
      <c r="F793" t="s">
        <v>80</v>
      </c>
      <c r="G793" t="s">
        <v>14</v>
      </c>
      <c r="H793">
        <v>1</v>
      </c>
      <c r="I793">
        <v>400</v>
      </c>
      <c r="J793">
        <v>0</v>
      </c>
      <c r="K793" t="s">
        <v>1922</v>
      </c>
      <c r="L793">
        <v>180</v>
      </c>
      <c r="M793">
        <v>400</v>
      </c>
      <c r="N793">
        <v>180</v>
      </c>
      <c r="O793">
        <v>220</v>
      </c>
      <c r="P793">
        <v>0.55000000000000004</v>
      </c>
      <c r="Q793">
        <v>0</v>
      </c>
      <c r="R793">
        <v>0</v>
      </c>
      <c r="S793">
        <v>1</v>
      </c>
      <c r="T793">
        <v>400</v>
      </c>
    </row>
    <row r="794" spans="1:20">
      <c r="A794" t="s">
        <v>1054</v>
      </c>
      <c r="B794" s="1">
        <v>45505</v>
      </c>
      <c r="C794">
        <v>31</v>
      </c>
      <c r="D794">
        <v>8</v>
      </c>
      <c r="E794" t="s">
        <v>1056</v>
      </c>
      <c r="F794" t="s">
        <v>13</v>
      </c>
      <c r="G794" t="s">
        <v>14</v>
      </c>
      <c r="H794">
        <v>2</v>
      </c>
      <c r="I794">
        <v>480</v>
      </c>
      <c r="J794">
        <v>0</v>
      </c>
      <c r="K794" t="s">
        <v>1925</v>
      </c>
      <c r="L794">
        <v>220</v>
      </c>
      <c r="M794">
        <v>960</v>
      </c>
      <c r="N794">
        <v>440</v>
      </c>
      <c r="O794">
        <v>520</v>
      </c>
      <c r="P794">
        <v>0.54166666666666696</v>
      </c>
      <c r="Q794">
        <v>2</v>
      </c>
      <c r="R794">
        <v>2</v>
      </c>
      <c r="S794">
        <v>0</v>
      </c>
      <c r="T794">
        <v>0</v>
      </c>
    </row>
    <row r="795" spans="1:20">
      <c r="A795" t="s">
        <v>1057</v>
      </c>
      <c r="B795" s="1">
        <v>45505</v>
      </c>
      <c r="C795">
        <v>31</v>
      </c>
      <c r="D795">
        <v>8</v>
      </c>
      <c r="E795" t="s">
        <v>1056</v>
      </c>
      <c r="F795" t="s">
        <v>82</v>
      </c>
      <c r="G795" t="s">
        <v>20</v>
      </c>
      <c r="H795">
        <v>2</v>
      </c>
      <c r="I795">
        <v>900</v>
      </c>
      <c r="J795">
        <v>0</v>
      </c>
      <c r="K795" t="s">
        <v>1933</v>
      </c>
      <c r="L795">
        <v>500</v>
      </c>
      <c r="M795">
        <v>1800</v>
      </c>
      <c r="N795">
        <v>1000</v>
      </c>
      <c r="O795">
        <v>800</v>
      </c>
      <c r="P795">
        <v>0.44444444444444398</v>
      </c>
      <c r="Q795">
        <v>0</v>
      </c>
      <c r="R795">
        <v>0</v>
      </c>
      <c r="S795">
        <v>2</v>
      </c>
      <c r="T795">
        <v>1800</v>
      </c>
    </row>
    <row r="796" spans="1:20">
      <c r="A796" t="s">
        <v>1058</v>
      </c>
      <c r="B796" s="1">
        <v>45505</v>
      </c>
      <c r="C796">
        <v>31</v>
      </c>
      <c r="D796">
        <v>8</v>
      </c>
      <c r="E796" t="s">
        <v>1056</v>
      </c>
      <c r="F796" t="s">
        <v>37</v>
      </c>
      <c r="G796" t="s">
        <v>20</v>
      </c>
      <c r="H796">
        <v>5</v>
      </c>
      <c r="I796">
        <v>2106</v>
      </c>
      <c r="J796">
        <v>10</v>
      </c>
      <c r="K796" t="s">
        <v>1935</v>
      </c>
      <c r="L796">
        <v>1300</v>
      </c>
      <c r="M796">
        <v>10530</v>
      </c>
      <c r="N796">
        <v>6500</v>
      </c>
      <c r="O796">
        <v>4030</v>
      </c>
      <c r="P796">
        <v>0.38271604938271597</v>
      </c>
      <c r="Q796">
        <v>0</v>
      </c>
      <c r="R796">
        <v>0</v>
      </c>
      <c r="S796">
        <v>5</v>
      </c>
      <c r="T796">
        <v>10530</v>
      </c>
    </row>
    <row r="797" spans="1:20">
      <c r="A797" t="s">
        <v>1059</v>
      </c>
      <c r="B797" s="1">
        <v>45505</v>
      </c>
      <c r="C797">
        <v>31</v>
      </c>
      <c r="D797">
        <v>8</v>
      </c>
      <c r="E797" t="s">
        <v>1056</v>
      </c>
      <c r="F797" t="s">
        <v>22</v>
      </c>
      <c r="G797" t="s">
        <v>23</v>
      </c>
      <c r="H797">
        <v>5</v>
      </c>
      <c r="I797">
        <v>500</v>
      </c>
      <c r="J797">
        <v>0</v>
      </c>
      <c r="K797" t="s">
        <v>1929</v>
      </c>
      <c r="L797">
        <v>250</v>
      </c>
      <c r="M797">
        <v>2500</v>
      </c>
      <c r="N797">
        <v>1250</v>
      </c>
      <c r="O797">
        <v>1250</v>
      </c>
      <c r="P797">
        <v>0.5</v>
      </c>
      <c r="Q797">
        <v>0</v>
      </c>
      <c r="R797">
        <v>0</v>
      </c>
      <c r="S797">
        <v>5</v>
      </c>
      <c r="T797">
        <v>2500</v>
      </c>
    </row>
    <row r="798" spans="1:20">
      <c r="A798" t="s">
        <v>1060</v>
      </c>
      <c r="B798" s="1">
        <v>45505</v>
      </c>
      <c r="C798">
        <v>31</v>
      </c>
      <c r="D798">
        <v>8</v>
      </c>
      <c r="E798" t="s">
        <v>1056</v>
      </c>
      <c r="F798" t="s">
        <v>364</v>
      </c>
      <c r="G798" t="s">
        <v>221</v>
      </c>
      <c r="H798">
        <v>2</v>
      </c>
      <c r="I798">
        <v>960</v>
      </c>
      <c r="J798">
        <v>0</v>
      </c>
      <c r="K798" t="s">
        <v>1946</v>
      </c>
      <c r="L798">
        <v>480</v>
      </c>
      <c r="M798">
        <v>1920</v>
      </c>
      <c r="N798">
        <v>960</v>
      </c>
      <c r="O798">
        <v>960</v>
      </c>
      <c r="P798">
        <v>0.5</v>
      </c>
      <c r="Q798">
        <v>0</v>
      </c>
      <c r="R798">
        <v>0</v>
      </c>
      <c r="S798">
        <v>2</v>
      </c>
      <c r="T798">
        <v>1920</v>
      </c>
    </row>
    <row r="799" spans="1:20">
      <c r="A799" t="s">
        <v>1061</v>
      </c>
      <c r="B799" s="1">
        <v>45506</v>
      </c>
      <c r="C799">
        <v>31</v>
      </c>
      <c r="D799">
        <v>8</v>
      </c>
      <c r="E799" t="s">
        <v>1056</v>
      </c>
      <c r="F799" t="s">
        <v>22</v>
      </c>
      <c r="G799" t="s">
        <v>23</v>
      </c>
      <c r="H799">
        <v>2</v>
      </c>
      <c r="I799">
        <v>425</v>
      </c>
      <c r="J799">
        <v>15</v>
      </c>
      <c r="K799" t="s">
        <v>1929</v>
      </c>
      <c r="L799">
        <v>250</v>
      </c>
      <c r="M799">
        <v>850</v>
      </c>
      <c r="N799">
        <v>500</v>
      </c>
      <c r="O799">
        <v>350</v>
      </c>
      <c r="P799">
        <v>0.41176470588235298</v>
      </c>
      <c r="Q799">
        <v>0</v>
      </c>
      <c r="R799">
        <v>0</v>
      </c>
      <c r="S799">
        <v>2</v>
      </c>
      <c r="T799">
        <v>850</v>
      </c>
    </row>
    <row r="800" spans="1:20">
      <c r="A800" t="s">
        <v>1063</v>
      </c>
      <c r="B800" s="1">
        <v>45506</v>
      </c>
      <c r="C800">
        <v>31</v>
      </c>
      <c r="D800">
        <v>8</v>
      </c>
      <c r="E800" t="s">
        <v>1056</v>
      </c>
      <c r="F800" t="s">
        <v>37</v>
      </c>
      <c r="G800" t="s">
        <v>20</v>
      </c>
      <c r="H800">
        <v>1</v>
      </c>
      <c r="I800">
        <v>1989</v>
      </c>
      <c r="J800">
        <v>15</v>
      </c>
      <c r="K800" t="s">
        <v>1935</v>
      </c>
      <c r="L800">
        <v>1300</v>
      </c>
      <c r="M800">
        <v>1989</v>
      </c>
      <c r="N800">
        <v>1300</v>
      </c>
      <c r="O800">
        <v>689</v>
      </c>
      <c r="P800">
        <v>0.34640522875816998</v>
      </c>
      <c r="Q800">
        <v>1</v>
      </c>
      <c r="R800">
        <v>1</v>
      </c>
      <c r="S800">
        <v>0</v>
      </c>
      <c r="T800">
        <v>0</v>
      </c>
    </row>
    <row r="801" spans="1:20">
      <c r="A801" t="s">
        <v>1064</v>
      </c>
      <c r="B801" s="1">
        <v>45507</v>
      </c>
      <c r="C801">
        <v>31</v>
      </c>
      <c r="D801">
        <v>8</v>
      </c>
      <c r="E801" t="s">
        <v>1056</v>
      </c>
      <c r="F801" t="s">
        <v>364</v>
      </c>
      <c r="G801" t="s">
        <v>221</v>
      </c>
      <c r="H801">
        <v>1</v>
      </c>
      <c r="I801">
        <v>912</v>
      </c>
      <c r="J801">
        <v>5</v>
      </c>
      <c r="K801" t="s">
        <v>1946</v>
      </c>
      <c r="L801">
        <v>480</v>
      </c>
      <c r="M801">
        <v>912</v>
      </c>
      <c r="N801">
        <v>480</v>
      </c>
      <c r="O801">
        <v>432</v>
      </c>
      <c r="P801">
        <v>0.47368421052631599</v>
      </c>
      <c r="Q801">
        <v>0</v>
      </c>
      <c r="R801">
        <v>0</v>
      </c>
      <c r="S801">
        <v>1</v>
      </c>
      <c r="T801">
        <v>912</v>
      </c>
    </row>
    <row r="802" spans="1:20">
      <c r="A802" t="s">
        <v>1066</v>
      </c>
      <c r="B802" s="1">
        <v>45507</v>
      </c>
      <c r="C802">
        <v>31</v>
      </c>
      <c r="D802">
        <v>8</v>
      </c>
      <c r="E802" t="s">
        <v>1056</v>
      </c>
      <c r="F802" t="s">
        <v>37</v>
      </c>
      <c r="G802" t="s">
        <v>20</v>
      </c>
      <c r="H802">
        <v>5</v>
      </c>
      <c r="I802">
        <v>1989</v>
      </c>
      <c r="J802">
        <v>15</v>
      </c>
      <c r="K802" t="s">
        <v>1935</v>
      </c>
      <c r="L802">
        <v>1300</v>
      </c>
      <c r="M802">
        <v>9945</v>
      </c>
      <c r="N802">
        <v>6500</v>
      </c>
      <c r="O802">
        <v>3445</v>
      </c>
      <c r="P802">
        <v>0.34640522875816998</v>
      </c>
      <c r="Q802">
        <v>0</v>
      </c>
      <c r="R802">
        <v>0</v>
      </c>
      <c r="S802">
        <v>5</v>
      </c>
      <c r="T802">
        <v>9945</v>
      </c>
    </row>
    <row r="803" spans="1:20">
      <c r="A803" t="s">
        <v>1067</v>
      </c>
      <c r="B803" s="1">
        <v>45507</v>
      </c>
      <c r="C803">
        <v>31</v>
      </c>
      <c r="D803">
        <v>8</v>
      </c>
      <c r="E803" t="s">
        <v>1056</v>
      </c>
      <c r="F803" t="s">
        <v>364</v>
      </c>
      <c r="G803" t="s">
        <v>221</v>
      </c>
      <c r="H803">
        <v>1</v>
      </c>
      <c r="I803">
        <v>816</v>
      </c>
      <c r="J803">
        <v>15</v>
      </c>
      <c r="K803" t="s">
        <v>1946</v>
      </c>
      <c r="L803">
        <v>480</v>
      </c>
      <c r="M803">
        <v>816</v>
      </c>
      <c r="N803">
        <v>480</v>
      </c>
      <c r="O803">
        <v>336</v>
      </c>
      <c r="P803">
        <v>0.41176470588235298</v>
      </c>
      <c r="Q803">
        <v>0</v>
      </c>
      <c r="R803">
        <v>0</v>
      </c>
      <c r="S803">
        <v>1</v>
      </c>
      <c r="T803">
        <v>816</v>
      </c>
    </row>
    <row r="804" spans="1:20">
      <c r="A804" t="s">
        <v>1068</v>
      </c>
      <c r="B804" s="1">
        <v>45508</v>
      </c>
      <c r="C804">
        <v>31</v>
      </c>
      <c r="D804">
        <v>8</v>
      </c>
      <c r="E804" t="s">
        <v>1056</v>
      </c>
      <c r="F804" t="s">
        <v>187</v>
      </c>
      <c r="G804" t="s">
        <v>14</v>
      </c>
      <c r="H804">
        <v>3</v>
      </c>
      <c r="I804">
        <v>3740</v>
      </c>
      <c r="J804">
        <v>15</v>
      </c>
      <c r="K804" t="s">
        <v>1924</v>
      </c>
      <c r="L804">
        <v>2000</v>
      </c>
      <c r="M804">
        <v>11220</v>
      </c>
      <c r="N804">
        <v>6000</v>
      </c>
      <c r="O804">
        <v>5220</v>
      </c>
      <c r="P804">
        <v>0.46524064171122997</v>
      </c>
      <c r="Q804">
        <v>0</v>
      </c>
      <c r="R804">
        <v>0</v>
      </c>
      <c r="S804">
        <v>3</v>
      </c>
      <c r="T804">
        <v>11220</v>
      </c>
    </row>
    <row r="805" spans="1:20">
      <c r="A805" t="s">
        <v>1070</v>
      </c>
      <c r="B805" s="1">
        <v>45508</v>
      </c>
      <c r="C805">
        <v>31</v>
      </c>
      <c r="D805">
        <v>8</v>
      </c>
      <c r="E805" t="s">
        <v>1056</v>
      </c>
      <c r="F805" t="s">
        <v>25</v>
      </c>
      <c r="G805" t="s">
        <v>26</v>
      </c>
      <c r="H805">
        <v>2</v>
      </c>
      <c r="I805">
        <v>850</v>
      </c>
      <c r="J805">
        <v>15</v>
      </c>
      <c r="K805" t="s">
        <v>1940</v>
      </c>
      <c r="L805">
        <v>400</v>
      </c>
      <c r="M805">
        <v>1700</v>
      </c>
      <c r="N805">
        <v>800</v>
      </c>
      <c r="O805">
        <v>900</v>
      </c>
      <c r="P805">
        <v>0.52941176470588203</v>
      </c>
      <c r="Q805">
        <v>0</v>
      </c>
      <c r="R805">
        <v>0</v>
      </c>
      <c r="S805">
        <v>2</v>
      </c>
      <c r="T805">
        <v>1700</v>
      </c>
    </row>
    <row r="806" spans="1:20">
      <c r="A806" t="s">
        <v>1071</v>
      </c>
      <c r="B806" s="1">
        <v>45508</v>
      </c>
      <c r="C806">
        <v>31</v>
      </c>
      <c r="D806">
        <v>8</v>
      </c>
      <c r="E806" t="s">
        <v>1056</v>
      </c>
      <c r="F806" t="s">
        <v>25</v>
      </c>
      <c r="G806" t="s">
        <v>26</v>
      </c>
      <c r="H806">
        <v>1</v>
      </c>
      <c r="I806">
        <v>1000</v>
      </c>
      <c r="J806">
        <v>0</v>
      </c>
      <c r="K806" t="s">
        <v>1940</v>
      </c>
      <c r="L806">
        <v>400</v>
      </c>
      <c r="M806">
        <v>1000</v>
      </c>
      <c r="N806">
        <v>400</v>
      </c>
      <c r="O806">
        <v>600</v>
      </c>
      <c r="P806">
        <v>0.6</v>
      </c>
      <c r="Q806">
        <v>0</v>
      </c>
      <c r="R806">
        <v>0</v>
      </c>
      <c r="S806">
        <v>1</v>
      </c>
      <c r="T806">
        <v>1000</v>
      </c>
    </row>
    <row r="807" spans="1:20">
      <c r="A807" t="s">
        <v>1072</v>
      </c>
      <c r="B807" s="1">
        <v>45508</v>
      </c>
      <c r="C807">
        <v>31</v>
      </c>
      <c r="D807">
        <v>8</v>
      </c>
      <c r="E807" t="s">
        <v>1056</v>
      </c>
      <c r="F807" t="s">
        <v>119</v>
      </c>
      <c r="G807" t="s">
        <v>14</v>
      </c>
      <c r="H807">
        <v>3</v>
      </c>
      <c r="I807">
        <v>654.5</v>
      </c>
      <c r="J807">
        <v>15</v>
      </c>
      <c r="K807" t="s">
        <v>1920</v>
      </c>
      <c r="L807">
        <v>350</v>
      </c>
      <c r="M807">
        <v>1963.5</v>
      </c>
      <c r="N807">
        <v>1050</v>
      </c>
      <c r="O807">
        <v>913.5</v>
      </c>
      <c r="P807">
        <v>0.46524064171122997</v>
      </c>
      <c r="Q807">
        <v>0</v>
      </c>
      <c r="R807">
        <v>0</v>
      </c>
      <c r="S807">
        <v>3</v>
      </c>
      <c r="T807">
        <v>1963.5</v>
      </c>
    </row>
    <row r="808" spans="1:20">
      <c r="A808" t="s">
        <v>1073</v>
      </c>
      <c r="B808" s="1">
        <v>45508</v>
      </c>
      <c r="C808">
        <v>31</v>
      </c>
      <c r="D808">
        <v>8</v>
      </c>
      <c r="E808" t="s">
        <v>1056</v>
      </c>
      <c r="F808" t="s">
        <v>119</v>
      </c>
      <c r="G808" t="s">
        <v>14</v>
      </c>
      <c r="H808">
        <v>1</v>
      </c>
      <c r="I808">
        <v>654.5</v>
      </c>
      <c r="J808">
        <v>15</v>
      </c>
      <c r="K808" t="s">
        <v>1920</v>
      </c>
      <c r="L808">
        <v>350</v>
      </c>
      <c r="M808">
        <v>654.5</v>
      </c>
      <c r="N808">
        <v>350</v>
      </c>
      <c r="O808">
        <v>304.5</v>
      </c>
      <c r="P808">
        <v>0.46524064171122997</v>
      </c>
      <c r="Q808">
        <v>0</v>
      </c>
      <c r="R808">
        <v>0</v>
      </c>
      <c r="S808">
        <v>1</v>
      </c>
      <c r="T808">
        <v>654.5</v>
      </c>
    </row>
    <row r="809" spans="1:20">
      <c r="A809" t="s">
        <v>1074</v>
      </c>
      <c r="B809" s="1">
        <v>45508</v>
      </c>
      <c r="C809">
        <v>31</v>
      </c>
      <c r="D809">
        <v>8</v>
      </c>
      <c r="E809" t="s">
        <v>1056</v>
      </c>
      <c r="F809" t="s">
        <v>51</v>
      </c>
      <c r="G809" t="s">
        <v>26</v>
      </c>
      <c r="H809">
        <v>4</v>
      </c>
      <c r="I809">
        <v>475</v>
      </c>
      <c r="J809">
        <v>5</v>
      </c>
      <c r="K809" t="s">
        <v>1936</v>
      </c>
      <c r="L809">
        <v>200</v>
      </c>
      <c r="M809">
        <v>1900</v>
      </c>
      <c r="N809">
        <v>800</v>
      </c>
      <c r="O809">
        <v>1100</v>
      </c>
      <c r="P809">
        <v>0.57894736842105299</v>
      </c>
      <c r="Q809">
        <v>0</v>
      </c>
      <c r="R809">
        <v>0</v>
      </c>
      <c r="S809">
        <v>4</v>
      </c>
      <c r="T809">
        <v>1900</v>
      </c>
    </row>
    <row r="810" spans="1:20">
      <c r="A810" t="s">
        <v>1075</v>
      </c>
      <c r="B810" s="1">
        <v>45509</v>
      </c>
      <c r="C810">
        <v>32</v>
      </c>
      <c r="D810">
        <v>8</v>
      </c>
      <c r="E810" t="s">
        <v>1056</v>
      </c>
      <c r="F810" t="s">
        <v>22</v>
      </c>
      <c r="G810" t="s">
        <v>23</v>
      </c>
      <c r="H810">
        <v>5</v>
      </c>
      <c r="I810">
        <v>475</v>
      </c>
      <c r="J810">
        <v>5</v>
      </c>
      <c r="K810" t="s">
        <v>1929</v>
      </c>
      <c r="L810">
        <v>250</v>
      </c>
      <c r="M810">
        <v>2375</v>
      </c>
      <c r="N810">
        <v>1250</v>
      </c>
      <c r="O810">
        <v>1125</v>
      </c>
      <c r="P810">
        <v>0.47368421052631599</v>
      </c>
      <c r="Q810">
        <v>0</v>
      </c>
      <c r="R810">
        <v>0</v>
      </c>
      <c r="S810">
        <v>5</v>
      </c>
      <c r="T810">
        <v>2375</v>
      </c>
    </row>
    <row r="811" spans="1:20">
      <c r="A811" t="s">
        <v>1077</v>
      </c>
      <c r="B811" s="1">
        <v>45509</v>
      </c>
      <c r="C811">
        <v>32</v>
      </c>
      <c r="D811">
        <v>8</v>
      </c>
      <c r="E811" t="s">
        <v>1056</v>
      </c>
      <c r="F811" t="s">
        <v>28</v>
      </c>
      <c r="G811" t="s">
        <v>26</v>
      </c>
      <c r="H811">
        <v>1</v>
      </c>
      <c r="I811">
        <v>1425</v>
      </c>
      <c r="J811">
        <v>5</v>
      </c>
      <c r="K811" t="s">
        <v>1939</v>
      </c>
      <c r="L811">
        <v>600</v>
      </c>
      <c r="M811">
        <v>1425</v>
      </c>
      <c r="N811">
        <v>600</v>
      </c>
      <c r="O811">
        <v>825</v>
      </c>
      <c r="P811">
        <v>0.57894736842105299</v>
      </c>
      <c r="Q811">
        <v>0</v>
      </c>
      <c r="R811">
        <v>0</v>
      </c>
      <c r="S811">
        <v>1</v>
      </c>
      <c r="T811">
        <v>1425</v>
      </c>
    </row>
    <row r="812" spans="1:20">
      <c r="A812" t="s">
        <v>1078</v>
      </c>
      <c r="B812" s="1">
        <v>45509</v>
      </c>
      <c r="C812">
        <v>32</v>
      </c>
      <c r="D812">
        <v>8</v>
      </c>
      <c r="E812" t="s">
        <v>1056</v>
      </c>
      <c r="F812" t="s">
        <v>68</v>
      </c>
      <c r="G812" t="s">
        <v>26</v>
      </c>
      <c r="H812">
        <v>2</v>
      </c>
      <c r="I812">
        <v>380</v>
      </c>
      <c r="J812">
        <v>0</v>
      </c>
      <c r="K812" t="s">
        <v>1937</v>
      </c>
      <c r="L812">
        <v>150</v>
      </c>
      <c r="M812">
        <v>760</v>
      </c>
      <c r="N812">
        <v>300</v>
      </c>
      <c r="O812">
        <v>460</v>
      </c>
      <c r="P812">
        <v>0.60526315789473695</v>
      </c>
      <c r="Q812">
        <v>0</v>
      </c>
      <c r="R812">
        <v>0</v>
      </c>
      <c r="S812">
        <v>2</v>
      </c>
      <c r="T812">
        <v>760</v>
      </c>
    </row>
    <row r="813" spans="1:20">
      <c r="A813" t="s">
        <v>1079</v>
      </c>
      <c r="B813" s="1">
        <v>45509</v>
      </c>
      <c r="C813">
        <v>32</v>
      </c>
      <c r="D813">
        <v>8</v>
      </c>
      <c r="E813" t="s">
        <v>1056</v>
      </c>
      <c r="F813" t="s">
        <v>37</v>
      </c>
      <c r="G813" t="s">
        <v>20</v>
      </c>
      <c r="H813">
        <v>1</v>
      </c>
      <c r="I813">
        <v>1989</v>
      </c>
      <c r="J813">
        <v>15</v>
      </c>
      <c r="K813" t="s">
        <v>1935</v>
      </c>
      <c r="L813">
        <v>1300</v>
      </c>
      <c r="M813">
        <v>1989</v>
      </c>
      <c r="N813">
        <v>1300</v>
      </c>
      <c r="O813">
        <v>689</v>
      </c>
      <c r="P813">
        <v>0.34640522875816998</v>
      </c>
      <c r="Q813">
        <v>1</v>
      </c>
      <c r="R813">
        <v>1</v>
      </c>
      <c r="S813">
        <v>0</v>
      </c>
      <c r="T813">
        <v>0</v>
      </c>
    </row>
    <row r="814" spans="1:20">
      <c r="A814" t="s">
        <v>1080</v>
      </c>
      <c r="B814" s="1">
        <v>45509</v>
      </c>
      <c r="C814">
        <v>32</v>
      </c>
      <c r="D814">
        <v>8</v>
      </c>
      <c r="E814" t="s">
        <v>1056</v>
      </c>
      <c r="F814" t="s">
        <v>119</v>
      </c>
      <c r="G814" t="s">
        <v>14</v>
      </c>
      <c r="H814">
        <v>2</v>
      </c>
      <c r="I814">
        <v>770</v>
      </c>
      <c r="J814">
        <v>0</v>
      </c>
      <c r="K814" t="s">
        <v>1920</v>
      </c>
      <c r="L814">
        <v>350</v>
      </c>
      <c r="M814">
        <v>1540</v>
      </c>
      <c r="N814">
        <v>700</v>
      </c>
      <c r="O814">
        <v>840</v>
      </c>
      <c r="P814">
        <v>0.54545454545454497</v>
      </c>
      <c r="Q814">
        <v>0</v>
      </c>
      <c r="R814">
        <v>0</v>
      </c>
      <c r="S814">
        <v>2</v>
      </c>
      <c r="T814">
        <v>1540</v>
      </c>
    </row>
    <row r="815" spans="1:20">
      <c r="A815" t="s">
        <v>1081</v>
      </c>
      <c r="B815" s="1">
        <v>45509</v>
      </c>
      <c r="C815">
        <v>32</v>
      </c>
      <c r="D815">
        <v>8</v>
      </c>
      <c r="E815" t="s">
        <v>1056</v>
      </c>
      <c r="F815" t="s">
        <v>119</v>
      </c>
      <c r="G815" t="s">
        <v>14</v>
      </c>
      <c r="H815">
        <v>5</v>
      </c>
      <c r="I815">
        <v>693</v>
      </c>
      <c r="J815">
        <v>10</v>
      </c>
      <c r="K815" t="s">
        <v>1920</v>
      </c>
      <c r="L815">
        <v>350</v>
      </c>
      <c r="M815">
        <v>3465</v>
      </c>
      <c r="N815">
        <v>1750</v>
      </c>
      <c r="O815">
        <v>1715</v>
      </c>
      <c r="P815">
        <v>0.49494949494949497</v>
      </c>
      <c r="Q815">
        <v>0</v>
      </c>
      <c r="R815">
        <v>0</v>
      </c>
      <c r="S815">
        <v>5</v>
      </c>
      <c r="T815">
        <v>3465</v>
      </c>
    </row>
    <row r="816" spans="1:20">
      <c r="A816" t="s">
        <v>1082</v>
      </c>
      <c r="B816" s="1">
        <v>45509</v>
      </c>
      <c r="C816">
        <v>32</v>
      </c>
      <c r="D816">
        <v>8</v>
      </c>
      <c r="E816" t="s">
        <v>1056</v>
      </c>
      <c r="F816" t="s">
        <v>16</v>
      </c>
      <c r="G816" t="s">
        <v>17</v>
      </c>
      <c r="H816">
        <v>1</v>
      </c>
      <c r="I816">
        <v>520</v>
      </c>
      <c r="J816">
        <v>0</v>
      </c>
      <c r="K816" t="s">
        <v>1945</v>
      </c>
      <c r="L816">
        <v>250</v>
      </c>
      <c r="M816">
        <v>520</v>
      </c>
      <c r="N816">
        <v>250</v>
      </c>
      <c r="O816">
        <v>270</v>
      </c>
      <c r="P816">
        <v>0.51923076923076905</v>
      </c>
      <c r="Q816">
        <v>0</v>
      </c>
      <c r="R816">
        <v>0</v>
      </c>
      <c r="S816">
        <v>1</v>
      </c>
      <c r="T816">
        <v>520</v>
      </c>
    </row>
    <row r="817" spans="1:20">
      <c r="A817" t="s">
        <v>1083</v>
      </c>
      <c r="B817" s="1">
        <v>45511</v>
      </c>
      <c r="C817">
        <v>32</v>
      </c>
      <c r="D817">
        <v>8</v>
      </c>
      <c r="E817" t="s">
        <v>1056</v>
      </c>
      <c r="F817" t="s">
        <v>58</v>
      </c>
      <c r="G817" t="s">
        <v>23</v>
      </c>
      <c r="H817">
        <v>3</v>
      </c>
      <c r="I817">
        <v>850</v>
      </c>
      <c r="J817">
        <v>15</v>
      </c>
      <c r="K817" t="s">
        <v>1927</v>
      </c>
      <c r="L817">
        <v>500</v>
      </c>
      <c r="M817">
        <v>2550</v>
      </c>
      <c r="N817">
        <v>1500</v>
      </c>
      <c r="O817">
        <v>1050</v>
      </c>
      <c r="P817">
        <v>0.41176470588235298</v>
      </c>
      <c r="Q817">
        <v>0</v>
      </c>
      <c r="R817">
        <v>0</v>
      </c>
      <c r="S817">
        <v>3</v>
      </c>
      <c r="T817">
        <v>2550</v>
      </c>
    </row>
    <row r="818" spans="1:20">
      <c r="A818" t="s">
        <v>1085</v>
      </c>
      <c r="B818" s="1">
        <v>45511</v>
      </c>
      <c r="C818">
        <v>32</v>
      </c>
      <c r="D818">
        <v>8</v>
      </c>
      <c r="E818" t="s">
        <v>1056</v>
      </c>
      <c r="F818" t="s">
        <v>82</v>
      </c>
      <c r="G818" t="s">
        <v>20</v>
      </c>
      <c r="H818">
        <v>4</v>
      </c>
      <c r="I818">
        <v>900</v>
      </c>
      <c r="J818">
        <v>0</v>
      </c>
      <c r="K818" t="s">
        <v>1933</v>
      </c>
      <c r="L818">
        <v>500</v>
      </c>
      <c r="M818">
        <v>3600</v>
      </c>
      <c r="N818">
        <v>2000</v>
      </c>
      <c r="O818">
        <v>1600</v>
      </c>
      <c r="P818">
        <v>0.44444444444444398</v>
      </c>
      <c r="Q818">
        <v>0</v>
      </c>
      <c r="R818">
        <v>0</v>
      </c>
      <c r="S818">
        <v>4</v>
      </c>
      <c r="T818">
        <v>3600</v>
      </c>
    </row>
    <row r="819" spans="1:20">
      <c r="A819" t="s">
        <v>1086</v>
      </c>
      <c r="B819" s="1">
        <v>45511</v>
      </c>
      <c r="C819">
        <v>32</v>
      </c>
      <c r="D819">
        <v>8</v>
      </c>
      <c r="E819" t="s">
        <v>1056</v>
      </c>
      <c r="F819" t="s">
        <v>97</v>
      </c>
      <c r="G819" t="s">
        <v>20</v>
      </c>
      <c r="H819">
        <v>3</v>
      </c>
      <c r="I819">
        <v>1980</v>
      </c>
      <c r="J819">
        <v>0</v>
      </c>
      <c r="K819" t="s">
        <v>1932</v>
      </c>
      <c r="L819">
        <v>1100</v>
      </c>
      <c r="M819">
        <v>5940</v>
      </c>
      <c r="N819">
        <v>3300</v>
      </c>
      <c r="O819">
        <v>2640</v>
      </c>
      <c r="P819">
        <v>0.44444444444444398</v>
      </c>
      <c r="Q819">
        <v>1</v>
      </c>
      <c r="R819">
        <v>1</v>
      </c>
      <c r="S819">
        <v>2</v>
      </c>
      <c r="T819">
        <v>3960</v>
      </c>
    </row>
    <row r="820" spans="1:20">
      <c r="A820" t="s">
        <v>1087</v>
      </c>
      <c r="B820" s="1">
        <v>45511</v>
      </c>
      <c r="C820">
        <v>32</v>
      </c>
      <c r="D820">
        <v>8</v>
      </c>
      <c r="E820" t="s">
        <v>1056</v>
      </c>
      <c r="F820" t="s">
        <v>187</v>
      </c>
      <c r="G820" t="s">
        <v>14</v>
      </c>
      <c r="H820">
        <v>1</v>
      </c>
      <c r="I820">
        <v>3960</v>
      </c>
      <c r="J820">
        <v>10</v>
      </c>
      <c r="K820" t="s">
        <v>1924</v>
      </c>
      <c r="L820">
        <v>2000</v>
      </c>
      <c r="M820">
        <v>3960</v>
      </c>
      <c r="N820">
        <v>2000</v>
      </c>
      <c r="O820">
        <v>1960</v>
      </c>
      <c r="P820">
        <v>0.49494949494949497</v>
      </c>
      <c r="Q820">
        <v>0</v>
      </c>
      <c r="R820">
        <v>0</v>
      </c>
      <c r="S820">
        <v>1</v>
      </c>
      <c r="T820">
        <v>3960</v>
      </c>
    </row>
    <row r="821" spans="1:20">
      <c r="A821" t="s">
        <v>1088</v>
      </c>
      <c r="B821" s="1">
        <v>45511</v>
      </c>
      <c r="C821">
        <v>32</v>
      </c>
      <c r="D821">
        <v>8</v>
      </c>
      <c r="E821" t="s">
        <v>1056</v>
      </c>
      <c r="F821" t="s">
        <v>146</v>
      </c>
      <c r="G821" t="s">
        <v>20</v>
      </c>
      <c r="H821">
        <v>2</v>
      </c>
      <c r="I821">
        <v>630</v>
      </c>
      <c r="J821">
        <v>0</v>
      </c>
      <c r="K821" t="s">
        <v>1934</v>
      </c>
      <c r="L821">
        <v>350</v>
      </c>
      <c r="M821">
        <v>1260</v>
      </c>
      <c r="N821">
        <v>700</v>
      </c>
      <c r="O821">
        <v>560</v>
      </c>
      <c r="P821">
        <v>0.44444444444444398</v>
      </c>
      <c r="Q821">
        <v>0</v>
      </c>
      <c r="R821">
        <v>0</v>
      </c>
      <c r="S821">
        <v>2</v>
      </c>
      <c r="T821">
        <v>1260</v>
      </c>
    </row>
    <row r="822" spans="1:20">
      <c r="A822" t="s">
        <v>1089</v>
      </c>
      <c r="B822" s="1">
        <v>45512</v>
      </c>
      <c r="C822">
        <v>32</v>
      </c>
      <c r="D822">
        <v>8</v>
      </c>
      <c r="E822" t="s">
        <v>1056</v>
      </c>
      <c r="F822" t="s">
        <v>68</v>
      </c>
      <c r="G822" t="s">
        <v>26</v>
      </c>
      <c r="H822">
        <v>1</v>
      </c>
      <c r="I822">
        <v>361</v>
      </c>
      <c r="J822">
        <v>5</v>
      </c>
      <c r="K822" t="s">
        <v>1937</v>
      </c>
      <c r="L822">
        <v>150</v>
      </c>
      <c r="M822">
        <v>361</v>
      </c>
      <c r="N822">
        <v>150</v>
      </c>
      <c r="O822">
        <v>211</v>
      </c>
      <c r="P822">
        <v>0.58448753462603897</v>
      </c>
      <c r="Q822">
        <v>0</v>
      </c>
      <c r="R822">
        <v>0</v>
      </c>
      <c r="S822">
        <v>1</v>
      </c>
      <c r="T822">
        <v>361</v>
      </c>
    </row>
    <row r="823" spans="1:20">
      <c r="A823" t="s">
        <v>1091</v>
      </c>
      <c r="B823" s="1">
        <v>45512</v>
      </c>
      <c r="C823">
        <v>32</v>
      </c>
      <c r="D823">
        <v>8</v>
      </c>
      <c r="E823" t="s">
        <v>1056</v>
      </c>
      <c r="F823" t="s">
        <v>187</v>
      </c>
      <c r="G823" t="s">
        <v>14</v>
      </c>
      <c r="H823">
        <v>1</v>
      </c>
      <c r="I823">
        <v>3740</v>
      </c>
      <c r="J823">
        <v>15</v>
      </c>
      <c r="K823" t="s">
        <v>1924</v>
      </c>
      <c r="L823">
        <v>2000</v>
      </c>
      <c r="M823">
        <v>3740</v>
      </c>
      <c r="N823">
        <v>2000</v>
      </c>
      <c r="O823">
        <v>1740</v>
      </c>
      <c r="P823">
        <v>0.46524064171122997</v>
      </c>
      <c r="Q823">
        <v>0</v>
      </c>
      <c r="R823">
        <v>0</v>
      </c>
      <c r="S823">
        <v>1</v>
      </c>
      <c r="T823">
        <v>3740</v>
      </c>
    </row>
    <row r="824" spans="1:20">
      <c r="A824" t="s">
        <v>1092</v>
      </c>
      <c r="B824" s="1">
        <v>45512</v>
      </c>
      <c r="C824">
        <v>32</v>
      </c>
      <c r="D824">
        <v>8</v>
      </c>
      <c r="E824" t="s">
        <v>1056</v>
      </c>
      <c r="F824" t="s">
        <v>31</v>
      </c>
      <c r="G824" t="s">
        <v>23</v>
      </c>
      <c r="H824">
        <v>5</v>
      </c>
      <c r="I824">
        <v>1400</v>
      </c>
      <c r="J824">
        <v>0</v>
      </c>
      <c r="K824" t="s">
        <v>1930</v>
      </c>
      <c r="L824">
        <v>700</v>
      </c>
      <c r="M824">
        <v>7000</v>
      </c>
      <c r="N824">
        <v>3500</v>
      </c>
      <c r="O824">
        <v>3500</v>
      </c>
      <c r="P824">
        <v>0.5</v>
      </c>
      <c r="Q824">
        <v>0</v>
      </c>
      <c r="R824">
        <v>0</v>
      </c>
      <c r="S824">
        <v>5</v>
      </c>
      <c r="T824">
        <v>7000</v>
      </c>
    </row>
    <row r="825" spans="1:20">
      <c r="A825" t="s">
        <v>1093</v>
      </c>
      <c r="B825" s="1">
        <v>45512</v>
      </c>
      <c r="C825">
        <v>32</v>
      </c>
      <c r="D825">
        <v>8</v>
      </c>
      <c r="E825" t="s">
        <v>1056</v>
      </c>
      <c r="F825" t="s">
        <v>42</v>
      </c>
      <c r="G825" t="s">
        <v>23</v>
      </c>
      <c r="H825">
        <v>1</v>
      </c>
      <c r="I825">
        <v>540</v>
      </c>
      <c r="J825">
        <v>10</v>
      </c>
      <c r="K825" t="s">
        <v>1928</v>
      </c>
      <c r="L825">
        <v>300</v>
      </c>
      <c r="M825">
        <v>540</v>
      </c>
      <c r="N825">
        <v>300</v>
      </c>
      <c r="O825">
        <v>240</v>
      </c>
      <c r="P825">
        <v>0.44444444444444398</v>
      </c>
      <c r="Q825">
        <v>0</v>
      </c>
      <c r="R825">
        <v>0</v>
      </c>
      <c r="S825">
        <v>1</v>
      </c>
      <c r="T825">
        <v>540</v>
      </c>
    </row>
    <row r="826" spans="1:20">
      <c r="A826" t="s">
        <v>1094</v>
      </c>
      <c r="B826" s="1">
        <v>45513</v>
      </c>
      <c r="C826">
        <v>32</v>
      </c>
      <c r="D826">
        <v>8</v>
      </c>
      <c r="E826" t="s">
        <v>1056</v>
      </c>
      <c r="F826" t="s">
        <v>25</v>
      </c>
      <c r="G826" t="s">
        <v>26</v>
      </c>
      <c r="H826">
        <v>3</v>
      </c>
      <c r="I826">
        <v>1000</v>
      </c>
      <c r="J826">
        <v>0</v>
      </c>
      <c r="K826" t="s">
        <v>1940</v>
      </c>
      <c r="L826">
        <v>400</v>
      </c>
      <c r="M826">
        <v>3000</v>
      </c>
      <c r="N826">
        <v>1200</v>
      </c>
      <c r="O826">
        <v>1800</v>
      </c>
      <c r="P826">
        <v>0.6</v>
      </c>
      <c r="Q826">
        <v>0</v>
      </c>
      <c r="R826">
        <v>0</v>
      </c>
      <c r="S826">
        <v>3</v>
      </c>
      <c r="T826">
        <v>3000</v>
      </c>
    </row>
    <row r="827" spans="1:20">
      <c r="A827" t="s">
        <v>1096</v>
      </c>
      <c r="B827" s="1">
        <v>45513</v>
      </c>
      <c r="C827">
        <v>32</v>
      </c>
      <c r="D827">
        <v>8</v>
      </c>
      <c r="E827" t="s">
        <v>1056</v>
      </c>
      <c r="F827" t="s">
        <v>220</v>
      </c>
      <c r="G827" t="s">
        <v>221</v>
      </c>
      <c r="H827">
        <v>1</v>
      </c>
      <c r="I827">
        <v>600</v>
      </c>
      <c r="J827">
        <v>0</v>
      </c>
      <c r="K827" t="s">
        <v>1947</v>
      </c>
      <c r="L827">
        <v>300</v>
      </c>
      <c r="M827">
        <v>600</v>
      </c>
      <c r="N827">
        <v>300</v>
      </c>
      <c r="O827">
        <v>300</v>
      </c>
      <c r="P827">
        <v>0.5</v>
      </c>
      <c r="Q827">
        <v>0</v>
      </c>
      <c r="R827">
        <v>0</v>
      </c>
      <c r="S827">
        <v>1</v>
      </c>
      <c r="T827">
        <v>600</v>
      </c>
    </row>
    <row r="828" spans="1:20">
      <c r="A828" t="s">
        <v>1097</v>
      </c>
      <c r="B828" s="1">
        <v>45514</v>
      </c>
      <c r="C828">
        <v>32</v>
      </c>
      <c r="D828">
        <v>8</v>
      </c>
      <c r="E828" t="s">
        <v>1056</v>
      </c>
      <c r="F828" t="s">
        <v>42</v>
      </c>
      <c r="G828" t="s">
        <v>23</v>
      </c>
      <c r="H828">
        <v>5</v>
      </c>
      <c r="I828">
        <v>570</v>
      </c>
      <c r="J828">
        <v>5</v>
      </c>
      <c r="K828" t="s">
        <v>1928</v>
      </c>
      <c r="L828">
        <v>300</v>
      </c>
      <c r="M828">
        <v>2850</v>
      </c>
      <c r="N828">
        <v>1500</v>
      </c>
      <c r="O828">
        <v>1350</v>
      </c>
      <c r="P828">
        <v>0.47368421052631599</v>
      </c>
      <c r="Q828">
        <v>0</v>
      </c>
      <c r="R828">
        <v>0</v>
      </c>
      <c r="S828">
        <v>5</v>
      </c>
      <c r="T828">
        <v>2850</v>
      </c>
    </row>
    <row r="829" spans="1:20">
      <c r="A829" t="s">
        <v>1099</v>
      </c>
      <c r="B829" s="1">
        <v>45514</v>
      </c>
      <c r="C829">
        <v>32</v>
      </c>
      <c r="D829">
        <v>8</v>
      </c>
      <c r="E829" t="s">
        <v>1056</v>
      </c>
      <c r="F829" t="s">
        <v>80</v>
      </c>
      <c r="G829" t="s">
        <v>14</v>
      </c>
      <c r="H829">
        <v>2</v>
      </c>
      <c r="I829">
        <v>340</v>
      </c>
      <c r="J829">
        <v>15</v>
      </c>
      <c r="K829" t="s">
        <v>1922</v>
      </c>
      <c r="L829">
        <v>180</v>
      </c>
      <c r="M829">
        <v>680</v>
      </c>
      <c r="N829">
        <v>360</v>
      </c>
      <c r="O829">
        <v>320</v>
      </c>
      <c r="P829">
        <v>0.47058823529411797</v>
      </c>
      <c r="Q829">
        <v>0</v>
      </c>
      <c r="R829">
        <v>0</v>
      </c>
      <c r="S829">
        <v>2</v>
      </c>
      <c r="T829">
        <v>680</v>
      </c>
    </row>
    <row r="830" spans="1:20">
      <c r="A830" t="s">
        <v>1100</v>
      </c>
      <c r="B830" s="1">
        <v>45515</v>
      </c>
      <c r="C830">
        <v>32</v>
      </c>
      <c r="D830">
        <v>8</v>
      </c>
      <c r="E830" t="s">
        <v>1056</v>
      </c>
      <c r="F830" t="s">
        <v>220</v>
      </c>
      <c r="G830" t="s">
        <v>221</v>
      </c>
      <c r="H830">
        <v>4</v>
      </c>
      <c r="I830">
        <v>600</v>
      </c>
      <c r="J830">
        <v>0</v>
      </c>
      <c r="K830" t="s">
        <v>1947</v>
      </c>
      <c r="L830">
        <v>300</v>
      </c>
      <c r="M830">
        <v>2400</v>
      </c>
      <c r="N830">
        <v>1200</v>
      </c>
      <c r="O830">
        <v>1200</v>
      </c>
      <c r="P830">
        <v>0.5</v>
      </c>
      <c r="Q830">
        <v>0</v>
      </c>
      <c r="R830">
        <v>0</v>
      </c>
      <c r="S830">
        <v>4</v>
      </c>
      <c r="T830">
        <v>2400</v>
      </c>
    </row>
    <row r="831" spans="1:20">
      <c r="A831" t="s">
        <v>1102</v>
      </c>
      <c r="B831" s="1">
        <v>45515</v>
      </c>
      <c r="C831">
        <v>32</v>
      </c>
      <c r="D831">
        <v>8</v>
      </c>
      <c r="E831" t="s">
        <v>1056</v>
      </c>
      <c r="F831" t="s">
        <v>80</v>
      </c>
      <c r="G831" t="s">
        <v>14</v>
      </c>
      <c r="H831">
        <v>4</v>
      </c>
      <c r="I831">
        <v>360</v>
      </c>
      <c r="J831">
        <v>10</v>
      </c>
      <c r="K831" t="s">
        <v>1922</v>
      </c>
      <c r="L831">
        <v>180</v>
      </c>
      <c r="M831">
        <v>1440</v>
      </c>
      <c r="N831">
        <v>720</v>
      </c>
      <c r="O831">
        <v>720</v>
      </c>
      <c r="P831">
        <v>0.5</v>
      </c>
      <c r="Q831">
        <v>0</v>
      </c>
      <c r="R831">
        <v>0</v>
      </c>
      <c r="S831">
        <v>4</v>
      </c>
      <c r="T831">
        <v>1440</v>
      </c>
    </row>
    <row r="832" spans="1:20">
      <c r="A832" t="s">
        <v>1103</v>
      </c>
      <c r="B832" s="1">
        <v>45516</v>
      </c>
      <c r="C832">
        <v>33</v>
      </c>
      <c r="D832">
        <v>8</v>
      </c>
      <c r="E832" t="s">
        <v>1056</v>
      </c>
      <c r="F832" t="s">
        <v>51</v>
      </c>
      <c r="G832" t="s">
        <v>26</v>
      </c>
      <c r="H832">
        <v>3</v>
      </c>
      <c r="I832">
        <v>500</v>
      </c>
      <c r="J832">
        <v>0</v>
      </c>
      <c r="K832" t="s">
        <v>1936</v>
      </c>
      <c r="L832">
        <v>200</v>
      </c>
      <c r="M832">
        <v>1500</v>
      </c>
      <c r="N832">
        <v>600</v>
      </c>
      <c r="O832">
        <v>900</v>
      </c>
      <c r="P832">
        <v>0.6</v>
      </c>
      <c r="Q832">
        <v>0</v>
      </c>
      <c r="R832">
        <v>0</v>
      </c>
      <c r="S832">
        <v>3</v>
      </c>
      <c r="T832">
        <v>1500</v>
      </c>
    </row>
    <row r="833" spans="1:20">
      <c r="A833" t="s">
        <v>1105</v>
      </c>
      <c r="B833" s="1">
        <v>45516</v>
      </c>
      <c r="C833">
        <v>33</v>
      </c>
      <c r="D833">
        <v>8</v>
      </c>
      <c r="E833" t="s">
        <v>1056</v>
      </c>
      <c r="F833" t="s">
        <v>115</v>
      </c>
      <c r="G833" t="s">
        <v>23</v>
      </c>
      <c r="H833">
        <v>5</v>
      </c>
      <c r="I833">
        <v>1200</v>
      </c>
      <c r="J833">
        <v>0</v>
      </c>
      <c r="K833" t="s">
        <v>1926</v>
      </c>
      <c r="L833">
        <v>600</v>
      </c>
      <c r="M833">
        <v>6000</v>
      </c>
      <c r="N833">
        <v>3000</v>
      </c>
      <c r="O833">
        <v>3000</v>
      </c>
      <c r="P833">
        <v>0.5</v>
      </c>
      <c r="Q833">
        <v>0</v>
      </c>
      <c r="R833">
        <v>0</v>
      </c>
      <c r="S833">
        <v>5</v>
      </c>
      <c r="T833">
        <v>6000</v>
      </c>
    </row>
    <row r="834" spans="1:20">
      <c r="A834" t="s">
        <v>1106</v>
      </c>
      <c r="B834" s="1">
        <v>45516</v>
      </c>
      <c r="C834">
        <v>33</v>
      </c>
      <c r="D834">
        <v>8</v>
      </c>
      <c r="E834" t="s">
        <v>1056</v>
      </c>
      <c r="F834" t="s">
        <v>119</v>
      </c>
      <c r="G834" t="s">
        <v>14</v>
      </c>
      <c r="H834">
        <v>5</v>
      </c>
      <c r="I834">
        <v>693</v>
      </c>
      <c r="J834">
        <v>10</v>
      </c>
      <c r="K834" t="s">
        <v>1920</v>
      </c>
      <c r="L834">
        <v>350</v>
      </c>
      <c r="M834">
        <v>3465</v>
      </c>
      <c r="N834">
        <v>1750</v>
      </c>
      <c r="O834">
        <v>1715</v>
      </c>
      <c r="P834">
        <v>0.49494949494949497</v>
      </c>
      <c r="Q834">
        <v>0</v>
      </c>
      <c r="R834">
        <v>0</v>
      </c>
      <c r="S834">
        <v>5</v>
      </c>
      <c r="T834">
        <v>3465</v>
      </c>
    </row>
    <row r="835" spans="1:20">
      <c r="A835" t="s">
        <v>1107</v>
      </c>
      <c r="B835" s="1">
        <v>45516</v>
      </c>
      <c r="C835">
        <v>33</v>
      </c>
      <c r="D835">
        <v>8</v>
      </c>
      <c r="E835" t="s">
        <v>1056</v>
      </c>
      <c r="F835" t="s">
        <v>82</v>
      </c>
      <c r="G835" t="s">
        <v>20</v>
      </c>
      <c r="H835">
        <v>4</v>
      </c>
      <c r="I835">
        <v>900</v>
      </c>
      <c r="J835">
        <v>0</v>
      </c>
      <c r="K835" t="s">
        <v>1933</v>
      </c>
      <c r="L835">
        <v>500</v>
      </c>
      <c r="M835">
        <v>3600</v>
      </c>
      <c r="N835">
        <v>2000</v>
      </c>
      <c r="O835">
        <v>1600</v>
      </c>
      <c r="P835">
        <v>0.44444444444444398</v>
      </c>
      <c r="Q835">
        <v>0</v>
      </c>
      <c r="R835">
        <v>0</v>
      </c>
      <c r="S835">
        <v>4</v>
      </c>
      <c r="T835">
        <v>3600</v>
      </c>
    </row>
    <row r="836" spans="1:20">
      <c r="A836" t="s">
        <v>1108</v>
      </c>
      <c r="B836" s="1">
        <v>45516</v>
      </c>
      <c r="C836">
        <v>33</v>
      </c>
      <c r="D836">
        <v>8</v>
      </c>
      <c r="E836" t="s">
        <v>1056</v>
      </c>
      <c r="F836" t="s">
        <v>82</v>
      </c>
      <c r="G836" t="s">
        <v>20</v>
      </c>
      <c r="H836">
        <v>5</v>
      </c>
      <c r="I836">
        <v>900</v>
      </c>
      <c r="J836">
        <v>0</v>
      </c>
      <c r="K836" t="s">
        <v>1933</v>
      </c>
      <c r="L836">
        <v>500</v>
      </c>
      <c r="M836">
        <v>4500</v>
      </c>
      <c r="N836">
        <v>2500</v>
      </c>
      <c r="O836">
        <v>2000</v>
      </c>
      <c r="P836">
        <v>0.44444444444444398</v>
      </c>
      <c r="Q836">
        <v>0</v>
      </c>
      <c r="R836">
        <v>0</v>
      </c>
      <c r="S836">
        <v>5</v>
      </c>
      <c r="T836">
        <v>4500</v>
      </c>
    </row>
    <row r="837" spans="1:20">
      <c r="A837" t="s">
        <v>1109</v>
      </c>
      <c r="B837" s="1">
        <v>45517</v>
      </c>
      <c r="C837">
        <v>33</v>
      </c>
      <c r="D837">
        <v>8</v>
      </c>
      <c r="E837" t="s">
        <v>1056</v>
      </c>
      <c r="F837" t="s">
        <v>39</v>
      </c>
      <c r="G837" t="s">
        <v>14</v>
      </c>
      <c r="H837">
        <v>5</v>
      </c>
      <c r="I837">
        <v>880</v>
      </c>
      <c r="J837">
        <v>0</v>
      </c>
      <c r="K837" t="s">
        <v>1921</v>
      </c>
      <c r="L837">
        <v>400</v>
      </c>
      <c r="M837">
        <v>4400</v>
      </c>
      <c r="N837">
        <v>2000</v>
      </c>
      <c r="O837">
        <v>2400</v>
      </c>
      <c r="P837">
        <v>0.54545454545454497</v>
      </c>
      <c r="Q837">
        <v>0</v>
      </c>
      <c r="R837">
        <v>0</v>
      </c>
      <c r="S837">
        <v>5</v>
      </c>
      <c r="T837">
        <v>4400</v>
      </c>
    </row>
    <row r="838" spans="1:20">
      <c r="A838" t="s">
        <v>1111</v>
      </c>
      <c r="B838" s="1">
        <v>45517</v>
      </c>
      <c r="C838">
        <v>33</v>
      </c>
      <c r="D838">
        <v>8</v>
      </c>
      <c r="E838" t="s">
        <v>1056</v>
      </c>
      <c r="F838" t="s">
        <v>97</v>
      </c>
      <c r="G838" t="s">
        <v>20</v>
      </c>
      <c r="H838">
        <v>4</v>
      </c>
      <c r="I838">
        <v>1782</v>
      </c>
      <c r="J838">
        <v>10</v>
      </c>
      <c r="K838" t="s">
        <v>1932</v>
      </c>
      <c r="L838">
        <v>1100</v>
      </c>
      <c r="M838">
        <v>7128</v>
      </c>
      <c r="N838">
        <v>4400</v>
      </c>
      <c r="O838">
        <v>2728</v>
      </c>
      <c r="P838">
        <v>0.38271604938271597</v>
      </c>
      <c r="Q838">
        <v>0</v>
      </c>
      <c r="R838">
        <v>0</v>
      </c>
      <c r="S838">
        <v>4</v>
      </c>
      <c r="T838">
        <v>7128</v>
      </c>
    </row>
    <row r="839" spans="1:20">
      <c r="A839" t="s">
        <v>1112</v>
      </c>
      <c r="B839" s="1">
        <v>45518</v>
      </c>
      <c r="C839">
        <v>33</v>
      </c>
      <c r="D839">
        <v>8</v>
      </c>
      <c r="E839" t="s">
        <v>1056</v>
      </c>
      <c r="F839" t="s">
        <v>13</v>
      </c>
      <c r="G839" t="s">
        <v>14</v>
      </c>
      <c r="H839">
        <v>2</v>
      </c>
      <c r="I839">
        <v>432</v>
      </c>
      <c r="J839">
        <v>10</v>
      </c>
      <c r="K839" t="s">
        <v>1925</v>
      </c>
      <c r="L839">
        <v>220</v>
      </c>
      <c r="M839">
        <v>864</v>
      </c>
      <c r="N839">
        <v>440</v>
      </c>
      <c r="O839">
        <v>424</v>
      </c>
      <c r="P839">
        <v>0.49074074074074098</v>
      </c>
      <c r="Q839">
        <v>0</v>
      </c>
      <c r="R839">
        <v>0</v>
      </c>
      <c r="S839">
        <v>2</v>
      </c>
      <c r="T839">
        <v>864</v>
      </c>
    </row>
    <row r="840" spans="1:20">
      <c r="A840" t="s">
        <v>1114</v>
      </c>
      <c r="B840" s="1">
        <v>45518</v>
      </c>
      <c r="C840">
        <v>33</v>
      </c>
      <c r="D840">
        <v>8</v>
      </c>
      <c r="E840" t="s">
        <v>1056</v>
      </c>
      <c r="F840" t="s">
        <v>31</v>
      </c>
      <c r="G840" t="s">
        <v>23</v>
      </c>
      <c r="H840">
        <v>5</v>
      </c>
      <c r="I840">
        <v>1260</v>
      </c>
      <c r="J840">
        <v>10</v>
      </c>
      <c r="K840" t="s">
        <v>1930</v>
      </c>
      <c r="L840">
        <v>700</v>
      </c>
      <c r="M840">
        <v>6300</v>
      </c>
      <c r="N840">
        <v>3500</v>
      </c>
      <c r="O840">
        <v>2800</v>
      </c>
      <c r="P840">
        <v>0.44444444444444398</v>
      </c>
      <c r="Q840">
        <v>0</v>
      </c>
      <c r="R840">
        <v>0</v>
      </c>
      <c r="S840">
        <v>5</v>
      </c>
      <c r="T840">
        <v>6300</v>
      </c>
    </row>
    <row r="841" spans="1:20">
      <c r="A841" t="s">
        <v>1115</v>
      </c>
      <c r="B841" s="1">
        <v>45518</v>
      </c>
      <c r="C841">
        <v>33</v>
      </c>
      <c r="D841">
        <v>8</v>
      </c>
      <c r="E841" t="s">
        <v>1056</v>
      </c>
      <c r="F841" t="s">
        <v>31</v>
      </c>
      <c r="G841" t="s">
        <v>23</v>
      </c>
      <c r="H841">
        <v>4</v>
      </c>
      <c r="I841">
        <v>1400</v>
      </c>
      <c r="J841">
        <v>0</v>
      </c>
      <c r="K841" t="s">
        <v>1930</v>
      </c>
      <c r="L841">
        <v>700</v>
      </c>
      <c r="M841">
        <v>5600</v>
      </c>
      <c r="N841">
        <v>2800</v>
      </c>
      <c r="O841">
        <v>2800</v>
      </c>
      <c r="P841">
        <v>0.5</v>
      </c>
      <c r="Q841">
        <v>0</v>
      </c>
      <c r="R841">
        <v>0</v>
      </c>
      <c r="S841">
        <v>4</v>
      </c>
      <c r="T841">
        <v>5600</v>
      </c>
    </row>
    <row r="842" spans="1:20">
      <c r="A842" t="s">
        <v>1116</v>
      </c>
      <c r="B842" s="1">
        <v>45519</v>
      </c>
      <c r="C842">
        <v>33</v>
      </c>
      <c r="D842">
        <v>8</v>
      </c>
      <c r="E842" t="s">
        <v>1056</v>
      </c>
      <c r="F842" t="s">
        <v>19</v>
      </c>
      <c r="G842" t="s">
        <v>20</v>
      </c>
      <c r="H842">
        <v>5</v>
      </c>
      <c r="I842">
        <v>1620</v>
      </c>
      <c r="J842">
        <v>0</v>
      </c>
      <c r="K842" t="s">
        <v>1931</v>
      </c>
      <c r="L842">
        <v>900</v>
      </c>
      <c r="M842">
        <v>8100</v>
      </c>
      <c r="N842">
        <v>4500</v>
      </c>
      <c r="O842">
        <v>3600</v>
      </c>
      <c r="P842">
        <v>0.44444444444444398</v>
      </c>
      <c r="Q842">
        <v>0</v>
      </c>
      <c r="R842">
        <v>0</v>
      </c>
      <c r="S842">
        <v>5</v>
      </c>
      <c r="T842">
        <v>8100</v>
      </c>
    </row>
    <row r="843" spans="1:20">
      <c r="A843" t="s">
        <v>1118</v>
      </c>
      <c r="B843" s="1">
        <v>45519</v>
      </c>
      <c r="C843">
        <v>33</v>
      </c>
      <c r="D843">
        <v>8</v>
      </c>
      <c r="E843" t="s">
        <v>1056</v>
      </c>
      <c r="F843" t="s">
        <v>22</v>
      </c>
      <c r="G843" t="s">
        <v>23</v>
      </c>
      <c r="H843">
        <v>5</v>
      </c>
      <c r="I843">
        <v>500</v>
      </c>
      <c r="J843">
        <v>0</v>
      </c>
      <c r="K843" t="s">
        <v>1929</v>
      </c>
      <c r="L843">
        <v>250</v>
      </c>
      <c r="M843">
        <v>2500</v>
      </c>
      <c r="N843">
        <v>1250</v>
      </c>
      <c r="O843">
        <v>1250</v>
      </c>
      <c r="P843">
        <v>0.5</v>
      </c>
      <c r="Q843">
        <v>0</v>
      </c>
      <c r="R843">
        <v>0</v>
      </c>
      <c r="S843">
        <v>5</v>
      </c>
      <c r="T843">
        <v>2500</v>
      </c>
    </row>
    <row r="844" spans="1:20">
      <c r="A844" t="s">
        <v>1119</v>
      </c>
      <c r="B844" s="1">
        <v>45519</v>
      </c>
      <c r="C844">
        <v>33</v>
      </c>
      <c r="D844">
        <v>8</v>
      </c>
      <c r="E844" t="s">
        <v>1056</v>
      </c>
      <c r="F844" t="s">
        <v>97</v>
      </c>
      <c r="G844" t="s">
        <v>20</v>
      </c>
      <c r="H844">
        <v>3</v>
      </c>
      <c r="I844">
        <v>1980</v>
      </c>
      <c r="J844">
        <v>0</v>
      </c>
      <c r="K844" t="s">
        <v>1932</v>
      </c>
      <c r="L844">
        <v>1100</v>
      </c>
      <c r="M844">
        <v>5940</v>
      </c>
      <c r="N844">
        <v>3300</v>
      </c>
      <c r="O844">
        <v>2640</v>
      </c>
      <c r="P844">
        <v>0.44444444444444398</v>
      </c>
      <c r="Q844">
        <v>0</v>
      </c>
      <c r="R844">
        <v>0</v>
      </c>
      <c r="S844">
        <v>3</v>
      </c>
      <c r="T844">
        <v>5940</v>
      </c>
    </row>
    <row r="845" spans="1:20">
      <c r="A845" t="s">
        <v>1120</v>
      </c>
      <c r="B845" s="1">
        <v>45519</v>
      </c>
      <c r="C845">
        <v>33</v>
      </c>
      <c r="D845">
        <v>8</v>
      </c>
      <c r="E845" t="s">
        <v>1056</v>
      </c>
      <c r="F845" t="s">
        <v>13</v>
      </c>
      <c r="G845" t="s">
        <v>14</v>
      </c>
      <c r="H845">
        <v>1</v>
      </c>
      <c r="I845">
        <v>480</v>
      </c>
      <c r="J845">
        <v>0</v>
      </c>
      <c r="K845" t="s">
        <v>1925</v>
      </c>
      <c r="L845">
        <v>220</v>
      </c>
      <c r="M845">
        <v>480</v>
      </c>
      <c r="N845">
        <v>220</v>
      </c>
      <c r="O845">
        <v>260</v>
      </c>
      <c r="P845">
        <v>0.54166666666666696</v>
      </c>
      <c r="Q845">
        <v>0</v>
      </c>
      <c r="R845">
        <v>0</v>
      </c>
      <c r="S845">
        <v>1</v>
      </c>
      <c r="T845">
        <v>480</v>
      </c>
    </row>
    <row r="846" spans="1:20">
      <c r="A846" t="s">
        <v>1121</v>
      </c>
      <c r="B846" s="1">
        <v>45519</v>
      </c>
      <c r="C846">
        <v>33</v>
      </c>
      <c r="D846">
        <v>8</v>
      </c>
      <c r="E846" t="s">
        <v>1056</v>
      </c>
      <c r="F846" t="s">
        <v>31</v>
      </c>
      <c r="G846" t="s">
        <v>23</v>
      </c>
      <c r="H846">
        <v>5</v>
      </c>
      <c r="I846">
        <v>1190</v>
      </c>
      <c r="J846">
        <v>15</v>
      </c>
      <c r="K846" t="s">
        <v>1930</v>
      </c>
      <c r="L846">
        <v>700</v>
      </c>
      <c r="M846">
        <v>5950</v>
      </c>
      <c r="N846">
        <v>3500</v>
      </c>
      <c r="O846">
        <v>2450</v>
      </c>
      <c r="P846">
        <v>0.41176470588235298</v>
      </c>
      <c r="Q846">
        <v>0</v>
      </c>
      <c r="R846">
        <v>0</v>
      </c>
      <c r="S846">
        <v>5</v>
      </c>
      <c r="T846">
        <v>5950</v>
      </c>
    </row>
    <row r="847" spans="1:20">
      <c r="A847" t="s">
        <v>1122</v>
      </c>
      <c r="B847" s="1">
        <v>45519</v>
      </c>
      <c r="C847">
        <v>33</v>
      </c>
      <c r="D847">
        <v>8</v>
      </c>
      <c r="E847" t="s">
        <v>1056</v>
      </c>
      <c r="F847" t="s">
        <v>97</v>
      </c>
      <c r="G847" t="s">
        <v>20</v>
      </c>
      <c r="H847">
        <v>3</v>
      </c>
      <c r="I847">
        <v>1881</v>
      </c>
      <c r="J847">
        <v>5</v>
      </c>
      <c r="K847" t="s">
        <v>1932</v>
      </c>
      <c r="L847">
        <v>1100</v>
      </c>
      <c r="M847">
        <v>5643</v>
      </c>
      <c r="N847">
        <v>3300</v>
      </c>
      <c r="O847">
        <v>2343</v>
      </c>
      <c r="P847">
        <v>0.41520467836257302</v>
      </c>
      <c r="Q847">
        <v>0</v>
      </c>
      <c r="R847">
        <v>0</v>
      </c>
      <c r="S847">
        <v>3</v>
      </c>
      <c r="T847">
        <v>5643</v>
      </c>
    </row>
    <row r="848" spans="1:20">
      <c r="A848" t="s">
        <v>1123</v>
      </c>
      <c r="B848" s="1">
        <v>45521</v>
      </c>
      <c r="C848">
        <v>33</v>
      </c>
      <c r="D848">
        <v>8</v>
      </c>
      <c r="E848" t="s">
        <v>1056</v>
      </c>
      <c r="F848" t="s">
        <v>187</v>
      </c>
      <c r="G848" t="s">
        <v>14</v>
      </c>
      <c r="H848">
        <v>5</v>
      </c>
      <c r="I848">
        <v>3960</v>
      </c>
      <c r="J848">
        <v>10</v>
      </c>
      <c r="K848" t="s">
        <v>1924</v>
      </c>
      <c r="L848">
        <v>2000</v>
      </c>
      <c r="M848">
        <v>19800</v>
      </c>
      <c r="N848">
        <v>10000</v>
      </c>
      <c r="O848">
        <v>9800</v>
      </c>
      <c r="P848">
        <v>0.49494949494949497</v>
      </c>
      <c r="Q848">
        <v>0</v>
      </c>
      <c r="R848">
        <v>0</v>
      </c>
      <c r="S848">
        <v>5</v>
      </c>
      <c r="T848">
        <v>19800</v>
      </c>
    </row>
    <row r="849" spans="1:20">
      <c r="A849" t="s">
        <v>1125</v>
      </c>
      <c r="B849" s="1">
        <v>45521</v>
      </c>
      <c r="C849">
        <v>33</v>
      </c>
      <c r="D849">
        <v>8</v>
      </c>
      <c r="E849" t="s">
        <v>1056</v>
      </c>
      <c r="F849" t="s">
        <v>13</v>
      </c>
      <c r="G849" t="s">
        <v>14</v>
      </c>
      <c r="H849">
        <v>3</v>
      </c>
      <c r="I849">
        <v>480</v>
      </c>
      <c r="J849">
        <v>0</v>
      </c>
      <c r="K849" t="s">
        <v>1925</v>
      </c>
      <c r="L849">
        <v>220</v>
      </c>
      <c r="M849">
        <v>1440</v>
      </c>
      <c r="N849">
        <v>660</v>
      </c>
      <c r="O849">
        <v>780</v>
      </c>
      <c r="P849">
        <v>0.54166666666666696</v>
      </c>
      <c r="Q849">
        <v>0</v>
      </c>
      <c r="R849">
        <v>0</v>
      </c>
      <c r="S849">
        <v>3</v>
      </c>
      <c r="T849">
        <v>1440</v>
      </c>
    </row>
    <row r="850" spans="1:20">
      <c r="A850" t="s">
        <v>1126</v>
      </c>
      <c r="B850" s="1">
        <v>45521</v>
      </c>
      <c r="C850">
        <v>33</v>
      </c>
      <c r="D850">
        <v>8</v>
      </c>
      <c r="E850" t="s">
        <v>1056</v>
      </c>
      <c r="F850" t="s">
        <v>37</v>
      </c>
      <c r="G850" t="s">
        <v>20</v>
      </c>
      <c r="H850">
        <v>2</v>
      </c>
      <c r="I850">
        <v>2340</v>
      </c>
      <c r="J850">
        <v>0</v>
      </c>
      <c r="K850" t="s">
        <v>1935</v>
      </c>
      <c r="L850">
        <v>1300</v>
      </c>
      <c r="M850">
        <v>4680</v>
      </c>
      <c r="N850">
        <v>2600</v>
      </c>
      <c r="O850">
        <v>2080</v>
      </c>
      <c r="P850">
        <v>0.44444444444444398</v>
      </c>
      <c r="Q850">
        <v>0</v>
      </c>
      <c r="R850">
        <v>0</v>
      </c>
      <c r="S850">
        <v>2</v>
      </c>
      <c r="T850">
        <v>4680</v>
      </c>
    </row>
    <row r="851" spans="1:20">
      <c r="A851" t="s">
        <v>1127</v>
      </c>
      <c r="B851" s="1">
        <v>45522</v>
      </c>
      <c r="C851">
        <v>33</v>
      </c>
      <c r="D851">
        <v>8</v>
      </c>
      <c r="E851" t="s">
        <v>1056</v>
      </c>
      <c r="F851" t="s">
        <v>187</v>
      </c>
      <c r="G851" t="s">
        <v>14</v>
      </c>
      <c r="H851">
        <v>5</v>
      </c>
      <c r="I851">
        <v>4400</v>
      </c>
      <c r="J851">
        <v>0</v>
      </c>
      <c r="K851" t="s">
        <v>1924</v>
      </c>
      <c r="L851">
        <v>2000</v>
      </c>
      <c r="M851">
        <v>22000</v>
      </c>
      <c r="N851">
        <v>10000</v>
      </c>
      <c r="O851">
        <v>12000</v>
      </c>
      <c r="P851">
        <v>0.54545454545454497</v>
      </c>
      <c r="Q851">
        <v>0</v>
      </c>
      <c r="R851">
        <v>0</v>
      </c>
      <c r="S851">
        <v>5</v>
      </c>
      <c r="T851">
        <v>22000</v>
      </c>
    </row>
    <row r="852" spans="1:20">
      <c r="A852" t="s">
        <v>1129</v>
      </c>
      <c r="B852" s="1">
        <v>45523</v>
      </c>
      <c r="C852">
        <v>34</v>
      </c>
      <c r="D852">
        <v>8</v>
      </c>
      <c r="E852" t="s">
        <v>1056</v>
      </c>
      <c r="F852" t="s">
        <v>58</v>
      </c>
      <c r="G852" t="s">
        <v>23</v>
      </c>
      <c r="H852">
        <v>3</v>
      </c>
      <c r="I852">
        <v>1000</v>
      </c>
      <c r="J852">
        <v>0</v>
      </c>
      <c r="K852" t="s">
        <v>1927</v>
      </c>
      <c r="L852">
        <v>500</v>
      </c>
      <c r="M852">
        <v>3000</v>
      </c>
      <c r="N852">
        <v>1500</v>
      </c>
      <c r="O852">
        <v>1500</v>
      </c>
      <c r="P852">
        <v>0.5</v>
      </c>
      <c r="Q852">
        <v>0</v>
      </c>
      <c r="R852">
        <v>0</v>
      </c>
      <c r="S852">
        <v>3</v>
      </c>
      <c r="T852">
        <v>3000</v>
      </c>
    </row>
    <row r="853" spans="1:20">
      <c r="A853" t="s">
        <v>1131</v>
      </c>
      <c r="B853" s="1">
        <v>45523</v>
      </c>
      <c r="C853">
        <v>34</v>
      </c>
      <c r="D853">
        <v>8</v>
      </c>
      <c r="E853" t="s">
        <v>1056</v>
      </c>
      <c r="F853" t="s">
        <v>22</v>
      </c>
      <c r="G853" t="s">
        <v>23</v>
      </c>
      <c r="H853">
        <v>2</v>
      </c>
      <c r="I853">
        <v>475</v>
      </c>
      <c r="J853">
        <v>5</v>
      </c>
      <c r="K853" t="s">
        <v>1929</v>
      </c>
      <c r="L853">
        <v>250</v>
      </c>
      <c r="M853">
        <v>950</v>
      </c>
      <c r="N853">
        <v>500</v>
      </c>
      <c r="O853">
        <v>450</v>
      </c>
      <c r="P853">
        <v>0.47368421052631599</v>
      </c>
      <c r="Q853">
        <v>0</v>
      </c>
      <c r="R853">
        <v>0</v>
      </c>
      <c r="S853">
        <v>2</v>
      </c>
      <c r="T853">
        <v>950</v>
      </c>
    </row>
    <row r="854" spans="1:20">
      <c r="A854" t="s">
        <v>1132</v>
      </c>
      <c r="B854" s="1">
        <v>45524</v>
      </c>
      <c r="C854">
        <v>34</v>
      </c>
      <c r="D854">
        <v>8</v>
      </c>
      <c r="E854" t="s">
        <v>1056</v>
      </c>
      <c r="F854" t="s">
        <v>97</v>
      </c>
      <c r="G854" t="s">
        <v>20</v>
      </c>
      <c r="H854">
        <v>5</v>
      </c>
      <c r="I854">
        <v>1881</v>
      </c>
      <c r="J854">
        <v>5</v>
      </c>
      <c r="K854" t="s">
        <v>1932</v>
      </c>
      <c r="L854">
        <v>1100</v>
      </c>
      <c r="M854">
        <v>9405</v>
      </c>
      <c r="N854">
        <v>5500</v>
      </c>
      <c r="O854">
        <v>3905</v>
      </c>
      <c r="P854">
        <v>0.41520467836257302</v>
      </c>
      <c r="Q854">
        <v>3</v>
      </c>
      <c r="R854">
        <v>3</v>
      </c>
      <c r="S854">
        <v>2</v>
      </c>
      <c r="T854">
        <v>3762</v>
      </c>
    </row>
    <row r="855" spans="1:20">
      <c r="A855" t="s">
        <v>1134</v>
      </c>
      <c r="B855" s="1">
        <v>45525</v>
      </c>
      <c r="C855">
        <v>34</v>
      </c>
      <c r="D855">
        <v>8</v>
      </c>
      <c r="E855" t="s">
        <v>1056</v>
      </c>
      <c r="F855" t="s">
        <v>22</v>
      </c>
      <c r="G855" t="s">
        <v>23</v>
      </c>
      <c r="H855">
        <v>2</v>
      </c>
      <c r="I855">
        <v>500</v>
      </c>
      <c r="J855">
        <v>0</v>
      </c>
      <c r="K855" t="s">
        <v>1929</v>
      </c>
      <c r="L855">
        <v>250</v>
      </c>
      <c r="M855">
        <v>1000</v>
      </c>
      <c r="N855">
        <v>500</v>
      </c>
      <c r="O855">
        <v>500</v>
      </c>
      <c r="P855">
        <v>0.5</v>
      </c>
      <c r="Q855">
        <v>0</v>
      </c>
      <c r="R855">
        <v>0</v>
      </c>
      <c r="S855">
        <v>2</v>
      </c>
      <c r="T855">
        <v>1000</v>
      </c>
    </row>
    <row r="856" spans="1:20">
      <c r="A856" t="s">
        <v>1136</v>
      </c>
      <c r="B856" s="1">
        <v>45525</v>
      </c>
      <c r="C856">
        <v>34</v>
      </c>
      <c r="D856">
        <v>8</v>
      </c>
      <c r="E856" t="s">
        <v>1056</v>
      </c>
      <c r="F856" t="s">
        <v>349</v>
      </c>
      <c r="G856" t="s">
        <v>221</v>
      </c>
      <c r="H856">
        <v>4</v>
      </c>
      <c r="I856">
        <v>360</v>
      </c>
      <c r="J856">
        <v>10</v>
      </c>
      <c r="K856" t="s">
        <v>1948</v>
      </c>
      <c r="L856">
        <v>200</v>
      </c>
      <c r="M856">
        <v>1440</v>
      </c>
      <c r="N856">
        <v>800</v>
      </c>
      <c r="O856">
        <v>640</v>
      </c>
      <c r="P856">
        <v>0.44444444444444398</v>
      </c>
      <c r="Q856">
        <v>0</v>
      </c>
      <c r="R856">
        <v>0</v>
      </c>
      <c r="S856">
        <v>4</v>
      </c>
      <c r="T856">
        <v>1440</v>
      </c>
    </row>
    <row r="857" spans="1:20">
      <c r="A857" t="s">
        <v>1137</v>
      </c>
      <c r="B857" s="1">
        <v>45526</v>
      </c>
      <c r="C857">
        <v>34</v>
      </c>
      <c r="D857">
        <v>8</v>
      </c>
      <c r="E857" t="s">
        <v>1056</v>
      </c>
      <c r="F857" t="s">
        <v>19</v>
      </c>
      <c r="G857" t="s">
        <v>20</v>
      </c>
      <c r="H857">
        <v>1</v>
      </c>
      <c r="I857">
        <v>1377</v>
      </c>
      <c r="J857">
        <v>15</v>
      </c>
      <c r="K857" t="s">
        <v>1931</v>
      </c>
      <c r="L857">
        <v>900</v>
      </c>
      <c r="M857">
        <v>1377</v>
      </c>
      <c r="N857">
        <v>900</v>
      </c>
      <c r="O857">
        <v>477</v>
      </c>
      <c r="P857">
        <v>0.34640522875816998</v>
      </c>
      <c r="Q857">
        <v>0</v>
      </c>
      <c r="R857">
        <v>0</v>
      </c>
      <c r="S857">
        <v>1</v>
      </c>
      <c r="T857">
        <v>1377</v>
      </c>
    </row>
    <row r="858" spans="1:20">
      <c r="A858" t="s">
        <v>1139</v>
      </c>
      <c r="B858" s="1">
        <v>45526</v>
      </c>
      <c r="C858">
        <v>34</v>
      </c>
      <c r="D858">
        <v>8</v>
      </c>
      <c r="E858" t="s">
        <v>1056</v>
      </c>
      <c r="F858" t="s">
        <v>51</v>
      </c>
      <c r="G858" t="s">
        <v>26</v>
      </c>
      <c r="H858">
        <v>2</v>
      </c>
      <c r="I858">
        <v>500</v>
      </c>
      <c r="J858">
        <v>0</v>
      </c>
      <c r="K858" t="s">
        <v>1936</v>
      </c>
      <c r="L858">
        <v>200</v>
      </c>
      <c r="M858">
        <v>1000</v>
      </c>
      <c r="N858">
        <v>400</v>
      </c>
      <c r="O858">
        <v>600</v>
      </c>
      <c r="P858">
        <v>0.6</v>
      </c>
      <c r="Q858">
        <v>0</v>
      </c>
      <c r="R858">
        <v>0</v>
      </c>
      <c r="S858">
        <v>2</v>
      </c>
      <c r="T858">
        <v>1000</v>
      </c>
    </row>
    <row r="859" spans="1:20">
      <c r="A859" t="s">
        <v>1140</v>
      </c>
      <c r="B859" s="1">
        <v>45526</v>
      </c>
      <c r="C859">
        <v>34</v>
      </c>
      <c r="D859">
        <v>8</v>
      </c>
      <c r="E859" t="s">
        <v>1056</v>
      </c>
      <c r="F859" t="s">
        <v>369</v>
      </c>
      <c r="G859" t="s">
        <v>221</v>
      </c>
      <c r="H859">
        <v>2</v>
      </c>
      <c r="I859">
        <v>595</v>
      </c>
      <c r="J859">
        <v>15</v>
      </c>
      <c r="K859" t="s">
        <v>1949</v>
      </c>
      <c r="L859">
        <v>350</v>
      </c>
      <c r="M859">
        <v>1190</v>
      </c>
      <c r="N859">
        <v>700</v>
      </c>
      <c r="O859">
        <v>490</v>
      </c>
      <c r="P859">
        <v>0.41176470588235298</v>
      </c>
      <c r="Q859">
        <v>0</v>
      </c>
      <c r="R859">
        <v>0</v>
      </c>
      <c r="S859">
        <v>2</v>
      </c>
      <c r="T859">
        <v>1190</v>
      </c>
    </row>
    <row r="860" spans="1:20">
      <c r="A860" t="s">
        <v>1141</v>
      </c>
      <c r="B860" s="1">
        <v>45527</v>
      </c>
      <c r="C860">
        <v>34</v>
      </c>
      <c r="D860">
        <v>8</v>
      </c>
      <c r="E860" t="s">
        <v>1056</v>
      </c>
      <c r="F860" t="s">
        <v>82</v>
      </c>
      <c r="G860" t="s">
        <v>20</v>
      </c>
      <c r="H860">
        <v>3</v>
      </c>
      <c r="I860">
        <v>810</v>
      </c>
      <c r="J860">
        <v>10</v>
      </c>
      <c r="K860" t="s">
        <v>1933</v>
      </c>
      <c r="L860">
        <v>500</v>
      </c>
      <c r="M860">
        <v>2430</v>
      </c>
      <c r="N860">
        <v>1500</v>
      </c>
      <c r="O860">
        <v>930</v>
      </c>
      <c r="P860">
        <v>0.38271604938271597</v>
      </c>
      <c r="Q860">
        <v>0</v>
      </c>
      <c r="R860">
        <v>0</v>
      </c>
      <c r="S860">
        <v>3</v>
      </c>
      <c r="T860">
        <v>2430</v>
      </c>
    </row>
    <row r="861" spans="1:20">
      <c r="A861" t="s">
        <v>1143</v>
      </c>
      <c r="B861" s="1">
        <v>45528</v>
      </c>
      <c r="C861">
        <v>34</v>
      </c>
      <c r="D861">
        <v>8</v>
      </c>
      <c r="E861" t="s">
        <v>1056</v>
      </c>
      <c r="F861" t="s">
        <v>146</v>
      </c>
      <c r="G861" t="s">
        <v>20</v>
      </c>
      <c r="H861">
        <v>2</v>
      </c>
      <c r="I861">
        <v>535.5</v>
      </c>
      <c r="J861">
        <v>15</v>
      </c>
      <c r="K861" t="s">
        <v>1934</v>
      </c>
      <c r="L861">
        <v>350</v>
      </c>
      <c r="M861">
        <v>1071</v>
      </c>
      <c r="N861">
        <v>700</v>
      </c>
      <c r="O861">
        <v>371</v>
      </c>
      <c r="P861">
        <v>0.34640522875816998</v>
      </c>
      <c r="Q861">
        <v>0</v>
      </c>
      <c r="R861">
        <v>0</v>
      </c>
      <c r="S861">
        <v>2</v>
      </c>
      <c r="T861">
        <v>1071</v>
      </c>
    </row>
    <row r="862" spans="1:20">
      <c r="A862" t="s">
        <v>1145</v>
      </c>
      <c r="B862" s="1">
        <v>45528</v>
      </c>
      <c r="C862">
        <v>34</v>
      </c>
      <c r="D862">
        <v>8</v>
      </c>
      <c r="E862" t="s">
        <v>1056</v>
      </c>
      <c r="F862" t="s">
        <v>364</v>
      </c>
      <c r="G862" t="s">
        <v>221</v>
      </c>
      <c r="H862">
        <v>3</v>
      </c>
      <c r="I862">
        <v>816</v>
      </c>
      <c r="J862">
        <v>15</v>
      </c>
      <c r="K862" t="s">
        <v>1946</v>
      </c>
      <c r="L862">
        <v>480</v>
      </c>
      <c r="M862">
        <v>2448</v>
      </c>
      <c r="N862">
        <v>1440</v>
      </c>
      <c r="O862">
        <v>1008</v>
      </c>
      <c r="P862">
        <v>0.41176470588235298</v>
      </c>
      <c r="Q862">
        <v>0</v>
      </c>
      <c r="R862">
        <v>0</v>
      </c>
      <c r="S862">
        <v>3</v>
      </c>
      <c r="T862">
        <v>2448</v>
      </c>
    </row>
    <row r="863" spans="1:20">
      <c r="A863" t="s">
        <v>1146</v>
      </c>
      <c r="B863" s="1">
        <v>45528</v>
      </c>
      <c r="C863">
        <v>34</v>
      </c>
      <c r="D863">
        <v>8</v>
      </c>
      <c r="E863" t="s">
        <v>1056</v>
      </c>
      <c r="F863" t="s">
        <v>97</v>
      </c>
      <c r="G863" t="s">
        <v>20</v>
      </c>
      <c r="H863">
        <v>4</v>
      </c>
      <c r="I863">
        <v>1980</v>
      </c>
      <c r="J863">
        <v>0</v>
      </c>
      <c r="K863" t="s">
        <v>1932</v>
      </c>
      <c r="L863">
        <v>1100</v>
      </c>
      <c r="M863">
        <v>7920</v>
      </c>
      <c r="N863">
        <v>4400</v>
      </c>
      <c r="O863">
        <v>3520</v>
      </c>
      <c r="P863">
        <v>0.44444444444444398</v>
      </c>
      <c r="Q863">
        <v>2</v>
      </c>
      <c r="R863">
        <v>2</v>
      </c>
      <c r="S863">
        <v>2</v>
      </c>
      <c r="T863">
        <v>3960</v>
      </c>
    </row>
    <row r="864" spans="1:20">
      <c r="A864" t="s">
        <v>1147</v>
      </c>
      <c r="B864" s="1">
        <v>45530</v>
      </c>
      <c r="C864">
        <v>35</v>
      </c>
      <c r="D864">
        <v>8</v>
      </c>
      <c r="E864" t="s">
        <v>1056</v>
      </c>
      <c r="F864" t="s">
        <v>64</v>
      </c>
      <c r="G864" t="s">
        <v>14</v>
      </c>
      <c r="H864">
        <v>2</v>
      </c>
      <c r="I864">
        <v>2508</v>
      </c>
      <c r="J864">
        <v>5</v>
      </c>
      <c r="K864" t="s">
        <v>1923</v>
      </c>
      <c r="L864">
        <v>1200</v>
      </c>
      <c r="M864">
        <v>5016</v>
      </c>
      <c r="N864">
        <v>2400</v>
      </c>
      <c r="O864">
        <v>2616</v>
      </c>
      <c r="P864">
        <v>0.52153110047846896</v>
      </c>
      <c r="Q864">
        <v>0</v>
      </c>
      <c r="R864">
        <v>0</v>
      </c>
      <c r="S864">
        <v>2</v>
      </c>
      <c r="T864">
        <v>5016</v>
      </c>
    </row>
    <row r="865" spans="1:20">
      <c r="A865" t="s">
        <v>1149</v>
      </c>
      <c r="B865" s="1">
        <v>45530</v>
      </c>
      <c r="C865">
        <v>35</v>
      </c>
      <c r="D865">
        <v>8</v>
      </c>
      <c r="E865" t="s">
        <v>1056</v>
      </c>
      <c r="F865" t="s">
        <v>64</v>
      </c>
      <c r="G865" t="s">
        <v>14</v>
      </c>
      <c r="H865">
        <v>5</v>
      </c>
      <c r="I865">
        <v>2640</v>
      </c>
      <c r="J865">
        <v>0</v>
      </c>
      <c r="K865" t="s">
        <v>1923</v>
      </c>
      <c r="L865">
        <v>1200</v>
      </c>
      <c r="M865">
        <v>13200</v>
      </c>
      <c r="N865">
        <v>6000</v>
      </c>
      <c r="O865">
        <v>7200</v>
      </c>
      <c r="P865">
        <v>0.54545454545454497</v>
      </c>
      <c r="Q865">
        <v>0</v>
      </c>
      <c r="R865">
        <v>0</v>
      </c>
      <c r="S865">
        <v>5</v>
      </c>
      <c r="T865">
        <v>13200</v>
      </c>
    </row>
    <row r="866" spans="1:20">
      <c r="A866" t="s">
        <v>1150</v>
      </c>
      <c r="B866" s="1">
        <v>45530</v>
      </c>
      <c r="C866">
        <v>35</v>
      </c>
      <c r="D866">
        <v>8</v>
      </c>
      <c r="E866" t="s">
        <v>1056</v>
      </c>
      <c r="F866" t="s">
        <v>37</v>
      </c>
      <c r="G866" t="s">
        <v>20</v>
      </c>
      <c r="H866">
        <v>2</v>
      </c>
      <c r="I866">
        <v>2340</v>
      </c>
      <c r="J866">
        <v>0</v>
      </c>
      <c r="K866" t="s">
        <v>1935</v>
      </c>
      <c r="L866">
        <v>1300</v>
      </c>
      <c r="M866">
        <v>4680</v>
      </c>
      <c r="N866">
        <v>2600</v>
      </c>
      <c r="O866">
        <v>2080</v>
      </c>
      <c r="P866">
        <v>0.44444444444444398</v>
      </c>
      <c r="Q866">
        <v>1</v>
      </c>
      <c r="R866">
        <v>1</v>
      </c>
      <c r="S866">
        <v>1</v>
      </c>
      <c r="T866">
        <v>2340</v>
      </c>
    </row>
    <row r="867" spans="1:20">
      <c r="A867" t="s">
        <v>1151</v>
      </c>
      <c r="B867" s="1">
        <v>45530</v>
      </c>
      <c r="C867">
        <v>35</v>
      </c>
      <c r="D867">
        <v>8</v>
      </c>
      <c r="E867" t="s">
        <v>1056</v>
      </c>
      <c r="F867" t="s">
        <v>97</v>
      </c>
      <c r="G867" t="s">
        <v>20</v>
      </c>
      <c r="H867">
        <v>1</v>
      </c>
      <c r="I867">
        <v>1782</v>
      </c>
      <c r="J867">
        <v>10</v>
      </c>
      <c r="K867" t="s">
        <v>1932</v>
      </c>
      <c r="L867">
        <v>1100</v>
      </c>
      <c r="M867">
        <v>1782</v>
      </c>
      <c r="N867">
        <v>1100</v>
      </c>
      <c r="O867">
        <v>682</v>
      </c>
      <c r="P867">
        <v>0.38271604938271597</v>
      </c>
      <c r="Q867">
        <v>0</v>
      </c>
      <c r="R867">
        <v>0</v>
      </c>
      <c r="S867">
        <v>1</v>
      </c>
      <c r="T867">
        <v>1782</v>
      </c>
    </row>
    <row r="868" spans="1:20">
      <c r="A868" t="s">
        <v>1152</v>
      </c>
      <c r="B868" s="1">
        <v>45530</v>
      </c>
      <c r="C868">
        <v>35</v>
      </c>
      <c r="D868">
        <v>8</v>
      </c>
      <c r="E868" t="s">
        <v>1056</v>
      </c>
      <c r="F868" t="s">
        <v>31</v>
      </c>
      <c r="G868" t="s">
        <v>23</v>
      </c>
      <c r="H868">
        <v>1</v>
      </c>
      <c r="I868">
        <v>1260</v>
      </c>
      <c r="J868">
        <v>10</v>
      </c>
      <c r="K868" t="s">
        <v>1930</v>
      </c>
      <c r="L868">
        <v>700</v>
      </c>
      <c r="M868">
        <v>1260</v>
      </c>
      <c r="N868">
        <v>700</v>
      </c>
      <c r="O868">
        <v>560</v>
      </c>
      <c r="P868">
        <v>0.44444444444444398</v>
      </c>
      <c r="Q868">
        <v>0</v>
      </c>
      <c r="R868">
        <v>0</v>
      </c>
      <c r="S868">
        <v>1</v>
      </c>
      <c r="T868">
        <v>1260</v>
      </c>
    </row>
    <row r="869" spans="1:20">
      <c r="A869" t="s">
        <v>1153</v>
      </c>
      <c r="B869" s="1">
        <v>45530</v>
      </c>
      <c r="C869">
        <v>35</v>
      </c>
      <c r="D869">
        <v>8</v>
      </c>
      <c r="E869" t="s">
        <v>1056</v>
      </c>
      <c r="F869" t="s">
        <v>369</v>
      </c>
      <c r="G869" t="s">
        <v>221</v>
      </c>
      <c r="H869">
        <v>3</v>
      </c>
      <c r="I869">
        <v>595</v>
      </c>
      <c r="J869">
        <v>15</v>
      </c>
      <c r="K869" t="s">
        <v>1949</v>
      </c>
      <c r="L869">
        <v>350</v>
      </c>
      <c r="M869">
        <v>1785</v>
      </c>
      <c r="N869">
        <v>1050</v>
      </c>
      <c r="O869">
        <v>735</v>
      </c>
      <c r="P869">
        <v>0.41176470588235298</v>
      </c>
      <c r="Q869">
        <v>0</v>
      </c>
      <c r="R869">
        <v>0</v>
      </c>
      <c r="S869">
        <v>3</v>
      </c>
      <c r="T869">
        <v>1785</v>
      </c>
    </row>
    <row r="870" spans="1:20">
      <c r="A870" t="s">
        <v>1154</v>
      </c>
      <c r="B870" s="1">
        <v>45531</v>
      </c>
      <c r="C870">
        <v>35</v>
      </c>
      <c r="D870">
        <v>8</v>
      </c>
      <c r="E870" t="s">
        <v>1056</v>
      </c>
      <c r="F870" t="s">
        <v>364</v>
      </c>
      <c r="G870" t="s">
        <v>221</v>
      </c>
      <c r="H870">
        <v>1</v>
      </c>
      <c r="I870">
        <v>912</v>
      </c>
      <c r="J870">
        <v>5</v>
      </c>
      <c r="K870" t="s">
        <v>1946</v>
      </c>
      <c r="L870">
        <v>480</v>
      </c>
      <c r="M870">
        <v>912</v>
      </c>
      <c r="N870">
        <v>480</v>
      </c>
      <c r="O870">
        <v>432</v>
      </c>
      <c r="P870">
        <v>0.47368421052631599</v>
      </c>
      <c r="Q870">
        <v>0</v>
      </c>
      <c r="R870">
        <v>0</v>
      </c>
      <c r="S870">
        <v>1</v>
      </c>
      <c r="T870">
        <v>912</v>
      </c>
    </row>
    <row r="871" spans="1:20">
      <c r="A871" t="s">
        <v>1156</v>
      </c>
      <c r="B871" s="1">
        <v>45531</v>
      </c>
      <c r="C871">
        <v>35</v>
      </c>
      <c r="D871">
        <v>8</v>
      </c>
      <c r="E871" t="s">
        <v>1056</v>
      </c>
      <c r="F871" t="s">
        <v>187</v>
      </c>
      <c r="G871" t="s">
        <v>14</v>
      </c>
      <c r="H871">
        <v>5</v>
      </c>
      <c r="I871">
        <v>3960</v>
      </c>
      <c r="J871">
        <v>10</v>
      </c>
      <c r="K871" t="s">
        <v>1924</v>
      </c>
      <c r="L871">
        <v>2000</v>
      </c>
      <c r="M871">
        <v>19800</v>
      </c>
      <c r="N871">
        <v>10000</v>
      </c>
      <c r="O871">
        <v>9800</v>
      </c>
      <c r="P871">
        <v>0.49494949494949497</v>
      </c>
      <c r="Q871">
        <v>0</v>
      </c>
      <c r="R871">
        <v>0</v>
      </c>
      <c r="S871">
        <v>5</v>
      </c>
      <c r="T871">
        <v>19800</v>
      </c>
    </row>
    <row r="872" spans="1:20">
      <c r="A872" t="s">
        <v>1157</v>
      </c>
      <c r="B872" s="1">
        <v>45531</v>
      </c>
      <c r="C872">
        <v>35</v>
      </c>
      <c r="D872">
        <v>8</v>
      </c>
      <c r="E872" t="s">
        <v>1056</v>
      </c>
      <c r="F872" t="s">
        <v>115</v>
      </c>
      <c r="G872" t="s">
        <v>23</v>
      </c>
      <c r="H872">
        <v>2</v>
      </c>
      <c r="I872">
        <v>1020</v>
      </c>
      <c r="J872">
        <v>15</v>
      </c>
      <c r="K872" t="s">
        <v>1926</v>
      </c>
      <c r="L872">
        <v>600</v>
      </c>
      <c r="M872">
        <v>2040</v>
      </c>
      <c r="N872">
        <v>1200</v>
      </c>
      <c r="O872">
        <v>840</v>
      </c>
      <c r="P872">
        <v>0.41176470588235298</v>
      </c>
      <c r="Q872">
        <v>0</v>
      </c>
      <c r="R872">
        <v>0</v>
      </c>
      <c r="S872">
        <v>2</v>
      </c>
      <c r="T872">
        <v>2040</v>
      </c>
    </row>
    <row r="873" spans="1:20">
      <c r="A873" t="s">
        <v>1158</v>
      </c>
      <c r="B873" s="1">
        <v>45531</v>
      </c>
      <c r="C873">
        <v>35</v>
      </c>
      <c r="D873">
        <v>8</v>
      </c>
      <c r="E873" t="s">
        <v>1056</v>
      </c>
      <c r="F873" t="s">
        <v>349</v>
      </c>
      <c r="G873" t="s">
        <v>221</v>
      </c>
      <c r="H873">
        <v>2</v>
      </c>
      <c r="I873">
        <v>380</v>
      </c>
      <c r="J873">
        <v>5</v>
      </c>
      <c r="K873" t="s">
        <v>1948</v>
      </c>
      <c r="L873">
        <v>200</v>
      </c>
      <c r="M873">
        <v>760</v>
      </c>
      <c r="N873">
        <v>400</v>
      </c>
      <c r="O873">
        <v>360</v>
      </c>
      <c r="P873">
        <v>0.47368421052631599</v>
      </c>
      <c r="Q873">
        <v>0</v>
      </c>
      <c r="R873">
        <v>0</v>
      </c>
      <c r="S873">
        <v>2</v>
      </c>
      <c r="T873">
        <v>760</v>
      </c>
    </row>
    <row r="874" spans="1:20">
      <c r="A874" t="s">
        <v>1159</v>
      </c>
      <c r="B874" s="1">
        <v>45532</v>
      </c>
      <c r="C874">
        <v>35</v>
      </c>
      <c r="D874">
        <v>8</v>
      </c>
      <c r="E874" t="s">
        <v>1056</v>
      </c>
      <c r="F874" t="s">
        <v>187</v>
      </c>
      <c r="G874" t="s">
        <v>14</v>
      </c>
      <c r="H874">
        <v>1</v>
      </c>
      <c r="I874">
        <v>4400</v>
      </c>
      <c r="J874">
        <v>0</v>
      </c>
      <c r="K874" t="s">
        <v>1924</v>
      </c>
      <c r="L874">
        <v>2000</v>
      </c>
      <c r="M874">
        <v>4400</v>
      </c>
      <c r="N874">
        <v>2000</v>
      </c>
      <c r="O874">
        <v>2400</v>
      </c>
      <c r="P874">
        <v>0.54545454545454497</v>
      </c>
      <c r="Q874">
        <v>0</v>
      </c>
      <c r="R874">
        <v>0</v>
      </c>
      <c r="S874">
        <v>1</v>
      </c>
      <c r="T874">
        <v>4400</v>
      </c>
    </row>
    <row r="875" spans="1:20">
      <c r="A875" t="s">
        <v>1161</v>
      </c>
      <c r="B875" s="1">
        <v>45532</v>
      </c>
      <c r="C875">
        <v>35</v>
      </c>
      <c r="D875">
        <v>8</v>
      </c>
      <c r="E875" t="s">
        <v>1056</v>
      </c>
      <c r="F875" t="s">
        <v>51</v>
      </c>
      <c r="G875" t="s">
        <v>26</v>
      </c>
      <c r="H875">
        <v>3</v>
      </c>
      <c r="I875">
        <v>500</v>
      </c>
      <c r="J875">
        <v>0</v>
      </c>
      <c r="K875" t="s">
        <v>1936</v>
      </c>
      <c r="L875">
        <v>200</v>
      </c>
      <c r="M875">
        <v>1500</v>
      </c>
      <c r="N875">
        <v>600</v>
      </c>
      <c r="O875">
        <v>900</v>
      </c>
      <c r="P875">
        <v>0.6</v>
      </c>
      <c r="Q875">
        <v>0</v>
      </c>
      <c r="R875">
        <v>0</v>
      </c>
      <c r="S875">
        <v>3</v>
      </c>
      <c r="T875">
        <v>1500</v>
      </c>
    </row>
    <row r="876" spans="1:20">
      <c r="A876" t="s">
        <v>1162</v>
      </c>
      <c r="B876" s="1">
        <v>45532</v>
      </c>
      <c r="C876">
        <v>35</v>
      </c>
      <c r="D876">
        <v>8</v>
      </c>
      <c r="E876" t="s">
        <v>1056</v>
      </c>
      <c r="F876" t="s">
        <v>45</v>
      </c>
      <c r="G876" t="s">
        <v>26</v>
      </c>
      <c r="H876">
        <v>3</v>
      </c>
      <c r="I876">
        <v>4500</v>
      </c>
      <c r="J876">
        <v>0</v>
      </c>
      <c r="K876" t="s">
        <v>1938</v>
      </c>
      <c r="L876">
        <v>1800</v>
      </c>
      <c r="M876">
        <v>13500</v>
      </c>
      <c r="N876">
        <v>5400</v>
      </c>
      <c r="O876">
        <v>8100</v>
      </c>
      <c r="P876">
        <v>0.6</v>
      </c>
      <c r="Q876">
        <v>0</v>
      </c>
      <c r="R876">
        <v>0</v>
      </c>
      <c r="S876">
        <v>3</v>
      </c>
      <c r="T876">
        <v>13500</v>
      </c>
    </row>
    <row r="877" spans="1:20">
      <c r="A877" t="s">
        <v>1163</v>
      </c>
      <c r="B877" s="1">
        <v>45532</v>
      </c>
      <c r="C877">
        <v>35</v>
      </c>
      <c r="D877">
        <v>8</v>
      </c>
      <c r="E877" t="s">
        <v>1056</v>
      </c>
      <c r="F877" t="s">
        <v>42</v>
      </c>
      <c r="G877" t="s">
        <v>23</v>
      </c>
      <c r="H877">
        <v>5</v>
      </c>
      <c r="I877">
        <v>510</v>
      </c>
      <c r="J877">
        <v>15</v>
      </c>
      <c r="K877" t="s">
        <v>1928</v>
      </c>
      <c r="L877">
        <v>300</v>
      </c>
      <c r="M877">
        <v>2550</v>
      </c>
      <c r="N877">
        <v>1500</v>
      </c>
      <c r="O877">
        <v>1050</v>
      </c>
      <c r="P877">
        <v>0.41176470588235298</v>
      </c>
      <c r="Q877">
        <v>0</v>
      </c>
      <c r="R877">
        <v>0</v>
      </c>
      <c r="S877">
        <v>5</v>
      </c>
      <c r="T877">
        <v>2550</v>
      </c>
    </row>
    <row r="878" spans="1:20">
      <c r="A878" t="s">
        <v>1164</v>
      </c>
      <c r="B878" s="1">
        <v>45533</v>
      </c>
      <c r="C878">
        <v>35</v>
      </c>
      <c r="D878">
        <v>8</v>
      </c>
      <c r="E878" t="s">
        <v>1056</v>
      </c>
      <c r="F878" t="s">
        <v>220</v>
      </c>
      <c r="G878" t="s">
        <v>221</v>
      </c>
      <c r="H878">
        <v>1</v>
      </c>
      <c r="I878">
        <v>510</v>
      </c>
      <c r="J878">
        <v>15</v>
      </c>
      <c r="K878" t="s">
        <v>1947</v>
      </c>
      <c r="L878">
        <v>300</v>
      </c>
      <c r="M878">
        <v>510</v>
      </c>
      <c r="N878">
        <v>300</v>
      </c>
      <c r="O878">
        <v>210</v>
      </c>
      <c r="P878">
        <v>0.41176470588235298</v>
      </c>
      <c r="Q878">
        <v>0</v>
      </c>
      <c r="R878">
        <v>0</v>
      </c>
      <c r="S878">
        <v>1</v>
      </c>
      <c r="T878">
        <v>510</v>
      </c>
    </row>
    <row r="879" spans="1:20">
      <c r="A879" t="s">
        <v>1166</v>
      </c>
      <c r="B879" s="1">
        <v>45533</v>
      </c>
      <c r="C879">
        <v>35</v>
      </c>
      <c r="D879">
        <v>8</v>
      </c>
      <c r="E879" t="s">
        <v>1056</v>
      </c>
      <c r="F879" t="s">
        <v>68</v>
      </c>
      <c r="G879" t="s">
        <v>26</v>
      </c>
      <c r="H879">
        <v>1</v>
      </c>
      <c r="I879">
        <v>342</v>
      </c>
      <c r="J879">
        <v>10</v>
      </c>
      <c r="K879" t="s">
        <v>1937</v>
      </c>
      <c r="L879">
        <v>150</v>
      </c>
      <c r="M879">
        <v>342</v>
      </c>
      <c r="N879">
        <v>150</v>
      </c>
      <c r="O879">
        <v>192</v>
      </c>
      <c r="P879">
        <v>0.56140350877193002</v>
      </c>
      <c r="Q879">
        <v>0</v>
      </c>
      <c r="R879">
        <v>0</v>
      </c>
      <c r="S879">
        <v>1</v>
      </c>
      <c r="T879">
        <v>342</v>
      </c>
    </row>
    <row r="880" spans="1:20">
      <c r="A880" t="s">
        <v>1167</v>
      </c>
      <c r="B880" s="1">
        <v>45534</v>
      </c>
      <c r="C880">
        <v>35</v>
      </c>
      <c r="D880">
        <v>8</v>
      </c>
      <c r="E880" t="s">
        <v>1056</v>
      </c>
      <c r="F880" t="s">
        <v>80</v>
      </c>
      <c r="G880" t="s">
        <v>14</v>
      </c>
      <c r="H880">
        <v>1</v>
      </c>
      <c r="I880">
        <v>340</v>
      </c>
      <c r="J880">
        <v>15</v>
      </c>
      <c r="K880" t="s">
        <v>1922</v>
      </c>
      <c r="L880">
        <v>180</v>
      </c>
      <c r="M880">
        <v>340</v>
      </c>
      <c r="N880">
        <v>180</v>
      </c>
      <c r="O880">
        <v>160</v>
      </c>
      <c r="P880">
        <v>0.47058823529411797</v>
      </c>
      <c r="Q880">
        <v>0</v>
      </c>
      <c r="R880">
        <v>0</v>
      </c>
      <c r="S880">
        <v>1</v>
      </c>
      <c r="T880">
        <v>340</v>
      </c>
    </row>
    <row r="881" spans="1:20">
      <c r="A881" t="s">
        <v>1169</v>
      </c>
      <c r="B881" s="1">
        <v>45535</v>
      </c>
      <c r="C881">
        <v>35</v>
      </c>
      <c r="D881">
        <v>8</v>
      </c>
      <c r="E881" t="s">
        <v>1056</v>
      </c>
      <c r="F881" t="s">
        <v>13</v>
      </c>
      <c r="G881" t="s">
        <v>14</v>
      </c>
      <c r="H881">
        <v>5</v>
      </c>
      <c r="I881">
        <v>432</v>
      </c>
      <c r="J881">
        <v>10</v>
      </c>
      <c r="K881" t="s">
        <v>1925</v>
      </c>
      <c r="L881">
        <v>220</v>
      </c>
      <c r="M881">
        <v>2160</v>
      </c>
      <c r="N881">
        <v>1100</v>
      </c>
      <c r="O881">
        <v>1060</v>
      </c>
      <c r="P881">
        <v>0.49074074074074098</v>
      </c>
      <c r="Q881">
        <v>0</v>
      </c>
      <c r="R881">
        <v>0</v>
      </c>
      <c r="S881">
        <v>5</v>
      </c>
      <c r="T881">
        <v>2160</v>
      </c>
    </row>
    <row r="882" spans="1:20">
      <c r="A882" t="s">
        <v>1171</v>
      </c>
      <c r="B882" s="1">
        <v>45535</v>
      </c>
      <c r="C882">
        <v>35</v>
      </c>
      <c r="D882">
        <v>8</v>
      </c>
      <c r="E882" t="s">
        <v>1056</v>
      </c>
      <c r="F882" t="s">
        <v>28</v>
      </c>
      <c r="G882" t="s">
        <v>26</v>
      </c>
      <c r="H882">
        <v>2</v>
      </c>
      <c r="I882">
        <v>1500</v>
      </c>
      <c r="J882">
        <v>0</v>
      </c>
      <c r="K882" t="s">
        <v>1939</v>
      </c>
      <c r="L882">
        <v>600</v>
      </c>
      <c r="M882">
        <v>3000</v>
      </c>
      <c r="N882">
        <v>1200</v>
      </c>
      <c r="O882">
        <v>1800</v>
      </c>
      <c r="P882">
        <v>0.6</v>
      </c>
      <c r="Q882">
        <v>0</v>
      </c>
      <c r="R882">
        <v>0</v>
      </c>
      <c r="S882">
        <v>2</v>
      </c>
      <c r="T882">
        <v>3000</v>
      </c>
    </row>
    <row r="883" spans="1:20">
      <c r="A883" t="s">
        <v>1172</v>
      </c>
      <c r="B883" s="1">
        <v>45535</v>
      </c>
      <c r="C883">
        <v>35</v>
      </c>
      <c r="D883">
        <v>8</v>
      </c>
      <c r="E883" t="s">
        <v>1056</v>
      </c>
      <c r="F883" t="s">
        <v>25</v>
      </c>
      <c r="G883" t="s">
        <v>26</v>
      </c>
      <c r="H883">
        <v>1</v>
      </c>
      <c r="I883">
        <v>1000</v>
      </c>
      <c r="J883">
        <v>0</v>
      </c>
      <c r="K883" t="s">
        <v>1940</v>
      </c>
      <c r="L883">
        <v>400</v>
      </c>
      <c r="M883">
        <v>1000</v>
      </c>
      <c r="N883">
        <v>400</v>
      </c>
      <c r="O883">
        <v>600</v>
      </c>
      <c r="P883">
        <v>0.6</v>
      </c>
      <c r="Q883">
        <v>0</v>
      </c>
      <c r="R883">
        <v>0</v>
      </c>
      <c r="S883">
        <v>1</v>
      </c>
      <c r="T883">
        <v>1000</v>
      </c>
    </row>
    <row r="884" spans="1:20">
      <c r="A884" t="s">
        <v>1173</v>
      </c>
      <c r="B884" s="1">
        <v>45535</v>
      </c>
      <c r="C884">
        <v>35</v>
      </c>
      <c r="D884">
        <v>8</v>
      </c>
      <c r="E884" t="s">
        <v>1056</v>
      </c>
      <c r="F884" t="s">
        <v>80</v>
      </c>
      <c r="G884" t="s">
        <v>14</v>
      </c>
      <c r="H884">
        <v>5</v>
      </c>
      <c r="I884">
        <v>380</v>
      </c>
      <c r="J884">
        <v>5</v>
      </c>
      <c r="K884" t="s">
        <v>1922</v>
      </c>
      <c r="L884">
        <v>180</v>
      </c>
      <c r="M884">
        <v>1900</v>
      </c>
      <c r="N884">
        <v>900</v>
      </c>
      <c r="O884">
        <v>1000</v>
      </c>
      <c r="P884">
        <v>0.52631578947368396</v>
      </c>
      <c r="Q884">
        <v>0</v>
      </c>
      <c r="R884">
        <v>0</v>
      </c>
      <c r="S884">
        <v>5</v>
      </c>
      <c r="T884">
        <v>1900</v>
      </c>
    </row>
    <row r="885" spans="1:20">
      <c r="A885" t="s">
        <v>1174</v>
      </c>
      <c r="B885" s="1">
        <v>45535</v>
      </c>
      <c r="C885">
        <v>35</v>
      </c>
      <c r="D885">
        <v>8</v>
      </c>
      <c r="E885" t="s">
        <v>1056</v>
      </c>
      <c r="F885" t="s">
        <v>364</v>
      </c>
      <c r="G885" t="s">
        <v>221</v>
      </c>
      <c r="H885">
        <v>1</v>
      </c>
      <c r="I885">
        <v>960</v>
      </c>
      <c r="J885">
        <v>0</v>
      </c>
      <c r="K885" t="s">
        <v>1946</v>
      </c>
      <c r="L885">
        <v>480</v>
      </c>
      <c r="M885">
        <v>960</v>
      </c>
      <c r="N885">
        <v>480</v>
      </c>
      <c r="O885">
        <v>480</v>
      </c>
      <c r="P885">
        <v>0.5</v>
      </c>
      <c r="Q885">
        <v>0</v>
      </c>
      <c r="R885">
        <v>0</v>
      </c>
      <c r="S885">
        <v>1</v>
      </c>
      <c r="T885">
        <v>960</v>
      </c>
    </row>
    <row r="886" spans="1:20">
      <c r="A886" t="s">
        <v>1175</v>
      </c>
      <c r="B886" s="1">
        <v>45535</v>
      </c>
      <c r="C886">
        <v>35</v>
      </c>
      <c r="D886">
        <v>8</v>
      </c>
      <c r="E886" t="s">
        <v>1056</v>
      </c>
      <c r="F886" t="s">
        <v>28</v>
      </c>
      <c r="G886" t="s">
        <v>26</v>
      </c>
      <c r="H886">
        <v>1</v>
      </c>
      <c r="I886">
        <v>1500</v>
      </c>
      <c r="J886">
        <v>0</v>
      </c>
      <c r="K886" t="s">
        <v>1939</v>
      </c>
      <c r="L886">
        <v>600</v>
      </c>
      <c r="M886">
        <v>1500</v>
      </c>
      <c r="N886">
        <v>600</v>
      </c>
      <c r="O886">
        <v>900</v>
      </c>
      <c r="P886">
        <v>0.6</v>
      </c>
      <c r="Q886">
        <v>0</v>
      </c>
      <c r="R886">
        <v>0</v>
      </c>
      <c r="S886">
        <v>1</v>
      </c>
      <c r="T886">
        <v>1500</v>
      </c>
    </row>
    <row r="887" spans="1:20">
      <c r="A887" t="s">
        <v>1176</v>
      </c>
      <c r="B887" s="1">
        <v>45536</v>
      </c>
      <c r="C887">
        <v>35</v>
      </c>
      <c r="D887">
        <v>9</v>
      </c>
      <c r="E887" t="s">
        <v>1178</v>
      </c>
      <c r="F887" t="s">
        <v>66</v>
      </c>
      <c r="G887" t="s">
        <v>17</v>
      </c>
      <c r="H887">
        <v>1</v>
      </c>
      <c r="I887">
        <v>1470</v>
      </c>
      <c r="J887">
        <v>0</v>
      </c>
      <c r="K887" t="s">
        <v>1941</v>
      </c>
      <c r="L887">
        <v>700</v>
      </c>
      <c r="M887">
        <v>1470</v>
      </c>
      <c r="N887">
        <v>700</v>
      </c>
      <c r="O887">
        <v>770</v>
      </c>
      <c r="P887">
        <v>0.52380952380952395</v>
      </c>
      <c r="Q887">
        <v>0</v>
      </c>
      <c r="R887">
        <v>0</v>
      </c>
      <c r="S887">
        <v>1</v>
      </c>
      <c r="T887">
        <v>1470</v>
      </c>
    </row>
    <row r="888" spans="1:20">
      <c r="A888" t="s">
        <v>1179</v>
      </c>
      <c r="B888" s="1">
        <v>45536</v>
      </c>
      <c r="C888">
        <v>35</v>
      </c>
      <c r="D888">
        <v>9</v>
      </c>
      <c r="E888" t="s">
        <v>1178</v>
      </c>
      <c r="F888" t="s">
        <v>22</v>
      </c>
      <c r="G888" t="s">
        <v>23</v>
      </c>
      <c r="H888">
        <v>3</v>
      </c>
      <c r="I888">
        <v>450</v>
      </c>
      <c r="J888">
        <v>10</v>
      </c>
      <c r="K888" t="s">
        <v>1929</v>
      </c>
      <c r="L888">
        <v>250</v>
      </c>
      <c r="M888">
        <v>1350</v>
      </c>
      <c r="N888">
        <v>750</v>
      </c>
      <c r="O888">
        <v>600</v>
      </c>
      <c r="P888">
        <v>0.44444444444444398</v>
      </c>
      <c r="Q888">
        <v>0</v>
      </c>
      <c r="R888">
        <v>0</v>
      </c>
      <c r="S888">
        <v>3</v>
      </c>
      <c r="T888">
        <v>1350</v>
      </c>
    </row>
    <row r="889" spans="1:20">
      <c r="A889" t="s">
        <v>1180</v>
      </c>
      <c r="B889" s="1">
        <v>45537</v>
      </c>
      <c r="C889">
        <v>36</v>
      </c>
      <c r="D889">
        <v>9</v>
      </c>
      <c r="E889" t="s">
        <v>1178</v>
      </c>
      <c r="F889" t="s">
        <v>94</v>
      </c>
      <c r="G889" t="s">
        <v>17</v>
      </c>
      <c r="H889">
        <v>4</v>
      </c>
      <c r="I889">
        <v>1680</v>
      </c>
      <c r="J889">
        <v>0</v>
      </c>
      <c r="K889" t="s">
        <v>1943</v>
      </c>
      <c r="L889">
        <v>800</v>
      </c>
      <c r="M889">
        <v>6720</v>
      </c>
      <c r="N889">
        <v>3200</v>
      </c>
      <c r="O889">
        <v>3520</v>
      </c>
      <c r="P889">
        <v>0.52380952380952395</v>
      </c>
      <c r="Q889">
        <v>0</v>
      </c>
      <c r="R889">
        <v>0</v>
      </c>
      <c r="S889">
        <v>4</v>
      </c>
      <c r="T889">
        <v>6720</v>
      </c>
    </row>
    <row r="890" spans="1:20">
      <c r="A890" t="s">
        <v>1182</v>
      </c>
      <c r="B890" s="1">
        <v>45537</v>
      </c>
      <c r="C890">
        <v>36</v>
      </c>
      <c r="D890">
        <v>9</v>
      </c>
      <c r="E890" t="s">
        <v>1178</v>
      </c>
      <c r="F890" t="s">
        <v>19</v>
      </c>
      <c r="G890" t="s">
        <v>20</v>
      </c>
      <c r="H890">
        <v>1</v>
      </c>
      <c r="I890">
        <v>1620</v>
      </c>
      <c r="J890">
        <v>0</v>
      </c>
      <c r="K890" t="s">
        <v>1931</v>
      </c>
      <c r="L890">
        <v>900</v>
      </c>
      <c r="M890">
        <v>1620</v>
      </c>
      <c r="N890">
        <v>900</v>
      </c>
      <c r="O890">
        <v>720</v>
      </c>
      <c r="P890">
        <v>0.44444444444444398</v>
      </c>
      <c r="Q890">
        <v>1</v>
      </c>
      <c r="R890">
        <v>1</v>
      </c>
      <c r="S890">
        <v>0</v>
      </c>
      <c r="T890">
        <v>0</v>
      </c>
    </row>
    <row r="891" spans="1:20">
      <c r="A891" t="s">
        <v>1183</v>
      </c>
      <c r="B891" s="1">
        <v>45537</v>
      </c>
      <c r="C891">
        <v>36</v>
      </c>
      <c r="D891">
        <v>9</v>
      </c>
      <c r="E891" t="s">
        <v>1178</v>
      </c>
      <c r="F891" t="s">
        <v>369</v>
      </c>
      <c r="G891" t="s">
        <v>221</v>
      </c>
      <c r="H891">
        <v>2</v>
      </c>
      <c r="I891">
        <v>700</v>
      </c>
      <c r="J891">
        <v>0</v>
      </c>
      <c r="K891" t="s">
        <v>1949</v>
      </c>
      <c r="L891">
        <v>350</v>
      </c>
      <c r="M891">
        <v>1400</v>
      </c>
      <c r="N891">
        <v>700</v>
      </c>
      <c r="O891">
        <v>700</v>
      </c>
      <c r="P891">
        <v>0.5</v>
      </c>
      <c r="Q891">
        <v>0</v>
      </c>
      <c r="R891">
        <v>0</v>
      </c>
      <c r="S891">
        <v>2</v>
      </c>
      <c r="T891">
        <v>1400</v>
      </c>
    </row>
    <row r="892" spans="1:20">
      <c r="A892" t="s">
        <v>1184</v>
      </c>
      <c r="B892" s="1">
        <v>45537</v>
      </c>
      <c r="C892">
        <v>36</v>
      </c>
      <c r="D892">
        <v>9</v>
      </c>
      <c r="E892" t="s">
        <v>1178</v>
      </c>
      <c r="F892" t="s">
        <v>28</v>
      </c>
      <c r="G892" t="s">
        <v>26</v>
      </c>
      <c r="H892">
        <v>2</v>
      </c>
      <c r="I892">
        <v>1275</v>
      </c>
      <c r="J892">
        <v>15</v>
      </c>
      <c r="K892" t="s">
        <v>1939</v>
      </c>
      <c r="L892">
        <v>600</v>
      </c>
      <c r="M892">
        <v>2550</v>
      </c>
      <c r="N892">
        <v>1200</v>
      </c>
      <c r="O892">
        <v>1350</v>
      </c>
      <c r="P892">
        <v>0.52941176470588203</v>
      </c>
      <c r="Q892">
        <v>0</v>
      </c>
      <c r="R892">
        <v>0</v>
      </c>
      <c r="S892">
        <v>2</v>
      </c>
      <c r="T892">
        <v>2550</v>
      </c>
    </row>
    <row r="893" spans="1:20">
      <c r="A893" t="s">
        <v>1185</v>
      </c>
      <c r="B893" s="1">
        <v>45538</v>
      </c>
      <c r="C893">
        <v>36</v>
      </c>
      <c r="D893">
        <v>9</v>
      </c>
      <c r="E893" t="s">
        <v>1178</v>
      </c>
      <c r="F893" t="s">
        <v>64</v>
      </c>
      <c r="G893" t="s">
        <v>14</v>
      </c>
      <c r="H893">
        <v>4</v>
      </c>
      <c r="I893">
        <v>2640</v>
      </c>
      <c r="J893">
        <v>0</v>
      </c>
      <c r="K893" t="s">
        <v>1923</v>
      </c>
      <c r="L893">
        <v>1200</v>
      </c>
      <c r="M893">
        <v>10560</v>
      </c>
      <c r="N893">
        <v>4800</v>
      </c>
      <c r="O893">
        <v>5760</v>
      </c>
      <c r="P893">
        <v>0.54545454545454497</v>
      </c>
      <c r="Q893">
        <v>0</v>
      </c>
      <c r="R893">
        <v>0</v>
      </c>
      <c r="S893">
        <v>4</v>
      </c>
      <c r="T893">
        <v>10560</v>
      </c>
    </row>
    <row r="894" spans="1:20">
      <c r="A894" t="s">
        <v>1187</v>
      </c>
      <c r="B894" s="1">
        <v>45538</v>
      </c>
      <c r="C894">
        <v>36</v>
      </c>
      <c r="D894">
        <v>9</v>
      </c>
      <c r="E894" t="s">
        <v>1178</v>
      </c>
      <c r="F894" t="s">
        <v>94</v>
      </c>
      <c r="G894" t="s">
        <v>17</v>
      </c>
      <c r="H894">
        <v>2</v>
      </c>
      <c r="I894">
        <v>1428</v>
      </c>
      <c r="J894">
        <v>15</v>
      </c>
      <c r="K894" t="s">
        <v>1943</v>
      </c>
      <c r="L894">
        <v>800</v>
      </c>
      <c r="M894">
        <v>2856</v>
      </c>
      <c r="N894">
        <v>1600</v>
      </c>
      <c r="O894">
        <v>1256</v>
      </c>
      <c r="P894">
        <v>0.43977591036414598</v>
      </c>
      <c r="Q894">
        <v>0</v>
      </c>
      <c r="R894">
        <v>0</v>
      </c>
      <c r="S894">
        <v>2</v>
      </c>
      <c r="T894">
        <v>2856</v>
      </c>
    </row>
    <row r="895" spans="1:20">
      <c r="A895" t="s">
        <v>1188</v>
      </c>
      <c r="B895" s="1">
        <v>45538</v>
      </c>
      <c r="C895">
        <v>36</v>
      </c>
      <c r="D895">
        <v>9</v>
      </c>
      <c r="E895" t="s">
        <v>1178</v>
      </c>
      <c r="F895" t="s">
        <v>80</v>
      </c>
      <c r="G895" t="s">
        <v>14</v>
      </c>
      <c r="H895">
        <v>2</v>
      </c>
      <c r="I895">
        <v>380</v>
      </c>
      <c r="J895">
        <v>5</v>
      </c>
      <c r="K895" t="s">
        <v>1922</v>
      </c>
      <c r="L895">
        <v>180</v>
      </c>
      <c r="M895">
        <v>760</v>
      </c>
      <c r="N895">
        <v>360</v>
      </c>
      <c r="O895">
        <v>400</v>
      </c>
      <c r="P895">
        <v>0.52631578947368396</v>
      </c>
      <c r="Q895">
        <v>0</v>
      </c>
      <c r="R895">
        <v>0</v>
      </c>
      <c r="S895">
        <v>2</v>
      </c>
      <c r="T895">
        <v>760</v>
      </c>
    </row>
    <row r="896" spans="1:20">
      <c r="A896" t="s">
        <v>1189</v>
      </c>
      <c r="B896" s="1">
        <v>45538</v>
      </c>
      <c r="C896">
        <v>36</v>
      </c>
      <c r="D896">
        <v>9</v>
      </c>
      <c r="E896" t="s">
        <v>1178</v>
      </c>
      <c r="F896" t="s">
        <v>35</v>
      </c>
      <c r="G896" t="s">
        <v>17</v>
      </c>
      <c r="H896">
        <v>4</v>
      </c>
      <c r="I896">
        <v>3150</v>
      </c>
      <c r="J896">
        <v>0</v>
      </c>
      <c r="K896" t="s">
        <v>1942</v>
      </c>
      <c r="L896">
        <v>1500</v>
      </c>
      <c r="M896">
        <v>12600</v>
      </c>
      <c r="N896">
        <v>6000</v>
      </c>
      <c r="O896">
        <v>6600</v>
      </c>
      <c r="P896">
        <v>0.52380952380952395</v>
      </c>
      <c r="Q896">
        <v>0</v>
      </c>
      <c r="R896">
        <v>0</v>
      </c>
      <c r="S896">
        <v>4</v>
      </c>
      <c r="T896">
        <v>12600</v>
      </c>
    </row>
    <row r="897" spans="1:20">
      <c r="A897" t="s">
        <v>1190</v>
      </c>
      <c r="B897" s="1">
        <v>45538</v>
      </c>
      <c r="C897">
        <v>36</v>
      </c>
      <c r="D897">
        <v>9</v>
      </c>
      <c r="E897" t="s">
        <v>1178</v>
      </c>
      <c r="F897" t="s">
        <v>80</v>
      </c>
      <c r="G897" t="s">
        <v>14</v>
      </c>
      <c r="H897">
        <v>5</v>
      </c>
      <c r="I897">
        <v>400</v>
      </c>
      <c r="J897">
        <v>0</v>
      </c>
      <c r="K897" t="s">
        <v>1922</v>
      </c>
      <c r="L897">
        <v>180</v>
      </c>
      <c r="M897">
        <v>2000</v>
      </c>
      <c r="N897">
        <v>900</v>
      </c>
      <c r="O897">
        <v>1100</v>
      </c>
      <c r="P897">
        <v>0.55000000000000004</v>
      </c>
      <c r="Q897">
        <v>0</v>
      </c>
      <c r="R897">
        <v>0</v>
      </c>
      <c r="S897">
        <v>5</v>
      </c>
      <c r="T897">
        <v>2000</v>
      </c>
    </row>
    <row r="898" spans="1:20">
      <c r="A898" t="s">
        <v>1191</v>
      </c>
      <c r="B898" s="1">
        <v>45539</v>
      </c>
      <c r="C898">
        <v>36</v>
      </c>
      <c r="D898">
        <v>9</v>
      </c>
      <c r="E898" t="s">
        <v>1178</v>
      </c>
      <c r="F898" t="s">
        <v>187</v>
      </c>
      <c r="G898" t="s">
        <v>14</v>
      </c>
      <c r="H898">
        <v>5</v>
      </c>
      <c r="I898">
        <v>4400</v>
      </c>
      <c r="J898">
        <v>0</v>
      </c>
      <c r="K898" t="s">
        <v>1924</v>
      </c>
      <c r="L898">
        <v>2000</v>
      </c>
      <c r="M898">
        <v>22000</v>
      </c>
      <c r="N898">
        <v>10000</v>
      </c>
      <c r="O898">
        <v>12000</v>
      </c>
      <c r="P898">
        <v>0.54545454545454497</v>
      </c>
      <c r="Q898">
        <v>0</v>
      </c>
      <c r="R898">
        <v>0</v>
      </c>
      <c r="S898">
        <v>5</v>
      </c>
      <c r="T898">
        <v>22000</v>
      </c>
    </row>
    <row r="899" spans="1:20">
      <c r="A899" t="s">
        <v>1193</v>
      </c>
      <c r="B899" s="1">
        <v>45539</v>
      </c>
      <c r="C899">
        <v>36</v>
      </c>
      <c r="D899">
        <v>9</v>
      </c>
      <c r="E899" t="s">
        <v>1178</v>
      </c>
      <c r="F899" t="s">
        <v>66</v>
      </c>
      <c r="G899" t="s">
        <v>17</v>
      </c>
      <c r="H899">
        <v>2</v>
      </c>
      <c r="I899">
        <v>1396.5</v>
      </c>
      <c r="J899">
        <v>5</v>
      </c>
      <c r="K899" t="s">
        <v>1941</v>
      </c>
      <c r="L899">
        <v>700</v>
      </c>
      <c r="M899">
        <v>2793</v>
      </c>
      <c r="N899">
        <v>1400</v>
      </c>
      <c r="O899">
        <v>1393</v>
      </c>
      <c r="P899">
        <v>0.49874686716791999</v>
      </c>
      <c r="Q899">
        <v>0</v>
      </c>
      <c r="R899">
        <v>0</v>
      </c>
      <c r="S899">
        <v>2</v>
      </c>
      <c r="T899">
        <v>2793</v>
      </c>
    </row>
    <row r="900" spans="1:20">
      <c r="A900" t="s">
        <v>1194</v>
      </c>
      <c r="B900" s="1">
        <v>45539</v>
      </c>
      <c r="C900">
        <v>36</v>
      </c>
      <c r="D900">
        <v>9</v>
      </c>
      <c r="E900" t="s">
        <v>1178</v>
      </c>
      <c r="F900" t="s">
        <v>94</v>
      </c>
      <c r="G900" t="s">
        <v>17</v>
      </c>
      <c r="H900">
        <v>1</v>
      </c>
      <c r="I900">
        <v>1428</v>
      </c>
      <c r="J900">
        <v>15</v>
      </c>
      <c r="K900" t="s">
        <v>1943</v>
      </c>
      <c r="L900">
        <v>800</v>
      </c>
      <c r="M900">
        <v>1428</v>
      </c>
      <c r="N900">
        <v>800</v>
      </c>
      <c r="O900">
        <v>628</v>
      </c>
      <c r="P900">
        <v>0.43977591036414598</v>
      </c>
      <c r="Q900">
        <v>0</v>
      </c>
      <c r="R900">
        <v>0</v>
      </c>
      <c r="S900">
        <v>1</v>
      </c>
      <c r="T900">
        <v>1428</v>
      </c>
    </row>
    <row r="901" spans="1:20">
      <c r="A901" t="s">
        <v>1195</v>
      </c>
      <c r="B901" s="1">
        <v>45539</v>
      </c>
      <c r="C901">
        <v>36</v>
      </c>
      <c r="D901">
        <v>9</v>
      </c>
      <c r="E901" t="s">
        <v>1178</v>
      </c>
      <c r="F901" t="s">
        <v>369</v>
      </c>
      <c r="G901" t="s">
        <v>221</v>
      </c>
      <c r="H901">
        <v>2</v>
      </c>
      <c r="I901">
        <v>595</v>
      </c>
      <c r="J901">
        <v>15</v>
      </c>
      <c r="K901" t="s">
        <v>1949</v>
      </c>
      <c r="L901">
        <v>350</v>
      </c>
      <c r="M901">
        <v>1190</v>
      </c>
      <c r="N901">
        <v>700</v>
      </c>
      <c r="O901">
        <v>490</v>
      </c>
      <c r="P901">
        <v>0.41176470588235298</v>
      </c>
      <c r="Q901">
        <v>0</v>
      </c>
      <c r="R901">
        <v>0</v>
      </c>
      <c r="S901">
        <v>2</v>
      </c>
      <c r="T901">
        <v>1190</v>
      </c>
    </row>
    <row r="902" spans="1:20">
      <c r="A902" t="s">
        <v>1196</v>
      </c>
      <c r="B902" s="1">
        <v>45539</v>
      </c>
      <c r="C902">
        <v>36</v>
      </c>
      <c r="D902">
        <v>9</v>
      </c>
      <c r="E902" t="s">
        <v>1178</v>
      </c>
      <c r="F902" t="s">
        <v>13</v>
      </c>
      <c r="G902" t="s">
        <v>14</v>
      </c>
      <c r="H902">
        <v>2</v>
      </c>
      <c r="I902">
        <v>408</v>
      </c>
      <c r="J902">
        <v>15</v>
      </c>
      <c r="K902" t="s">
        <v>1925</v>
      </c>
      <c r="L902">
        <v>220</v>
      </c>
      <c r="M902">
        <v>816</v>
      </c>
      <c r="N902">
        <v>440</v>
      </c>
      <c r="O902">
        <v>376</v>
      </c>
      <c r="P902">
        <v>0.46078431372549</v>
      </c>
      <c r="Q902">
        <v>0</v>
      </c>
      <c r="R902">
        <v>0</v>
      </c>
      <c r="S902">
        <v>2</v>
      </c>
      <c r="T902">
        <v>816</v>
      </c>
    </row>
    <row r="903" spans="1:20">
      <c r="A903" t="s">
        <v>1197</v>
      </c>
      <c r="B903" s="1">
        <v>45539</v>
      </c>
      <c r="C903">
        <v>36</v>
      </c>
      <c r="D903">
        <v>9</v>
      </c>
      <c r="E903" t="s">
        <v>1178</v>
      </c>
      <c r="F903" t="s">
        <v>28</v>
      </c>
      <c r="G903" t="s">
        <v>26</v>
      </c>
      <c r="H903">
        <v>3</v>
      </c>
      <c r="I903">
        <v>1500</v>
      </c>
      <c r="J903">
        <v>0</v>
      </c>
      <c r="K903" t="s">
        <v>1939</v>
      </c>
      <c r="L903">
        <v>600</v>
      </c>
      <c r="M903">
        <v>4500</v>
      </c>
      <c r="N903">
        <v>1800</v>
      </c>
      <c r="O903">
        <v>2700</v>
      </c>
      <c r="P903">
        <v>0.6</v>
      </c>
      <c r="Q903">
        <v>0</v>
      </c>
      <c r="R903">
        <v>0</v>
      </c>
      <c r="S903">
        <v>3</v>
      </c>
      <c r="T903">
        <v>4500</v>
      </c>
    </row>
    <row r="904" spans="1:20">
      <c r="A904" t="s">
        <v>1198</v>
      </c>
      <c r="B904" s="1">
        <v>45540</v>
      </c>
      <c r="C904">
        <v>36</v>
      </c>
      <c r="D904">
        <v>9</v>
      </c>
      <c r="E904" t="s">
        <v>1178</v>
      </c>
      <c r="F904" t="s">
        <v>28</v>
      </c>
      <c r="G904" t="s">
        <v>26</v>
      </c>
      <c r="H904">
        <v>3</v>
      </c>
      <c r="I904">
        <v>1275</v>
      </c>
      <c r="J904">
        <v>15</v>
      </c>
      <c r="K904" t="s">
        <v>1939</v>
      </c>
      <c r="L904">
        <v>600</v>
      </c>
      <c r="M904">
        <v>3825</v>
      </c>
      <c r="N904">
        <v>1800</v>
      </c>
      <c r="O904">
        <v>2025</v>
      </c>
      <c r="P904">
        <v>0.52941176470588203</v>
      </c>
      <c r="Q904">
        <v>0</v>
      </c>
      <c r="R904">
        <v>0</v>
      </c>
      <c r="S904">
        <v>3</v>
      </c>
      <c r="T904">
        <v>3825</v>
      </c>
    </row>
    <row r="905" spans="1:20">
      <c r="A905" t="s">
        <v>1200</v>
      </c>
      <c r="B905" s="1">
        <v>45540</v>
      </c>
      <c r="C905">
        <v>36</v>
      </c>
      <c r="D905">
        <v>9</v>
      </c>
      <c r="E905" t="s">
        <v>1178</v>
      </c>
      <c r="F905" t="s">
        <v>64</v>
      </c>
      <c r="G905" t="s">
        <v>14</v>
      </c>
      <c r="H905">
        <v>3</v>
      </c>
      <c r="I905">
        <v>2244</v>
      </c>
      <c r="J905">
        <v>15</v>
      </c>
      <c r="K905" t="s">
        <v>1923</v>
      </c>
      <c r="L905">
        <v>1200</v>
      </c>
      <c r="M905">
        <v>6732</v>
      </c>
      <c r="N905">
        <v>3600</v>
      </c>
      <c r="O905">
        <v>3132</v>
      </c>
      <c r="P905">
        <v>0.46524064171122997</v>
      </c>
      <c r="Q905">
        <v>0</v>
      </c>
      <c r="R905">
        <v>0</v>
      </c>
      <c r="S905">
        <v>3</v>
      </c>
      <c r="T905">
        <v>6732</v>
      </c>
    </row>
    <row r="906" spans="1:20">
      <c r="A906" t="s">
        <v>1201</v>
      </c>
      <c r="B906" s="1">
        <v>45540</v>
      </c>
      <c r="C906">
        <v>36</v>
      </c>
      <c r="D906">
        <v>9</v>
      </c>
      <c r="E906" t="s">
        <v>1178</v>
      </c>
      <c r="F906" t="s">
        <v>115</v>
      </c>
      <c r="G906" t="s">
        <v>23</v>
      </c>
      <c r="H906">
        <v>4</v>
      </c>
      <c r="I906">
        <v>1200</v>
      </c>
      <c r="J906">
        <v>0</v>
      </c>
      <c r="K906" t="s">
        <v>1926</v>
      </c>
      <c r="L906">
        <v>600</v>
      </c>
      <c r="M906">
        <v>4800</v>
      </c>
      <c r="N906">
        <v>2400</v>
      </c>
      <c r="O906">
        <v>2400</v>
      </c>
      <c r="P906">
        <v>0.5</v>
      </c>
      <c r="Q906">
        <v>4</v>
      </c>
      <c r="R906">
        <v>4</v>
      </c>
      <c r="S906">
        <v>0</v>
      </c>
      <c r="T906">
        <v>0</v>
      </c>
    </row>
    <row r="907" spans="1:20">
      <c r="A907" t="s">
        <v>1202</v>
      </c>
      <c r="B907" s="1">
        <v>45540</v>
      </c>
      <c r="C907">
        <v>36</v>
      </c>
      <c r="D907">
        <v>9</v>
      </c>
      <c r="E907" t="s">
        <v>1178</v>
      </c>
      <c r="F907" t="s">
        <v>115</v>
      </c>
      <c r="G907" t="s">
        <v>23</v>
      </c>
      <c r="H907">
        <v>1</v>
      </c>
      <c r="I907">
        <v>1200</v>
      </c>
      <c r="J907">
        <v>0</v>
      </c>
      <c r="K907" t="s">
        <v>1926</v>
      </c>
      <c r="L907">
        <v>600</v>
      </c>
      <c r="M907">
        <v>1200</v>
      </c>
      <c r="N907">
        <v>600</v>
      </c>
      <c r="O907">
        <v>600</v>
      </c>
      <c r="P907">
        <v>0.5</v>
      </c>
      <c r="Q907">
        <v>0</v>
      </c>
      <c r="R907">
        <v>0</v>
      </c>
      <c r="S907">
        <v>1</v>
      </c>
      <c r="T907">
        <v>1200</v>
      </c>
    </row>
    <row r="908" spans="1:20">
      <c r="A908" t="s">
        <v>1203</v>
      </c>
      <c r="B908" s="1">
        <v>45540</v>
      </c>
      <c r="C908">
        <v>36</v>
      </c>
      <c r="D908">
        <v>9</v>
      </c>
      <c r="E908" t="s">
        <v>1178</v>
      </c>
      <c r="F908" t="s">
        <v>97</v>
      </c>
      <c r="G908" t="s">
        <v>20</v>
      </c>
      <c r="H908">
        <v>1</v>
      </c>
      <c r="I908">
        <v>1980</v>
      </c>
      <c r="J908">
        <v>0</v>
      </c>
      <c r="K908" t="s">
        <v>1932</v>
      </c>
      <c r="L908">
        <v>1100</v>
      </c>
      <c r="M908">
        <v>1980</v>
      </c>
      <c r="N908">
        <v>1100</v>
      </c>
      <c r="O908">
        <v>880</v>
      </c>
      <c r="P908">
        <v>0.44444444444444398</v>
      </c>
      <c r="Q908">
        <v>0</v>
      </c>
      <c r="R908">
        <v>0</v>
      </c>
      <c r="S908">
        <v>1</v>
      </c>
      <c r="T908">
        <v>1980</v>
      </c>
    </row>
    <row r="909" spans="1:20">
      <c r="A909" t="s">
        <v>1204</v>
      </c>
      <c r="B909" s="1">
        <v>45540</v>
      </c>
      <c r="C909">
        <v>36</v>
      </c>
      <c r="D909">
        <v>9</v>
      </c>
      <c r="E909" t="s">
        <v>1178</v>
      </c>
      <c r="F909" t="s">
        <v>94</v>
      </c>
      <c r="G909" t="s">
        <v>17</v>
      </c>
      <c r="H909">
        <v>5</v>
      </c>
      <c r="I909">
        <v>1596</v>
      </c>
      <c r="J909">
        <v>5</v>
      </c>
      <c r="K909" t="s">
        <v>1943</v>
      </c>
      <c r="L909">
        <v>800</v>
      </c>
      <c r="M909">
        <v>7980</v>
      </c>
      <c r="N909">
        <v>4000</v>
      </c>
      <c r="O909">
        <v>3980</v>
      </c>
      <c r="P909">
        <v>0.49874686716791999</v>
      </c>
      <c r="Q909">
        <v>0</v>
      </c>
      <c r="R909">
        <v>0</v>
      </c>
      <c r="S909">
        <v>5</v>
      </c>
      <c r="T909">
        <v>7980</v>
      </c>
    </row>
    <row r="910" spans="1:20">
      <c r="A910" t="s">
        <v>1205</v>
      </c>
      <c r="B910" s="1">
        <v>45541</v>
      </c>
      <c r="C910">
        <v>36</v>
      </c>
      <c r="D910">
        <v>9</v>
      </c>
      <c r="E910" t="s">
        <v>1178</v>
      </c>
      <c r="F910" t="s">
        <v>187</v>
      </c>
      <c r="G910" t="s">
        <v>14</v>
      </c>
      <c r="H910">
        <v>1</v>
      </c>
      <c r="I910">
        <v>4400</v>
      </c>
      <c r="J910">
        <v>0</v>
      </c>
      <c r="K910" t="s">
        <v>1924</v>
      </c>
      <c r="L910">
        <v>2000</v>
      </c>
      <c r="M910">
        <v>4400</v>
      </c>
      <c r="N910">
        <v>2000</v>
      </c>
      <c r="O910">
        <v>2400</v>
      </c>
      <c r="P910">
        <v>0.54545454545454497</v>
      </c>
      <c r="Q910">
        <v>0</v>
      </c>
      <c r="R910">
        <v>0</v>
      </c>
      <c r="S910">
        <v>1</v>
      </c>
      <c r="T910">
        <v>4400</v>
      </c>
    </row>
    <row r="911" spans="1:20">
      <c r="A911" t="s">
        <v>1207</v>
      </c>
      <c r="B911" s="1">
        <v>45541</v>
      </c>
      <c r="C911">
        <v>36</v>
      </c>
      <c r="D911">
        <v>9</v>
      </c>
      <c r="E911" t="s">
        <v>1178</v>
      </c>
      <c r="F911" t="s">
        <v>37</v>
      </c>
      <c r="G911" t="s">
        <v>20</v>
      </c>
      <c r="H911">
        <v>4</v>
      </c>
      <c r="I911">
        <v>2340</v>
      </c>
      <c r="J911">
        <v>0</v>
      </c>
      <c r="K911" t="s">
        <v>1935</v>
      </c>
      <c r="L911">
        <v>1300</v>
      </c>
      <c r="M911">
        <v>9360</v>
      </c>
      <c r="N911">
        <v>5200</v>
      </c>
      <c r="O911">
        <v>4160</v>
      </c>
      <c r="P911">
        <v>0.44444444444444398</v>
      </c>
      <c r="Q911">
        <v>0</v>
      </c>
      <c r="R911">
        <v>0</v>
      </c>
      <c r="S911">
        <v>4</v>
      </c>
      <c r="T911">
        <v>9360</v>
      </c>
    </row>
    <row r="912" spans="1:20">
      <c r="A912" t="s">
        <v>1208</v>
      </c>
      <c r="B912" s="1">
        <v>45541</v>
      </c>
      <c r="C912">
        <v>36</v>
      </c>
      <c r="D912">
        <v>9</v>
      </c>
      <c r="E912" t="s">
        <v>1178</v>
      </c>
      <c r="F912" t="s">
        <v>82</v>
      </c>
      <c r="G912" t="s">
        <v>20</v>
      </c>
      <c r="H912">
        <v>4</v>
      </c>
      <c r="I912">
        <v>900</v>
      </c>
      <c r="J912">
        <v>0</v>
      </c>
      <c r="K912" t="s">
        <v>1933</v>
      </c>
      <c r="L912">
        <v>500</v>
      </c>
      <c r="M912">
        <v>3600</v>
      </c>
      <c r="N912">
        <v>2000</v>
      </c>
      <c r="O912">
        <v>1600</v>
      </c>
      <c r="P912">
        <v>0.44444444444444398</v>
      </c>
      <c r="Q912">
        <v>0</v>
      </c>
      <c r="R912">
        <v>0</v>
      </c>
      <c r="S912">
        <v>4</v>
      </c>
      <c r="T912">
        <v>3600</v>
      </c>
    </row>
    <row r="913" spans="1:20">
      <c r="A913" t="s">
        <v>1209</v>
      </c>
      <c r="B913" s="1">
        <v>45542</v>
      </c>
      <c r="C913">
        <v>36</v>
      </c>
      <c r="D913">
        <v>9</v>
      </c>
      <c r="E913" t="s">
        <v>1178</v>
      </c>
      <c r="F913" t="s">
        <v>45</v>
      </c>
      <c r="G913" t="s">
        <v>26</v>
      </c>
      <c r="H913">
        <v>2</v>
      </c>
      <c r="I913">
        <v>4500</v>
      </c>
      <c r="J913">
        <v>0</v>
      </c>
      <c r="K913" t="s">
        <v>1938</v>
      </c>
      <c r="L913">
        <v>1800</v>
      </c>
      <c r="M913">
        <v>9000</v>
      </c>
      <c r="N913">
        <v>3600</v>
      </c>
      <c r="O913">
        <v>5400</v>
      </c>
      <c r="P913">
        <v>0.6</v>
      </c>
      <c r="Q913">
        <v>0</v>
      </c>
      <c r="R913">
        <v>0</v>
      </c>
      <c r="S913">
        <v>2</v>
      </c>
      <c r="T913">
        <v>9000</v>
      </c>
    </row>
    <row r="914" spans="1:20">
      <c r="A914" t="s">
        <v>1211</v>
      </c>
      <c r="B914" s="1">
        <v>45542</v>
      </c>
      <c r="C914">
        <v>36</v>
      </c>
      <c r="D914">
        <v>9</v>
      </c>
      <c r="E914" t="s">
        <v>1178</v>
      </c>
      <c r="F914" t="s">
        <v>119</v>
      </c>
      <c r="G914" t="s">
        <v>14</v>
      </c>
      <c r="H914">
        <v>2</v>
      </c>
      <c r="I914">
        <v>693</v>
      </c>
      <c r="J914">
        <v>10</v>
      </c>
      <c r="K914" t="s">
        <v>1920</v>
      </c>
      <c r="L914">
        <v>350</v>
      </c>
      <c r="M914">
        <v>1386</v>
      </c>
      <c r="N914">
        <v>700</v>
      </c>
      <c r="O914">
        <v>686</v>
      </c>
      <c r="P914">
        <v>0.49494949494949497</v>
      </c>
      <c r="Q914">
        <v>0</v>
      </c>
      <c r="R914">
        <v>0</v>
      </c>
      <c r="S914">
        <v>2</v>
      </c>
      <c r="T914">
        <v>1386</v>
      </c>
    </row>
    <row r="915" spans="1:20">
      <c r="A915" t="s">
        <v>1212</v>
      </c>
      <c r="B915" s="1">
        <v>45542</v>
      </c>
      <c r="C915">
        <v>36</v>
      </c>
      <c r="D915">
        <v>9</v>
      </c>
      <c r="E915" t="s">
        <v>1178</v>
      </c>
      <c r="F915" t="s">
        <v>16</v>
      </c>
      <c r="G915" t="s">
        <v>17</v>
      </c>
      <c r="H915">
        <v>5</v>
      </c>
      <c r="I915">
        <v>520</v>
      </c>
      <c r="J915">
        <v>0</v>
      </c>
      <c r="K915" t="s">
        <v>1945</v>
      </c>
      <c r="L915">
        <v>250</v>
      </c>
      <c r="M915">
        <v>2600</v>
      </c>
      <c r="N915">
        <v>1250</v>
      </c>
      <c r="O915">
        <v>1350</v>
      </c>
      <c r="P915">
        <v>0.51923076923076905</v>
      </c>
      <c r="Q915">
        <v>0</v>
      </c>
      <c r="R915">
        <v>0</v>
      </c>
      <c r="S915">
        <v>5</v>
      </c>
      <c r="T915">
        <v>2600</v>
      </c>
    </row>
    <row r="916" spans="1:20">
      <c r="A916" t="s">
        <v>1213</v>
      </c>
      <c r="B916" s="1">
        <v>45542</v>
      </c>
      <c r="C916">
        <v>36</v>
      </c>
      <c r="D916">
        <v>9</v>
      </c>
      <c r="E916" t="s">
        <v>1178</v>
      </c>
      <c r="F916" t="s">
        <v>51</v>
      </c>
      <c r="G916" t="s">
        <v>26</v>
      </c>
      <c r="H916">
        <v>5</v>
      </c>
      <c r="I916">
        <v>500</v>
      </c>
      <c r="J916">
        <v>0</v>
      </c>
      <c r="K916" t="s">
        <v>1936</v>
      </c>
      <c r="L916">
        <v>200</v>
      </c>
      <c r="M916">
        <v>2500</v>
      </c>
      <c r="N916">
        <v>1000</v>
      </c>
      <c r="O916">
        <v>1500</v>
      </c>
      <c r="P916">
        <v>0.6</v>
      </c>
      <c r="Q916">
        <v>0</v>
      </c>
      <c r="R916">
        <v>0</v>
      </c>
      <c r="S916">
        <v>5</v>
      </c>
      <c r="T916">
        <v>2500</v>
      </c>
    </row>
    <row r="917" spans="1:20">
      <c r="A917" t="s">
        <v>1214</v>
      </c>
      <c r="B917" s="1">
        <v>45543</v>
      </c>
      <c r="C917">
        <v>36</v>
      </c>
      <c r="D917">
        <v>9</v>
      </c>
      <c r="E917" t="s">
        <v>1178</v>
      </c>
      <c r="F917" t="s">
        <v>94</v>
      </c>
      <c r="G917" t="s">
        <v>17</v>
      </c>
      <c r="H917">
        <v>4</v>
      </c>
      <c r="I917">
        <v>1680</v>
      </c>
      <c r="J917">
        <v>0</v>
      </c>
      <c r="K917" t="s">
        <v>1943</v>
      </c>
      <c r="L917">
        <v>800</v>
      </c>
      <c r="M917">
        <v>6720</v>
      </c>
      <c r="N917">
        <v>3200</v>
      </c>
      <c r="O917">
        <v>3520</v>
      </c>
      <c r="P917">
        <v>0.52380952380952395</v>
      </c>
      <c r="Q917">
        <v>0</v>
      </c>
      <c r="R917">
        <v>0</v>
      </c>
      <c r="S917">
        <v>4</v>
      </c>
      <c r="T917">
        <v>6720</v>
      </c>
    </row>
    <row r="918" spans="1:20">
      <c r="A918" t="s">
        <v>1216</v>
      </c>
      <c r="B918" s="1">
        <v>45544</v>
      </c>
      <c r="C918">
        <v>37</v>
      </c>
      <c r="D918">
        <v>9</v>
      </c>
      <c r="E918" t="s">
        <v>1178</v>
      </c>
      <c r="F918" t="s">
        <v>220</v>
      </c>
      <c r="G918" t="s">
        <v>221</v>
      </c>
      <c r="H918">
        <v>5</v>
      </c>
      <c r="I918">
        <v>600</v>
      </c>
      <c r="J918">
        <v>0</v>
      </c>
      <c r="K918" t="s">
        <v>1947</v>
      </c>
      <c r="L918">
        <v>300</v>
      </c>
      <c r="M918">
        <v>3000</v>
      </c>
      <c r="N918">
        <v>1500</v>
      </c>
      <c r="O918">
        <v>1500</v>
      </c>
      <c r="P918">
        <v>0.5</v>
      </c>
      <c r="Q918">
        <v>0</v>
      </c>
      <c r="R918">
        <v>0</v>
      </c>
      <c r="S918">
        <v>5</v>
      </c>
      <c r="T918">
        <v>3000</v>
      </c>
    </row>
    <row r="919" spans="1:20">
      <c r="A919" t="s">
        <v>1218</v>
      </c>
      <c r="B919" s="1">
        <v>45544</v>
      </c>
      <c r="C919">
        <v>37</v>
      </c>
      <c r="D919">
        <v>9</v>
      </c>
      <c r="E919" t="s">
        <v>1178</v>
      </c>
      <c r="F919" t="s">
        <v>80</v>
      </c>
      <c r="G919" t="s">
        <v>14</v>
      </c>
      <c r="H919">
        <v>2</v>
      </c>
      <c r="I919">
        <v>400</v>
      </c>
      <c r="J919">
        <v>0</v>
      </c>
      <c r="K919" t="s">
        <v>1922</v>
      </c>
      <c r="L919">
        <v>180</v>
      </c>
      <c r="M919">
        <v>800</v>
      </c>
      <c r="N919">
        <v>360</v>
      </c>
      <c r="O919">
        <v>440</v>
      </c>
      <c r="P919">
        <v>0.55000000000000004</v>
      </c>
      <c r="Q919">
        <v>0</v>
      </c>
      <c r="R919">
        <v>0</v>
      </c>
      <c r="S919">
        <v>2</v>
      </c>
      <c r="T919">
        <v>800</v>
      </c>
    </row>
    <row r="920" spans="1:20">
      <c r="A920" t="s">
        <v>1219</v>
      </c>
      <c r="B920" s="1">
        <v>45545</v>
      </c>
      <c r="C920">
        <v>37</v>
      </c>
      <c r="D920">
        <v>9</v>
      </c>
      <c r="E920" t="s">
        <v>1178</v>
      </c>
      <c r="F920" t="s">
        <v>16</v>
      </c>
      <c r="G920" t="s">
        <v>17</v>
      </c>
      <c r="H920">
        <v>4</v>
      </c>
      <c r="I920">
        <v>520</v>
      </c>
      <c r="J920">
        <v>0</v>
      </c>
      <c r="K920" t="s">
        <v>1945</v>
      </c>
      <c r="L920">
        <v>250</v>
      </c>
      <c r="M920">
        <v>2080</v>
      </c>
      <c r="N920">
        <v>1000</v>
      </c>
      <c r="O920">
        <v>1080</v>
      </c>
      <c r="P920">
        <v>0.51923076923076905</v>
      </c>
      <c r="Q920">
        <v>0</v>
      </c>
      <c r="R920">
        <v>0</v>
      </c>
      <c r="S920">
        <v>4</v>
      </c>
      <c r="T920">
        <v>2080</v>
      </c>
    </row>
    <row r="921" spans="1:20">
      <c r="A921" t="s">
        <v>1221</v>
      </c>
      <c r="B921" s="1">
        <v>45545</v>
      </c>
      <c r="C921">
        <v>37</v>
      </c>
      <c r="D921">
        <v>9</v>
      </c>
      <c r="E921" t="s">
        <v>1178</v>
      </c>
      <c r="F921" t="s">
        <v>94</v>
      </c>
      <c r="G921" t="s">
        <v>17</v>
      </c>
      <c r="H921">
        <v>3</v>
      </c>
      <c r="I921">
        <v>1428</v>
      </c>
      <c r="J921">
        <v>15</v>
      </c>
      <c r="K921" t="s">
        <v>1943</v>
      </c>
      <c r="L921">
        <v>800</v>
      </c>
      <c r="M921">
        <v>4284</v>
      </c>
      <c r="N921">
        <v>2400</v>
      </c>
      <c r="O921">
        <v>1884</v>
      </c>
      <c r="P921">
        <v>0.43977591036414598</v>
      </c>
      <c r="Q921">
        <v>0</v>
      </c>
      <c r="R921">
        <v>0</v>
      </c>
      <c r="S921">
        <v>3</v>
      </c>
      <c r="T921">
        <v>4284</v>
      </c>
    </row>
    <row r="922" spans="1:20">
      <c r="A922" t="s">
        <v>1222</v>
      </c>
      <c r="B922" s="1">
        <v>45545</v>
      </c>
      <c r="C922">
        <v>37</v>
      </c>
      <c r="D922">
        <v>9</v>
      </c>
      <c r="E922" t="s">
        <v>1178</v>
      </c>
      <c r="F922" t="s">
        <v>35</v>
      </c>
      <c r="G922" t="s">
        <v>17</v>
      </c>
      <c r="H922">
        <v>2</v>
      </c>
      <c r="I922">
        <v>2677.5</v>
      </c>
      <c r="J922">
        <v>15</v>
      </c>
      <c r="K922" t="s">
        <v>1942</v>
      </c>
      <c r="L922">
        <v>1500</v>
      </c>
      <c r="M922">
        <v>5355</v>
      </c>
      <c r="N922">
        <v>3000</v>
      </c>
      <c r="O922">
        <v>2355</v>
      </c>
      <c r="P922">
        <v>0.43977591036414598</v>
      </c>
      <c r="Q922">
        <v>0</v>
      </c>
      <c r="R922">
        <v>0</v>
      </c>
      <c r="S922">
        <v>2</v>
      </c>
      <c r="T922">
        <v>5355</v>
      </c>
    </row>
    <row r="923" spans="1:20">
      <c r="A923" t="s">
        <v>1223</v>
      </c>
      <c r="B923" s="1">
        <v>45546</v>
      </c>
      <c r="C923">
        <v>37</v>
      </c>
      <c r="D923">
        <v>9</v>
      </c>
      <c r="E923" t="s">
        <v>1178</v>
      </c>
      <c r="F923" t="s">
        <v>369</v>
      </c>
      <c r="G923" t="s">
        <v>221</v>
      </c>
      <c r="H923">
        <v>3</v>
      </c>
      <c r="I923">
        <v>595</v>
      </c>
      <c r="J923">
        <v>15</v>
      </c>
      <c r="K923" t="s">
        <v>1949</v>
      </c>
      <c r="L923">
        <v>350</v>
      </c>
      <c r="M923">
        <v>1785</v>
      </c>
      <c r="N923">
        <v>1050</v>
      </c>
      <c r="O923">
        <v>735</v>
      </c>
      <c r="P923">
        <v>0.41176470588235298</v>
      </c>
      <c r="Q923">
        <v>0</v>
      </c>
      <c r="R923">
        <v>0</v>
      </c>
      <c r="S923">
        <v>3</v>
      </c>
      <c r="T923">
        <v>1785</v>
      </c>
    </row>
    <row r="924" spans="1:20">
      <c r="A924" t="s">
        <v>1225</v>
      </c>
      <c r="B924" s="1">
        <v>45546</v>
      </c>
      <c r="C924">
        <v>37</v>
      </c>
      <c r="D924">
        <v>9</v>
      </c>
      <c r="E924" t="s">
        <v>1178</v>
      </c>
      <c r="F924" t="s">
        <v>31</v>
      </c>
      <c r="G924" t="s">
        <v>23</v>
      </c>
      <c r="H924">
        <v>4</v>
      </c>
      <c r="I924">
        <v>1330</v>
      </c>
      <c r="J924">
        <v>5</v>
      </c>
      <c r="K924" t="s">
        <v>1930</v>
      </c>
      <c r="L924">
        <v>700</v>
      </c>
      <c r="M924">
        <v>5320</v>
      </c>
      <c r="N924">
        <v>2800</v>
      </c>
      <c r="O924">
        <v>2520</v>
      </c>
      <c r="P924">
        <v>0.47368421052631599</v>
      </c>
      <c r="Q924">
        <v>0</v>
      </c>
      <c r="R924">
        <v>0</v>
      </c>
      <c r="S924">
        <v>4</v>
      </c>
      <c r="T924">
        <v>5320</v>
      </c>
    </row>
    <row r="925" spans="1:20">
      <c r="A925" t="s">
        <v>1226</v>
      </c>
      <c r="B925" s="1">
        <v>45546</v>
      </c>
      <c r="C925">
        <v>37</v>
      </c>
      <c r="D925">
        <v>9</v>
      </c>
      <c r="E925" t="s">
        <v>1178</v>
      </c>
      <c r="F925" t="s">
        <v>364</v>
      </c>
      <c r="G925" t="s">
        <v>221</v>
      </c>
      <c r="H925">
        <v>3</v>
      </c>
      <c r="I925">
        <v>864</v>
      </c>
      <c r="J925">
        <v>10</v>
      </c>
      <c r="K925" t="s">
        <v>1946</v>
      </c>
      <c r="L925">
        <v>480</v>
      </c>
      <c r="M925">
        <v>2592</v>
      </c>
      <c r="N925">
        <v>1440</v>
      </c>
      <c r="O925">
        <v>1152</v>
      </c>
      <c r="P925">
        <v>0.44444444444444398</v>
      </c>
      <c r="Q925">
        <v>0</v>
      </c>
      <c r="R925">
        <v>0</v>
      </c>
      <c r="S925">
        <v>3</v>
      </c>
      <c r="T925">
        <v>2592</v>
      </c>
    </row>
    <row r="926" spans="1:20">
      <c r="A926" t="s">
        <v>1227</v>
      </c>
      <c r="B926" s="1">
        <v>45546</v>
      </c>
      <c r="C926">
        <v>37</v>
      </c>
      <c r="D926">
        <v>9</v>
      </c>
      <c r="E926" t="s">
        <v>1178</v>
      </c>
      <c r="F926" t="s">
        <v>13</v>
      </c>
      <c r="G926" t="s">
        <v>14</v>
      </c>
      <c r="H926">
        <v>4</v>
      </c>
      <c r="I926">
        <v>432</v>
      </c>
      <c r="J926">
        <v>10</v>
      </c>
      <c r="K926" t="s">
        <v>1925</v>
      </c>
      <c r="L926">
        <v>220</v>
      </c>
      <c r="M926">
        <v>1728</v>
      </c>
      <c r="N926">
        <v>880</v>
      </c>
      <c r="O926">
        <v>848</v>
      </c>
      <c r="P926">
        <v>0.49074074074074098</v>
      </c>
      <c r="Q926">
        <v>2</v>
      </c>
      <c r="R926">
        <v>2</v>
      </c>
      <c r="S926">
        <v>2</v>
      </c>
      <c r="T926">
        <v>864</v>
      </c>
    </row>
    <row r="927" spans="1:20">
      <c r="A927" t="s">
        <v>1228</v>
      </c>
      <c r="B927" s="1">
        <v>45547</v>
      </c>
      <c r="C927">
        <v>37</v>
      </c>
      <c r="D927">
        <v>9</v>
      </c>
      <c r="E927" t="s">
        <v>1178</v>
      </c>
      <c r="F927" t="s">
        <v>37</v>
      </c>
      <c r="G927" t="s">
        <v>20</v>
      </c>
      <c r="H927">
        <v>1</v>
      </c>
      <c r="I927">
        <v>2340</v>
      </c>
      <c r="J927">
        <v>0</v>
      </c>
      <c r="K927" t="s">
        <v>1935</v>
      </c>
      <c r="L927">
        <v>1300</v>
      </c>
      <c r="M927">
        <v>2340</v>
      </c>
      <c r="N927">
        <v>1300</v>
      </c>
      <c r="O927">
        <v>1040</v>
      </c>
      <c r="P927">
        <v>0.44444444444444398</v>
      </c>
      <c r="Q927">
        <v>0</v>
      </c>
      <c r="R927">
        <v>0</v>
      </c>
      <c r="S927">
        <v>1</v>
      </c>
      <c r="T927">
        <v>2340</v>
      </c>
    </row>
    <row r="928" spans="1:20">
      <c r="A928" t="s">
        <v>1230</v>
      </c>
      <c r="B928" s="1">
        <v>45547</v>
      </c>
      <c r="C928">
        <v>37</v>
      </c>
      <c r="D928">
        <v>9</v>
      </c>
      <c r="E928" t="s">
        <v>1178</v>
      </c>
      <c r="F928" t="s">
        <v>22</v>
      </c>
      <c r="G928" t="s">
        <v>23</v>
      </c>
      <c r="H928">
        <v>4</v>
      </c>
      <c r="I928">
        <v>500</v>
      </c>
      <c r="J928">
        <v>0</v>
      </c>
      <c r="K928" t="s">
        <v>1929</v>
      </c>
      <c r="L928">
        <v>250</v>
      </c>
      <c r="M928">
        <v>2000</v>
      </c>
      <c r="N928">
        <v>1000</v>
      </c>
      <c r="O928">
        <v>1000</v>
      </c>
      <c r="P928">
        <v>0.5</v>
      </c>
      <c r="Q928">
        <v>3</v>
      </c>
      <c r="R928">
        <v>3</v>
      </c>
      <c r="S928">
        <v>1</v>
      </c>
      <c r="T928">
        <v>500</v>
      </c>
    </row>
    <row r="929" spans="1:20">
      <c r="A929" t="s">
        <v>1231</v>
      </c>
      <c r="B929" s="1">
        <v>45547</v>
      </c>
      <c r="C929">
        <v>37</v>
      </c>
      <c r="D929">
        <v>9</v>
      </c>
      <c r="E929" t="s">
        <v>1178</v>
      </c>
      <c r="F929" t="s">
        <v>119</v>
      </c>
      <c r="G929" t="s">
        <v>14</v>
      </c>
      <c r="H929">
        <v>3</v>
      </c>
      <c r="I929">
        <v>770</v>
      </c>
      <c r="J929">
        <v>0</v>
      </c>
      <c r="K929" t="s">
        <v>1920</v>
      </c>
      <c r="L929">
        <v>350</v>
      </c>
      <c r="M929">
        <v>2310</v>
      </c>
      <c r="N929">
        <v>1050</v>
      </c>
      <c r="O929">
        <v>1260</v>
      </c>
      <c r="P929">
        <v>0.54545454545454497</v>
      </c>
      <c r="Q929">
        <v>0</v>
      </c>
      <c r="R929">
        <v>0</v>
      </c>
      <c r="S929">
        <v>3</v>
      </c>
      <c r="T929">
        <v>2310</v>
      </c>
    </row>
    <row r="930" spans="1:20">
      <c r="A930" t="s">
        <v>1232</v>
      </c>
      <c r="B930" s="1">
        <v>45547</v>
      </c>
      <c r="C930">
        <v>37</v>
      </c>
      <c r="D930">
        <v>9</v>
      </c>
      <c r="E930" t="s">
        <v>1178</v>
      </c>
      <c r="F930" t="s">
        <v>86</v>
      </c>
      <c r="G930" t="s">
        <v>17</v>
      </c>
      <c r="H930">
        <v>5</v>
      </c>
      <c r="I930">
        <v>846</v>
      </c>
      <c r="J930">
        <v>10</v>
      </c>
      <c r="K930" t="s">
        <v>1944</v>
      </c>
      <c r="L930">
        <v>450</v>
      </c>
      <c r="M930">
        <v>4230</v>
      </c>
      <c r="N930">
        <v>2250</v>
      </c>
      <c r="O930">
        <v>1980</v>
      </c>
      <c r="P930">
        <v>0.46808510638297901</v>
      </c>
      <c r="Q930">
        <v>0</v>
      </c>
      <c r="R930">
        <v>0</v>
      </c>
      <c r="S930">
        <v>5</v>
      </c>
      <c r="T930">
        <v>4230</v>
      </c>
    </row>
    <row r="931" spans="1:20">
      <c r="A931" t="s">
        <v>1233</v>
      </c>
      <c r="B931" s="1">
        <v>45548</v>
      </c>
      <c r="C931">
        <v>37</v>
      </c>
      <c r="D931">
        <v>9</v>
      </c>
      <c r="E931" t="s">
        <v>1178</v>
      </c>
      <c r="F931" t="s">
        <v>35</v>
      </c>
      <c r="G931" t="s">
        <v>17</v>
      </c>
      <c r="H931">
        <v>1</v>
      </c>
      <c r="I931">
        <v>2992.5</v>
      </c>
      <c r="J931">
        <v>5</v>
      </c>
      <c r="K931" t="s">
        <v>1942</v>
      </c>
      <c r="L931">
        <v>1500</v>
      </c>
      <c r="M931">
        <v>2992.5</v>
      </c>
      <c r="N931">
        <v>1500</v>
      </c>
      <c r="O931">
        <v>1492.5</v>
      </c>
      <c r="P931">
        <v>0.49874686716791999</v>
      </c>
      <c r="Q931">
        <v>0</v>
      </c>
      <c r="R931">
        <v>0</v>
      </c>
      <c r="S931">
        <v>1</v>
      </c>
      <c r="T931">
        <v>2992.5</v>
      </c>
    </row>
    <row r="932" spans="1:20">
      <c r="A932" t="s">
        <v>1235</v>
      </c>
      <c r="B932" s="1">
        <v>45548</v>
      </c>
      <c r="C932">
        <v>37</v>
      </c>
      <c r="D932">
        <v>9</v>
      </c>
      <c r="E932" t="s">
        <v>1178</v>
      </c>
      <c r="F932" t="s">
        <v>119</v>
      </c>
      <c r="G932" t="s">
        <v>14</v>
      </c>
      <c r="H932">
        <v>2</v>
      </c>
      <c r="I932">
        <v>770</v>
      </c>
      <c r="J932">
        <v>0</v>
      </c>
      <c r="K932" t="s">
        <v>1920</v>
      </c>
      <c r="L932">
        <v>350</v>
      </c>
      <c r="M932">
        <v>1540</v>
      </c>
      <c r="N932">
        <v>700</v>
      </c>
      <c r="O932">
        <v>840</v>
      </c>
      <c r="P932">
        <v>0.54545454545454497</v>
      </c>
      <c r="Q932">
        <v>2</v>
      </c>
      <c r="R932">
        <v>2</v>
      </c>
      <c r="S932">
        <v>0</v>
      </c>
      <c r="T932">
        <v>0</v>
      </c>
    </row>
    <row r="933" spans="1:20">
      <c r="A933" t="s">
        <v>1236</v>
      </c>
      <c r="B933" s="1">
        <v>45548</v>
      </c>
      <c r="C933">
        <v>37</v>
      </c>
      <c r="D933">
        <v>9</v>
      </c>
      <c r="E933" t="s">
        <v>1178</v>
      </c>
      <c r="F933" t="s">
        <v>58</v>
      </c>
      <c r="G933" t="s">
        <v>23</v>
      </c>
      <c r="H933">
        <v>5</v>
      </c>
      <c r="I933">
        <v>900</v>
      </c>
      <c r="J933">
        <v>10</v>
      </c>
      <c r="K933" t="s">
        <v>1927</v>
      </c>
      <c r="L933">
        <v>500</v>
      </c>
      <c r="M933">
        <v>4500</v>
      </c>
      <c r="N933">
        <v>2500</v>
      </c>
      <c r="O933">
        <v>2000</v>
      </c>
      <c r="P933">
        <v>0.44444444444444398</v>
      </c>
      <c r="Q933">
        <v>0</v>
      </c>
      <c r="R933">
        <v>0</v>
      </c>
      <c r="S933">
        <v>5</v>
      </c>
      <c r="T933">
        <v>4500</v>
      </c>
    </row>
    <row r="934" spans="1:20">
      <c r="A934" t="s">
        <v>1237</v>
      </c>
      <c r="B934" s="1">
        <v>45548</v>
      </c>
      <c r="C934">
        <v>37</v>
      </c>
      <c r="D934">
        <v>9</v>
      </c>
      <c r="E934" t="s">
        <v>1178</v>
      </c>
      <c r="F934" t="s">
        <v>80</v>
      </c>
      <c r="G934" t="s">
        <v>14</v>
      </c>
      <c r="H934">
        <v>1</v>
      </c>
      <c r="I934">
        <v>380</v>
      </c>
      <c r="J934">
        <v>5</v>
      </c>
      <c r="K934" t="s">
        <v>1922</v>
      </c>
      <c r="L934">
        <v>180</v>
      </c>
      <c r="M934">
        <v>380</v>
      </c>
      <c r="N934">
        <v>180</v>
      </c>
      <c r="O934">
        <v>200</v>
      </c>
      <c r="P934">
        <v>0.52631578947368396</v>
      </c>
      <c r="Q934">
        <v>0</v>
      </c>
      <c r="R934">
        <v>0</v>
      </c>
      <c r="S934">
        <v>1</v>
      </c>
      <c r="T934">
        <v>380</v>
      </c>
    </row>
    <row r="935" spans="1:20">
      <c r="A935" t="s">
        <v>1238</v>
      </c>
      <c r="B935" s="1">
        <v>45548</v>
      </c>
      <c r="C935">
        <v>37</v>
      </c>
      <c r="D935">
        <v>9</v>
      </c>
      <c r="E935" t="s">
        <v>1178</v>
      </c>
      <c r="F935" t="s">
        <v>39</v>
      </c>
      <c r="G935" t="s">
        <v>14</v>
      </c>
      <c r="H935">
        <v>4</v>
      </c>
      <c r="I935">
        <v>792</v>
      </c>
      <c r="J935">
        <v>10</v>
      </c>
      <c r="K935" t="s">
        <v>1921</v>
      </c>
      <c r="L935">
        <v>400</v>
      </c>
      <c r="M935">
        <v>3168</v>
      </c>
      <c r="N935">
        <v>1600</v>
      </c>
      <c r="O935">
        <v>1568</v>
      </c>
      <c r="P935">
        <v>0.49494949494949497</v>
      </c>
      <c r="Q935">
        <v>0</v>
      </c>
      <c r="R935">
        <v>0</v>
      </c>
      <c r="S935">
        <v>4</v>
      </c>
      <c r="T935">
        <v>3168</v>
      </c>
    </row>
    <row r="936" spans="1:20">
      <c r="A936" t="s">
        <v>1239</v>
      </c>
      <c r="B936" s="1">
        <v>45549</v>
      </c>
      <c r="C936">
        <v>37</v>
      </c>
      <c r="D936">
        <v>9</v>
      </c>
      <c r="E936" t="s">
        <v>1178</v>
      </c>
      <c r="F936" t="s">
        <v>39</v>
      </c>
      <c r="G936" t="s">
        <v>14</v>
      </c>
      <c r="H936">
        <v>4</v>
      </c>
      <c r="I936">
        <v>836</v>
      </c>
      <c r="J936">
        <v>5</v>
      </c>
      <c r="K936" t="s">
        <v>1921</v>
      </c>
      <c r="L936">
        <v>400</v>
      </c>
      <c r="M936">
        <v>3344</v>
      </c>
      <c r="N936">
        <v>1600</v>
      </c>
      <c r="O936">
        <v>1744</v>
      </c>
      <c r="P936">
        <v>0.52153110047846896</v>
      </c>
      <c r="Q936">
        <v>0</v>
      </c>
      <c r="R936">
        <v>0</v>
      </c>
      <c r="S936">
        <v>4</v>
      </c>
      <c r="T936">
        <v>3344</v>
      </c>
    </row>
    <row r="937" spans="1:20">
      <c r="A937" t="s">
        <v>1241</v>
      </c>
      <c r="B937" s="1">
        <v>45549</v>
      </c>
      <c r="C937">
        <v>37</v>
      </c>
      <c r="D937">
        <v>9</v>
      </c>
      <c r="E937" t="s">
        <v>1178</v>
      </c>
      <c r="F937" t="s">
        <v>13</v>
      </c>
      <c r="G937" t="s">
        <v>14</v>
      </c>
      <c r="H937">
        <v>1</v>
      </c>
      <c r="I937">
        <v>480</v>
      </c>
      <c r="J937">
        <v>0</v>
      </c>
      <c r="K937" t="s">
        <v>1925</v>
      </c>
      <c r="L937">
        <v>220</v>
      </c>
      <c r="M937">
        <v>480</v>
      </c>
      <c r="N937">
        <v>220</v>
      </c>
      <c r="O937">
        <v>260</v>
      </c>
      <c r="P937">
        <v>0.54166666666666696</v>
      </c>
      <c r="Q937">
        <v>0</v>
      </c>
      <c r="R937">
        <v>0</v>
      </c>
      <c r="S937">
        <v>1</v>
      </c>
      <c r="T937">
        <v>480</v>
      </c>
    </row>
    <row r="938" spans="1:20">
      <c r="A938" t="s">
        <v>1242</v>
      </c>
      <c r="B938" s="1">
        <v>45549</v>
      </c>
      <c r="C938">
        <v>37</v>
      </c>
      <c r="D938">
        <v>9</v>
      </c>
      <c r="E938" t="s">
        <v>1178</v>
      </c>
      <c r="F938" t="s">
        <v>16</v>
      </c>
      <c r="G938" t="s">
        <v>17</v>
      </c>
      <c r="H938">
        <v>2</v>
      </c>
      <c r="I938">
        <v>520</v>
      </c>
      <c r="J938">
        <v>0</v>
      </c>
      <c r="K938" t="s">
        <v>1945</v>
      </c>
      <c r="L938">
        <v>250</v>
      </c>
      <c r="M938">
        <v>1040</v>
      </c>
      <c r="N938">
        <v>500</v>
      </c>
      <c r="O938">
        <v>540</v>
      </c>
      <c r="P938">
        <v>0.51923076923076905</v>
      </c>
      <c r="Q938">
        <v>0</v>
      </c>
      <c r="R938">
        <v>0</v>
      </c>
      <c r="S938">
        <v>2</v>
      </c>
      <c r="T938">
        <v>1040</v>
      </c>
    </row>
    <row r="939" spans="1:20">
      <c r="A939" t="s">
        <v>1243</v>
      </c>
      <c r="B939" s="1">
        <v>45549</v>
      </c>
      <c r="C939">
        <v>37</v>
      </c>
      <c r="D939">
        <v>9</v>
      </c>
      <c r="E939" t="s">
        <v>1178</v>
      </c>
      <c r="F939" t="s">
        <v>58</v>
      </c>
      <c r="G939" t="s">
        <v>23</v>
      </c>
      <c r="H939">
        <v>1</v>
      </c>
      <c r="I939">
        <v>1000</v>
      </c>
      <c r="J939">
        <v>0</v>
      </c>
      <c r="K939" t="s">
        <v>1927</v>
      </c>
      <c r="L939">
        <v>500</v>
      </c>
      <c r="M939">
        <v>1000</v>
      </c>
      <c r="N939">
        <v>500</v>
      </c>
      <c r="O939">
        <v>500</v>
      </c>
      <c r="P939">
        <v>0.5</v>
      </c>
      <c r="Q939">
        <v>0</v>
      </c>
      <c r="R939">
        <v>0</v>
      </c>
      <c r="S939">
        <v>1</v>
      </c>
      <c r="T939">
        <v>1000</v>
      </c>
    </row>
    <row r="940" spans="1:20">
      <c r="A940" t="s">
        <v>1244</v>
      </c>
      <c r="B940" s="1">
        <v>45549</v>
      </c>
      <c r="C940">
        <v>37</v>
      </c>
      <c r="D940">
        <v>9</v>
      </c>
      <c r="E940" t="s">
        <v>1178</v>
      </c>
      <c r="F940" t="s">
        <v>119</v>
      </c>
      <c r="G940" t="s">
        <v>14</v>
      </c>
      <c r="H940">
        <v>5</v>
      </c>
      <c r="I940">
        <v>770</v>
      </c>
      <c r="J940">
        <v>0</v>
      </c>
      <c r="K940" t="s">
        <v>1920</v>
      </c>
      <c r="L940">
        <v>350</v>
      </c>
      <c r="M940">
        <v>3850</v>
      </c>
      <c r="N940">
        <v>1750</v>
      </c>
      <c r="O940">
        <v>2100</v>
      </c>
      <c r="P940">
        <v>0.54545454545454497</v>
      </c>
      <c r="Q940">
        <v>0</v>
      </c>
      <c r="R940">
        <v>0</v>
      </c>
      <c r="S940">
        <v>5</v>
      </c>
      <c r="T940">
        <v>3850</v>
      </c>
    </row>
    <row r="941" spans="1:20">
      <c r="A941" t="s">
        <v>1245</v>
      </c>
      <c r="B941" s="1">
        <v>45549</v>
      </c>
      <c r="C941">
        <v>37</v>
      </c>
      <c r="D941">
        <v>9</v>
      </c>
      <c r="E941" t="s">
        <v>1178</v>
      </c>
      <c r="F941" t="s">
        <v>19</v>
      </c>
      <c r="G941" t="s">
        <v>20</v>
      </c>
      <c r="H941">
        <v>5</v>
      </c>
      <c r="I941">
        <v>1620</v>
      </c>
      <c r="J941">
        <v>0</v>
      </c>
      <c r="K941" t="s">
        <v>1931</v>
      </c>
      <c r="L941">
        <v>900</v>
      </c>
      <c r="M941">
        <v>8100</v>
      </c>
      <c r="N941">
        <v>4500</v>
      </c>
      <c r="O941">
        <v>3600</v>
      </c>
      <c r="P941">
        <v>0.44444444444444398</v>
      </c>
      <c r="Q941">
        <v>0</v>
      </c>
      <c r="R941">
        <v>0</v>
      </c>
      <c r="S941">
        <v>5</v>
      </c>
      <c r="T941">
        <v>8100</v>
      </c>
    </row>
    <row r="942" spans="1:20">
      <c r="A942" t="s">
        <v>1246</v>
      </c>
      <c r="B942" s="1">
        <v>45549</v>
      </c>
      <c r="C942">
        <v>37</v>
      </c>
      <c r="D942">
        <v>9</v>
      </c>
      <c r="E942" t="s">
        <v>1178</v>
      </c>
      <c r="F942" t="s">
        <v>86</v>
      </c>
      <c r="G942" t="s">
        <v>17</v>
      </c>
      <c r="H942">
        <v>4</v>
      </c>
      <c r="I942">
        <v>799</v>
      </c>
      <c r="J942">
        <v>15</v>
      </c>
      <c r="K942" t="s">
        <v>1944</v>
      </c>
      <c r="L942">
        <v>450</v>
      </c>
      <c r="M942">
        <v>3196</v>
      </c>
      <c r="N942">
        <v>1800</v>
      </c>
      <c r="O942">
        <v>1396</v>
      </c>
      <c r="P942">
        <v>0.436795994993742</v>
      </c>
      <c r="Q942">
        <v>0</v>
      </c>
      <c r="R942">
        <v>0</v>
      </c>
      <c r="S942">
        <v>4</v>
      </c>
      <c r="T942">
        <v>3196</v>
      </c>
    </row>
    <row r="943" spans="1:20">
      <c r="A943" t="s">
        <v>1247</v>
      </c>
      <c r="B943" s="1">
        <v>45549</v>
      </c>
      <c r="C943">
        <v>37</v>
      </c>
      <c r="D943">
        <v>9</v>
      </c>
      <c r="E943" t="s">
        <v>1178</v>
      </c>
      <c r="F943" t="s">
        <v>31</v>
      </c>
      <c r="G943" t="s">
        <v>23</v>
      </c>
      <c r="H943">
        <v>3</v>
      </c>
      <c r="I943">
        <v>1330</v>
      </c>
      <c r="J943">
        <v>5</v>
      </c>
      <c r="K943" t="s">
        <v>1930</v>
      </c>
      <c r="L943">
        <v>700</v>
      </c>
      <c r="M943">
        <v>3990</v>
      </c>
      <c r="N943">
        <v>2100</v>
      </c>
      <c r="O943">
        <v>1890</v>
      </c>
      <c r="P943">
        <v>0.47368421052631599</v>
      </c>
      <c r="Q943">
        <v>0</v>
      </c>
      <c r="R943">
        <v>0</v>
      </c>
      <c r="S943">
        <v>3</v>
      </c>
      <c r="T943">
        <v>3990</v>
      </c>
    </row>
    <row r="944" spans="1:20">
      <c r="A944" t="s">
        <v>1248</v>
      </c>
      <c r="B944" s="1">
        <v>45550</v>
      </c>
      <c r="C944">
        <v>37</v>
      </c>
      <c r="D944">
        <v>9</v>
      </c>
      <c r="E944" t="s">
        <v>1178</v>
      </c>
      <c r="F944" t="s">
        <v>97</v>
      </c>
      <c r="G944" t="s">
        <v>20</v>
      </c>
      <c r="H944">
        <v>1</v>
      </c>
      <c r="I944">
        <v>1980</v>
      </c>
      <c r="J944">
        <v>0</v>
      </c>
      <c r="K944" t="s">
        <v>1932</v>
      </c>
      <c r="L944">
        <v>1100</v>
      </c>
      <c r="M944">
        <v>1980</v>
      </c>
      <c r="N944">
        <v>1100</v>
      </c>
      <c r="O944">
        <v>880</v>
      </c>
      <c r="P944">
        <v>0.44444444444444398</v>
      </c>
      <c r="Q944">
        <v>0</v>
      </c>
      <c r="R944">
        <v>0</v>
      </c>
      <c r="S944">
        <v>1</v>
      </c>
      <c r="T944">
        <v>1980</v>
      </c>
    </row>
    <row r="945" spans="1:20">
      <c r="A945" t="s">
        <v>1250</v>
      </c>
      <c r="B945" s="1">
        <v>45550</v>
      </c>
      <c r="C945">
        <v>37</v>
      </c>
      <c r="D945">
        <v>9</v>
      </c>
      <c r="E945" t="s">
        <v>1178</v>
      </c>
      <c r="F945" t="s">
        <v>97</v>
      </c>
      <c r="G945" t="s">
        <v>20</v>
      </c>
      <c r="H945">
        <v>5</v>
      </c>
      <c r="I945">
        <v>1683</v>
      </c>
      <c r="J945">
        <v>15</v>
      </c>
      <c r="K945" t="s">
        <v>1932</v>
      </c>
      <c r="L945">
        <v>1100</v>
      </c>
      <c r="M945">
        <v>8415</v>
      </c>
      <c r="N945">
        <v>5500</v>
      </c>
      <c r="O945">
        <v>2915</v>
      </c>
      <c r="P945">
        <v>0.34640522875816998</v>
      </c>
      <c r="Q945">
        <v>0</v>
      </c>
      <c r="R945">
        <v>0</v>
      </c>
      <c r="S945">
        <v>5</v>
      </c>
      <c r="T945">
        <v>8415</v>
      </c>
    </row>
    <row r="946" spans="1:20">
      <c r="A946" t="s">
        <v>1251</v>
      </c>
      <c r="B946" s="1">
        <v>45550</v>
      </c>
      <c r="C946">
        <v>37</v>
      </c>
      <c r="D946">
        <v>9</v>
      </c>
      <c r="E946" t="s">
        <v>1178</v>
      </c>
      <c r="F946" t="s">
        <v>25</v>
      </c>
      <c r="G946" t="s">
        <v>26</v>
      </c>
      <c r="H946">
        <v>4</v>
      </c>
      <c r="I946">
        <v>900</v>
      </c>
      <c r="J946">
        <v>10</v>
      </c>
      <c r="K946" t="s">
        <v>1940</v>
      </c>
      <c r="L946">
        <v>400</v>
      </c>
      <c r="M946">
        <v>3600</v>
      </c>
      <c r="N946">
        <v>1600</v>
      </c>
      <c r="O946">
        <v>2000</v>
      </c>
      <c r="P946">
        <v>0.55555555555555602</v>
      </c>
      <c r="Q946">
        <v>0</v>
      </c>
      <c r="R946">
        <v>0</v>
      </c>
      <c r="S946">
        <v>4</v>
      </c>
      <c r="T946">
        <v>3600</v>
      </c>
    </row>
    <row r="947" spans="1:20">
      <c r="A947" t="s">
        <v>1252</v>
      </c>
      <c r="B947" s="1">
        <v>45551</v>
      </c>
      <c r="C947">
        <v>38</v>
      </c>
      <c r="D947">
        <v>9</v>
      </c>
      <c r="E947" t="s">
        <v>1178</v>
      </c>
      <c r="F947" t="s">
        <v>19</v>
      </c>
      <c r="G947" t="s">
        <v>20</v>
      </c>
      <c r="H947">
        <v>4</v>
      </c>
      <c r="I947">
        <v>1377</v>
      </c>
      <c r="J947">
        <v>15</v>
      </c>
      <c r="K947" t="s">
        <v>1931</v>
      </c>
      <c r="L947">
        <v>900</v>
      </c>
      <c r="M947">
        <v>5508</v>
      </c>
      <c r="N947">
        <v>3600</v>
      </c>
      <c r="O947">
        <v>1908</v>
      </c>
      <c r="P947">
        <v>0.34640522875816998</v>
      </c>
      <c r="Q947">
        <v>0</v>
      </c>
      <c r="R947">
        <v>0</v>
      </c>
      <c r="S947">
        <v>4</v>
      </c>
      <c r="T947">
        <v>5508</v>
      </c>
    </row>
    <row r="948" spans="1:20">
      <c r="A948" t="s">
        <v>1254</v>
      </c>
      <c r="B948" s="1">
        <v>45551</v>
      </c>
      <c r="C948">
        <v>38</v>
      </c>
      <c r="D948">
        <v>9</v>
      </c>
      <c r="E948" t="s">
        <v>1178</v>
      </c>
      <c r="F948" t="s">
        <v>115</v>
      </c>
      <c r="G948" t="s">
        <v>23</v>
      </c>
      <c r="H948">
        <v>5</v>
      </c>
      <c r="I948">
        <v>1080</v>
      </c>
      <c r="J948">
        <v>10</v>
      </c>
      <c r="K948" t="s">
        <v>1926</v>
      </c>
      <c r="L948">
        <v>600</v>
      </c>
      <c r="M948">
        <v>5400</v>
      </c>
      <c r="N948">
        <v>3000</v>
      </c>
      <c r="O948">
        <v>2400</v>
      </c>
      <c r="P948">
        <v>0.44444444444444398</v>
      </c>
      <c r="Q948">
        <v>0</v>
      </c>
      <c r="R948">
        <v>0</v>
      </c>
      <c r="S948">
        <v>5</v>
      </c>
      <c r="T948">
        <v>5400</v>
      </c>
    </row>
    <row r="949" spans="1:20">
      <c r="A949" t="s">
        <v>1255</v>
      </c>
      <c r="B949" s="1">
        <v>45551</v>
      </c>
      <c r="C949">
        <v>38</v>
      </c>
      <c r="D949">
        <v>9</v>
      </c>
      <c r="E949" t="s">
        <v>1178</v>
      </c>
      <c r="F949" t="s">
        <v>119</v>
      </c>
      <c r="G949" t="s">
        <v>14</v>
      </c>
      <c r="H949">
        <v>4</v>
      </c>
      <c r="I949">
        <v>731.5</v>
      </c>
      <c r="J949">
        <v>5</v>
      </c>
      <c r="K949" t="s">
        <v>1920</v>
      </c>
      <c r="L949">
        <v>350</v>
      </c>
      <c r="M949">
        <v>2926</v>
      </c>
      <c r="N949">
        <v>1400</v>
      </c>
      <c r="O949">
        <v>1526</v>
      </c>
      <c r="P949">
        <v>0.52153110047846896</v>
      </c>
      <c r="Q949">
        <v>0</v>
      </c>
      <c r="R949">
        <v>0</v>
      </c>
      <c r="S949">
        <v>4</v>
      </c>
      <c r="T949">
        <v>2926</v>
      </c>
    </row>
    <row r="950" spans="1:20">
      <c r="A950" t="s">
        <v>1256</v>
      </c>
      <c r="B950" s="1">
        <v>45552</v>
      </c>
      <c r="C950">
        <v>38</v>
      </c>
      <c r="D950">
        <v>9</v>
      </c>
      <c r="E950" t="s">
        <v>1178</v>
      </c>
      <c r="F950" t="s">
        <v>115</v>
      </c>
      <c r="G950" t="s">
        <v>23</v>
      </c>
      <c r="H950">
        <v>3</v>
      </c>
      <c r="I950">
        <v>1200</v>
      </c>
      <c r="J950">
        <v>0</v>
      </c>
      <c r="K950" t="s">
        <v>1926</v>
      </c>
      <c r="L950">
        <v>600</v>
      </c>
      <c r="M950">
        <v>3600</v>
      </c>
      <c r="N950">
        <v>1800</v>
      </c>
      <c r="O950">
        <v>1800</v>
      </c>
      <c r="P950">
        <v>0.5</v>
      </c>
      <c r="Q950">
        <v>0</v>
      </c>
      <c r="R950">
        <v>0</v>
      </c>
      <c r="S950">
        <v>3</v>
      </c>
      <c r="T950">
        <v>3600</v>
      </c>
    </row>
    <row r="951" spans="1:20">
      <c r="A951" t="s">
        <v>1258</v>
      </c>
      <c r="B951" s="1">
        <v>45552</v>
      </c>
      <c r="C951">
        <v>38</v>
      </c>
      <c r="D951">
        <v>9</v>
      </c>
      <c r="E951" t="s">
        <v>1178</v>
      </c>
      <c r="F951" t="s">
        <v>42</v>
      </c>
      <c r="G951" t="s">
        <v>23</v>
      </c>
      <c r="H951">
        <v>2</v>
      </c>
      <c r="I951">
        <v>600</v>
      </c>
      <c r="J951">
        <v>0</v>
      </c>
      <c r="K951" t="s">
        <v>1928</v>
      </c>
      <c r="L951">
        <v>300</v>
      </c>
      <c r="M951">
        <v>1200</v>
      </c>
      <c r="N951">
        <v>600</v>
      </c>
      <c r="O951">
        <v>600</v>
      </c>
      <c r="P951">
        <v>0.5</v>
      </c>
      <c r="Q951">
        <v>0</v>
      </c>
      <c r="R951">
        <v>0</v>
      </c>
      <c r="S951">
        <v>2</v>
      </c>
      <c r="T951">
        <v>1200</v>
      </c>
    </row>
    <row r="952" spans="1:20">
      <c r="A952" t="s">
        <v>1259</v>
      </c>
      <c r="B952" s="1">
        <v>45553</v>
      </c>
      <c r="C952">
        <v>38</v>
      </c>
      <c r="D952">
        <v>9</v>
      </c>
      <c r="E952" t="s">
        <v>1178</v>
      </c>
      <c r="F952" t="s">
        <v>39</v>
      </c>
      <c r="G952" t="s">
        <v>14</v>
      </c>
      <c r="H952">
        <v>4</v>
      </c>
      <c r="I952">
        <v>880</v>
      </c>
      <c r="J952">
        <v>0</v>
      </c>
      <c r="K952" t="s">
        <v>1921</v>
      </c>
      <c r="L952">
        <v>400</v>
      </c>
      <c r="M952">
        <v>3520</v>
      </c>
      <c r="N952">
        <v>1600</v>
      </c>
      <c r="O952">
        <v>1920</v>
      </c>
      <c r="P952">
        <v>0.54545454545454497</v>
      </c>
      <c r="Q952">
        <v>0</v>
      </c>
      <c r="R952">
        <v>0</v>
      </c>
      <c r="S952">
        <v>4</v>
      </c>
      <c r="T952">
        <v>3520</v>
      </c>
    </row>
    <row r="953" spans="1:20">
      <c r="A953" t="s">
        <v>1261</v>
      </c>
      <c r="B953" s="1">
        <v>45553</v>
      </c>
      <c r="C953">
        <v>38</v>
      </c>
      <c r="D953">
        <v>9</v>
      </c>
      <c r="E953" t="s">
        <v>1178</v>
      </c>
      <c r="F953" t="s">
        <v>64</v>
      </c>
      <c r="G953" t="s">
        <v>14</v>
      </c>
      <c r="H953">
        <v>1</v>
      </c>
      <c r="I953">
        <v>2244</v>
      </c>
      <c r="J953">
        <v>15</v>
      </c>
      <c r="K953" t="s">
        <v>1923</v>
      </c>
      <c r="L953">
        <v>1200</v>
      </c>
      <c r="M953">
        <v>2244</v>
      </c>
      <c r="N953">
        <v>1200</v>
      </c>
      <c r="O953">
        <v>1044</v>
      </c>
      <c r="P953">
        <v>0.46524064171122997</v>
      </c>
      <c r="Q953">
        <v>0</v>
      </c>
      <c r="R953">
        <v>0</v>
      </c>
      <c r="S953">
        <v>1</v>
      </c>
      <c r="T953">
        <v>2244</v>
      </c>
    </row>
    <row r="954" spans="1:20">
      <c r="A954" t="s">
        <v>1262</v>
      </c>
      <c r="B954" s="1">
        <v>45553</v>
      </c>
      <c r="C954">
        <v>38</v>
      </c>
      <c r="D954">
        <v>9</v>
      </c>
      <c r="E954" t="s">
        <v>1178</v>
      </c>
      <c r="F954" t="s">
        <v>31</v>
      </c>
      <c r="G954" t="s">
        <v>23</v>
      </c>
      <c r="H954">
        <v>1</v>
      </c>
      <c r="I954">
        <v>1400</v>
      </c>
      <c r="J954">
        <v>0</v>
      </c>
      <c r="K954" t="s">
        <v>1930</v>
      </c>
      <c r="L954">
        <v>700</v>
      </c>
      <c r="M954">
        <v>1400</v>
      </c>
      <c r="N954">
        <v>700</v>
      </c>
      <c r="O954">
        <v>700</v>
      </c>
      <c r="P954">
        <v>0.5</v>
      </c>
      <c r="Q954">
        <v>0</v>
      </c>
      <c r="R954">
        <v>0</v>
      </c>
      <c r="S954">
        <v>1</v>
      </c>
      <c r="T954">
        <v>1400</v>
      </c>
    </row>
    <row r="955" spans="1:20">
      <c r="A955" t="s">
        <v>1263</v>
      </c>
      <c r="B955" s="1">
        <v>45554</v>
      </c>
      <c r="C955">
        <v>38</v>
      </c>
      <c r="D955">
        <v>9</v>
      </c>
      <c r="E955" t="s">
        <v>1178</v>
      </c>
      <c r="F955" t="s">
        <v>16</v>
      </c>
      <c r="G955" t="s">
        <v>17</v>
      </c>
      <c r="H955">
        <v>5</v>
      </c>
      <c r="I955">
        <v>442</v>
      </c>
      <c r="J955">
        <v>15</v>
      </c>
      <c r="K955" t="s">
        <v>1945</v>
      </c>
      <c r="L955">
        <v>250</v>
      </c>
      <c r="M955">
        <v>2210</v>
      </c>
      <c r="N955">
        <v>1250</v>
      </c>
      <c r="O955">
        <v>960</v>
      </c>
      <c r="P955">
        <v>0.434389140271493</v>
      </c>
      <c r="Q955">
        <v>0</v>
      </c>
      <c r="R955">
        <v>0</v>
      </c>
      <c r="S955">
        <v>5</v>
      </c>
      <c r="T955">
        <v>2210</v>
      </c>
    </row>
    <row r="956" spans="1:20">
      <c r="A956" t="s">
        <v>1265</v>
      </c>
      <c r="B956" s="1">
        <v>45554</v>
      </c>
      <c r="C956">
        <v>38</v>
      </c>
      <c r="D956">
        <v>9</v>
      </c>
      <c r="E956" t="s">
        <v>1178</v>
      </c>
      <c r="F956" t="s">
        <v>37</v>
      </c>
      <c r="G956" t="s">
        <v>20</v>
      </c>
      <c r="H956">
        <v>2</v>
      </c>
      <c r="I956">
        <v>2106</v>
      </c>
      <c r="J956">
        <v>10</v>
      </c>
      <c r="K956" t="s">
        <v>1935</v>
      </c>
      <c r="L956">
        <v>1300</v>
      </c>
      <c r="M956">
        <v>4212</v>
      </c>
      <c r="N956">
        <v>2600</v>
      </c>
      <c r="O956">
        <v>1612</v>
      </c>
      <c r="P956">
        <v>0.38271604938271597</v>
      </c>
      <c r="Q956">
        <v>0</v>
      </c>
      <c r="R956">
        <v>0</v>
      </c>
      <c r="S956">
        <v>2</v>
      </c>
      <c r="T956">
        <v>4212</v>
      </c>
    </row>
    <row r="957" spans="1:20">
      <c r="A957" t="s">
        <v>1266</v>
      </c>
      <c r="B957" s="1">
        <v>45554</v>
      </c>
      <c r="C957">
        <v>38</v>
      </c>
      <c r="D957">
        <v>9</v>
      </c>
      <c r="E957" t="s">
        <v>1178</v>
      </c>
      <c r="F957" t="s">
        <v>22</v>
      </c>
      <c r="G957" t="s">
        <v>23</v>
      </c>
      <c r="H957">
        <v>2</v>
      </c>
      <c r="I957">
        <v>450</v>
      </c>
      <c r="J957">
        <v>10</v>
      </c>
      <c r="K957" t="s">
        <v>1929</v>
      </c>
      <c r="L957">
        <v>250</v>
      </c>
      <c r="M957">
        <v>900</v>
      </c>
      <c r="N957">
        <v>500</v>
      </c>
      <c r="O957">
        <v>400</v>
      </c>
      <c r="P957">
        <v>0.44444444444444398</v>
      </c>
      <c r="Q957">
        <v>0</v>
      </c>
      <c r="R957">
        <v>0</v>
      </c>
      <c r="S957">
        <v>2</v>
      </c>
      <c r="T957">
        <v>900</v>
      </c>
    </row>
    <row r="958" spans="1:20">
      <c r="A958" t="s">
        <v>1267</v>
      </c>
      <c r="B958" s="1">
        <v>45554</v>
      </c>
      <c r="C958">
        <v>38</v>
      </c>
      <c r="D958">
        <v>9</v>
      </c>
      <c r="E958" t="s">
        <v>1178</v>
      </c>
      <c r="F958" t="s">
        <v>349</v>
      </c>
      <c r="G958" t="s">
        <v>221</v>
      </c>
      <c r="H958">
        <v>2</v>
      </c>
      <c r="I958">
        <v>400</v>
      </c>
      <c r="J958">
        <v>0</v>
      </c>
      <c r="K958" t="s">
        <v>1948</v>
      </c>
      <c r="L958">
        <v>200</v>
      </c>
      <c r="M958">
        <v>800</v>
      </c>
      <c r="N958">
        <v>400</v>
      </c>
      <c r="O958">
        <v>400</v>
      </c>
      <c r="P958">
        <v>0.5</v>
      </c>
      <c r="Q958">
        <v>0</v>
      </c>
      <c r="R958">
        <v>0</v>
      </c>
      <c r="S958">
        <v>2</v>
      </c>
      <c r="T958">
        <v>800</v>
      </c>
    </row>
    <row r="959" spans="1:20">
      <c r="A959" t="s">
        <v>1268</v>
      </c>
      <c r="B959" s="1">
        <v>45554</v>
      </c>
      <c r="C959">
        <v>38</v>
      </c>
      <c r="D959">
        <v>9</v>
      </c>
      <c r="E959" t="s">
        <v>1178</v>
      </c>
      <c r="F959" t="s">
        <v>64</v>
      </c>
      <c r="G959" t="s">
        <v>14</v>
      </c>
      <c r="H959">
        <v>2</v>
      </c>
      <c r="I959">
        <v>2376</v>
      </c>
      <c r="J959">
        <v>10</v>
      </c>
      <c r="K959" t="s">
        <v>1923</v>
      </c>
      <c r="L959">
        <v>1200</v>
      </c>
      <c r="M959">
        <v>4752</v>
      </c>
      <c r="N959">
        <v>2400</v>
      </c>
      <c r="O959">
        <v>2352</v>
      </c>
      <c r="P959">
        <v>0.49494949494949497</v>
      </c>
      <c r="Q959">
        <v>0</v>
      </c>
      <c r="R959">
        <v>0</v>
      </c>
      <c r="S959">
        <v>2</v>
      </c>
      <c r="T959">
        <v>4752</v>
      </c>
    </row>
    <row r="960" spans="1:20">
      <c r="A960" t="s">
        <v>1269</v>
      </c>
      <c r="B960" s="1">
        <v>45555</v>
      </c>
      <c r="C960">
        <v>38</v>
      </c>
      <c r="D960">
        <v>9</v>
      </c>
      <c r="E960" t="s">
        <v>1178</v>
      </c>
      <c r="F960" t="s">
        <v>97</v>
      </c>
      <c r="G960" t="s">
        <v>20</v>
      </c>
      <c r="H960">
        <v>5</v>
      </c>
      <c r="I960">
        <v>1881</v>
      </c>
      <c r="J960">
        <v>5</v>
      </c>
      <c r="K960" t="s">
        <v>1932</v>
      </c>
      <c r="L960">
        <v>1100</v>
      </c>
      <c r="M960">
        <v>9405</v>
      </c>
      <c r="N960">
        <v>5500</v>
      </c>
      <c r="O960">
        <v>3905</v>
      </c>
      <c r="P960">
        <v>0.41520467836257302</v>
      </c>
      <c r="Q960">
        <v>0</v>
      </c>
      <c r="R960">
        <v>0</v>
      </c>
      <c r="S960">
        <v>5</v>
      </c>
      <c r="T960">
        <v>9405</v>
      </c>
    </row>
    <row r="961" spans="1:20">
      <c r="A961" t="s">
        <v>1271</v>
      </c>
      <c r="B961" s="1">
        <v>45555</v>
      </c>
      <c r="C961">
        <v>38</v>
      </c>
      <c r="D961">
        <v>9</v>
      </c>
      <c r="E961" t="s">
        <v>1178</v>
      </c>
      <c r="F961" t="s">
        <v>22</v>
      </c>
      <c r="G961" t="s">
        <v>23</v>
      </c>
      <c r="H961">
        <v>3</v>
      </c>
      <c r="I961">
        <v>475</v>
      </c>
      <c r="J961">
        <v>5</v>
      </c>
      <c r="K961" t="s">
        <v>1929</v>
      </c>
      <c r="L961">
        <v>250</v>
      </c>
      <c r="M961">
        <v>1425</v>
      </c>
      <c r="N961">
        <v>750</v>
      </c>
      <c r="O961">
        <v>675</v>
      </c>
      <c r="P961">
        <v>0.47368421052631599</v>
      </c>
      <c r="Q961">
        <v>0</v>
      </c>
      <c r="R961">
        <v>0</v>
      </c>
      <c r="S961">
        <v>3</v>
      </c>
      <c r="T961">
        <v>1425</v>
      </c>
    </row>
    <row r="962" spans="1:20">
      <c r="A962" t="s">
        <v>1272</v>
      </c>
      <c r="B962" s="1">
        <v>45555</v>
      </c>
      <c r="C962">
        <v>38</v>
      </c>
      <c r="D962">
        <v>9</v>
      </c>
      <c r="E962" t="s">
        <v>1178</v>
      </c>
      <c r="F962" t="s">
        <v>45</v>
      </c>
      <c r="G962" t="s">
        <v>26</v>
      </c>
      <c r="H962">
        <v>1</v>
      </c>
      <c r="I962">
        <v>3825</v>
      </c>
      <c r="J962">
        <v>15</v>
      </c>
      <c r="K962" t="s">
        <v>1938</v>
      </c>
      <c r="L962">
        <v>1800</v>
      </c>
      <c r="M962">
        <v>3825</v>
      </c>
      <c r="N962">
        <v>1800</v>
      </c>
      <c r="O962">
        <v>2025</v>
      </c>
      <c r="P962">
        <v>0.52941176470588203</v>
      </c>
      <c r="Q962">
        <v>0</v>
      </c>
      <c r="R962">
        <v>0</v>
      </c>
      <c r="S962">
        <v>1</v>
      </c>
      <c r="T962">
        <v>3825</v>
      </c>
    </row>
    <row r="963" spans="1:20">
      <c r="A963" t="s">
        <v>1273</v>
      </c>
      <c r="B963" s="1">
        <v>45555</v>
      </c>
      <c r="C963">
        <v>38</v>
      </c>
      <c r="D963">
        <v>9</v>
      </c>
      <c r="E963" t="s">
        <v>1178</v>
      </c>
      <c r="F963" t="s">
        <v>45</v>
      </c>
      <c r="G963" t="s">
        <v>26</v>
      </c>
      <c r="H963">
        <v>5</v>
      </c>
      <c r="I963">
        <v>3825</v>
      </c>
      <c r="J963">
        <v>15</v>
      </c>
      <c r="K963" t="s">
        <v>1938</v>
      </c>
      <c r="L963">
        <v>1800</v>
      </c>
      <c r="M963">
        <v>19125</v>
      </c>
      <c r="N963">
        <v>9000</v>
      </c>
      <c r="O963">
        <v>10125</v>
      </c>
      <c r="P963">
        <v>0.52941176470588203</v>
      </c>
      <c r="Q963">
        <v>0</v>
      </c>
      <c r="R963">
        <v>0</v>
      </c>
      <c r="S963">
        <v>5</v>
      </c>
      <c r="T963">
        <v>19125</v>
      </c>
    </row>
    <row r="964" spans="1:20">
      <c r="A964" t="s">
        <v>1274</v>
      </c>
      <c r="B964" s="1">
        <v>45555</v>
      </c>
      <c r="C964">
        <v>38</v>
      </c>
      <c r="D964">
        <v>9</v>
      </c>
      <c r="E964" t="s">
        <v>1178</v>
      </c>
      <c r="F964" t="s">
        <v>45</v>
      </c>
      <c r="G964" t="s">
        <v>26</v>
      </c>
      <c r="H964">
        <v>4</v>
      </c>
      <c r="I964">
        <v>4500</v>
      </c>
      <c r="J964">
        <v>0</v>
      </c>
      <c r="K964" t="s">
        <v>1938</v>
      </c>
      <c r="L964">
        <v>1800</v>
      </c>
      <c r="M964">
        <v>18000</v>
      </c>
      <c r="N964">
        <v>7200</v>
      </c>
      <c r="O964">
        <v>10800</v>
      </c>
      <c r="P964">
        <v>0.6</v>
      </c>
      <c r="Q964">
        <v>0</v>
      </c>
      <c r="R964">
        <v>0</v>
      </c>
      <c r="S964">
        <v>4</v>
      </c>
      <c r="T964">
        <v>18000</v>
      </c>
    </row>
    <row r="965" spans="1:20">
      <c r="A965" t="s">
        <v>1275</v>
      </c>
      <c r="B965" s="1">
        <v>45555</v>
      </c>
      <c r="C965">
        <v>38</v>
      </c>
      <c r="D965">
        <v>9</v>
      </c>
      <c r="E965" t="s">
        <v>1178</v>
      </c>
      <c r="F965" t="s">
        <v>16</v>
      </c>
      <c r="G965" t="s">
        <v>17</v>
      </c>
      <c r="H965">
        <v>2</v>
      </c>
      <c r="I965">
        <v>520</v>
      </c>
      <c r="J965">
        <v>0</v>
      </c>
      <c r="K965" t="s">
        <v>1945</v>
      </c>
      <c r="L965">
        <v>250</v>
      </c>
      <c r="M965">
        <v>1040</v>
      </c>
      <c r="N965">
        <v>500</v>
      </c>
      <c r="O965">
        <v>540</v>
      </c>
      <c r="P965">
        <v>0.51923076923076905</v>
      </c>
      <c r="Q965">
        <v>0</v>
      </c>
      <c r="R965">
        <v>0</v>
      </c>
      <c r="S965">
        <v>2</v>
      </c>
      <c r="T965">
        <v>1040</v>
      </c>
    </row>
    <row r="966" spans="1:20">
      <c r="A966" t="s">
        <v>1276</v>
      </c>
      <c r="B966" s="1">
        <v>45556</v>
      </c>
      <c r="C966">
        <v>38</v>
      </c>
      <c r="D966">
        <v>9</v>
      </c>
      <c r="E966" t="s">
        <v>1178</v>
      </c>
      <c r="F966" t="s">
        <v>45</v>
      </c>
      <c r="G966" t="s">
        <v>26</v>
      </c>
      <c r="H966">
        <v>5</v>
      </c>
      <c r="I966">
        <v>4050</v>
      </c>
      <c r="J966">
        <v>10</v>
      </c>
      <c r="K966" t="s">
        <v>1938</v>
      </c>
      <c r="L966">
        <v>1800</v>
      </c>
      <c r="M966">
        <v>20250</v>
      </c>
      <c r="N966">
        <v>9000</v>
      </c>
      <c r="O966">
        <v>11250</v>
      </c>
      <c r="P966">
        <v>0.55555555555555602</v>
      </c>
      <c r="Q966">
        <v>0</v>
      </c>
      <c r="R966">
        <v>0</v>
      </c>
      <c r="S966">
        <v>5</v>
      </c>
      <c r="T966">
        <v>20250</v>
      </c>
    </row>
    <row r="967" spans="1:20">
      <c r="A967" t="s">
        <v>1278</v>
      </c>
      <c r="B967" s="1">
        <v>45556</v>
      </c>
      <c r="C967">
        <v>38</v>
      </c>
      <c r="D967">
        <v>9</v>
      </c>
      <c r="E967" t="s">
        <v>1178</v>
      </c>
      <c r="F967" t="s">
        <v>19</v>
      </c>
      <c r="G967" t="s">
        <v>20</v>
      </c>
      <c r="H967">
        <v>5</v>
      </c>
      <c r="I967">
        <v>1620</v>
      </c>
      <c r="J967">
        <v>0</v>
      </c>
      <c r="K967" t="s">
        <v>1931</v>
      </c>
      <c r="L967">
        <v>900</v>
      </c>
      <c r="M967">
        <v>8100</v>
      </c>
      <c r="N967">
        <v>4500</v>
      </c>
      <c r="O967">
        <v>3600</v>
      </c>
      <c r="P967">
        <v>0.44444444444444398</v>
      </c>
      <c r="Q967">
        <v>0</v>
      </c>
      <c r="R967">
        <v>0</v>
      </c>
      <c r="S967">
        <v>5</v>
      </c>
      <c r="T967">
        <v>8100</v>
      </c>
    </row>
    <row r="968" spans="1:20">
      <c r="A968" t="s">
        <v>1279</v>
      </c>
      <c r="B968" s="1">
        <v>45556</v>
      </c>
      <c r="C968">
        <v>38</v>
      </c>
      <c r="D968">
        <v>9</v>
      </c>
      <c r="E968" t="s">
        <v>1178</v>
      </c>
      <c r="F968" t="s">
        <v>31</v>
      </c>
      <c r="G968" t="s">
        <v>23</v>
      </c>
      <c r="H968">
        <v>3</v>
      </c>
      <c r="I968">
        <v>1260</v>
      </c>
      <c r="J968">
        <v>10</v>
      </c>
      <c r="K968" t="s">
        <v>1930</v>
      </c>
      <c r="L968">
        <v>700</v>
      </c>
      <c r="M968">
        <v>3780</v>
      </c>
      <c r="N968">
        <v>2100</v>
      </c>
      <c r="O968">
        <v>1680</v>
      </c>
      <c r="P968">
        <v>0.44444444444444398</v>
      </c>
      <c r="Q968">
        <v>0</v>
      </c>
      <c r="R968">
        <v>0</v>
      </c>
      <c r="S968">
        <v>3</v>
      </c>
      <c r="T968">
        <v>3780</v>
      </c>
    </row>
    <row r="969" spans="1:20">
      <c r="A969" t="s">
        <v>1280</v>
      </c>
      <c r="B969" s="1">
        <v>45557</v>
      </c>
      <c r="C969">
        <v>38</v>
      </c>
      <c r="D969">
        <v>9</v>
      </c>
      <c r="E969" t="s">
        <v>1178</v>
      </c>
      <c r="F969" t="s">
        <v>16</v>
      </c>
      <c r="G969" t="s">
        <v>17</v>
      </c>
      <c r="H969">
        <v>5</v>
      </c>
      <c r="I969">
        <v>520</v>
      </c>
      <c r="J969">
        <v>0</v>
      </c>
      <c r="K969" t="s">
        <v>1945</v>
      </c>
      <c r="L969">
        <v>250</v>
      </c>
      <c r="M969">
        <v>2600</v>
      </c>
      <c r="N969">
        <v>1250</v>
      </c>
      <c r="O969">
        <v>1350</v>
      </c>
      <c r="P969">
        <v>0.51923076923076905</v>
      </c>
      <c r="Q969">
        <v>0</v>
      </c>
      <c r="R969">
        <v>0</v>
      </c>
      <c r="S969">
        <v>5</v>
      </c>
      <c r="T969">
        <v>2600</v>
      </c>
    </row>
    <row r="970" spans="1:20">
      <c r="A970" t="s">
        <v>1282</v>
      </c>
      <c r="B970" s="1">
        <v>45557</v>
      </c>
      <c r="C970">
        <v>38</v>
      </c>
      <c r="D970">
        <v>9</v>
      </c>
      <c r="E970" t="s">
        <v>1178</v>
      </c>
      <c r="F970" t="s">
        <v>13</v>
      </c>
      <c r="G970" t="s">
        <v>14</v>
      </c>
      <c r="H970">
        <v>5</v>
      </c>
      <c r="I970">
        <v>432</v>
      </c>
      <c r="J970">
        <v>10</v>
      </c>
      <c r="K970" t="s">
        <v>1925</v>
      </c>
      <c r="L970">
        <v>220</v>
      </c>
      <c r="M970">
        <v>2160</v>
      </c>
      <c r="N970">
        <v>1100</v>
      </c>
      <c r="O970">
        <v>1060</v>
      </c>
      <c r="P970">
        <v>0.49074074074074098</v>
      </c>
      <c r="Q970">
        <v>0</v>
      </c>
      <c r="R970">
        <v>0</v>
      </c>
      <c r="S970">
        <v>5</v>
      </c>
      <c r="T970">
        <v>2160</v>
      </c>
    </row>
    <row r="971" spans="1:20">
      <c r="A971" t="s">
        <v>1283</v>
      </c>
      <c r="B971" s="1">
        <v>45557</v>
      </c>
      <c r="C971">
        <v>38</v>
      </c>
      <c r="D971">
        <v>9</v>
      </c>
      <c r="E971" t="s">
        <v>1178</v>
      </c>
      <c r="F971" t="s">
        <v>364</v>
      </c>
      <c r="G971" t="s">
        <v>221</v>
      </c>
      <c r="H971">
        <v>3</v>
      </c>
      <c r="I971">
        <v>912</v>
      </c>
      <c r="J971">
        <v>5</v>
      </c>
      <c r="K971" t="s">
        <v>1946</v>
      </c>
      <c r="L971">
        <v>480</v>
      </c>
      <c r="M971">
        <v>2736</v>
      </c>
      <c r="N971">
        <v>1440</v>
      </c>
      <c r="O971">
        <v>1296</v>
      </c>
      <c r="P971">
        <v>0.47368421052631599</v>
      </c>
      <c r="Q971">
        <v>0</v>
      </c>
      <c r="R971">
        <v>0</v>
      </c>
      <c r="S971">
        <v>3</v>
      </c>
      <c r="T971">
        <v>2736</v>
      </c>
    </row>
    <row r="972" spans="1:20">
      <c r="A972" t="s">
        <v>1284</v>
      </c>
      <c r="B972" s="1">
        <v>45557</v>
      </c>
      <c r="C972">
        <v>38</v>
      </c>
      <c r="D972">
        <v>9</v>
      </c>
      <c r="E972" t="s">
        <v>1178</v>
      </c>
      <c r="F972" t="s">
        <v>80</v>
      </c>
      <c r="G972" t="s">
        <v>14</v>
      </c>
      <c r="H972">
        <v>3</v>
      </c>
      <c r="I972">
        <v>400</v>
      </c>
      <c r="J972">
        <v>0</v>
      </c>
      <c r="K972" t="s">
        <v>1922</v>
      </c>
      <c r="L972">
        <v>180</v>
      </c>
      <c r="M972">
        <v>1200</v>
      </c>
      <c r="N972">
        <v>540</v>
      </c>
      <c r="O972">
        <v>660</v>
      </c>
      <c r="P972">
        <v>0.55000000000000004</v>
      </c>
      <c r="Q972">
        <v>0</v>
      </c>
      <c r="R972">
        <v>0</v>
      </c>
      <c r="S972">
        <v>3</v>
      </c>
      <c r="T972">
        <v>1200</v>
      </c>
    </row>
    <row r="973" spans="1:20">
      <c r="A973" t="s">
        <v>1285</v>
      </c>
      <c r="B973" s="1">
        <v>45558</v>
      </c>
      <c r="C973">
        <v>39</v>
      </c>
      <c r="D973">
        <v>9</v>
      </c>
      <c r="E973" t="s">
        <v>1178</v>
      </c>
      <c r="F973" t="s">
        <v>220</v>
      </c>
      <c r="G973" t="s">
        <v>221</v>
      </c>
      <c r="H973">
        <v>5</v>
      </c>
      <c r="I973">
        <v>570</v>
      </c>
      <c r="J973">
        <v>5</v>
      </c>
      <c r="K973" t="s">
        <v>1947</v>
      </c>
      <c r="L973">
        <v>300</v>
      </c>
      <c r="M973">
        <v>2850</v>
      </c>
      <c r="N973">
        <v>1500</v>
      </c>
      <c r="O973">
        <v>1350</v>
      </c>
      <c r="P973">
        <v>0.47368421052631599</v>
      </c>
      <c r="Q973">
        <v>0</v>
      </c>
      <c r="R973">
        <v>0</v>
      </c>
      <c r="S973">
        <v>5</v>
      </c>
      <c r="T973">
        <v>2850</v>
      </c>
    </row>
    <row r="974" spans="1:20">
      <c r="A974" t="s">
        <v>1287</v>
      </c>
      <c r="B974" s="1">
        <v>45558</v>
      </c>
      <c r="C974">
        <v>39</v>
      </c>
      <c r="D974">
        <v>9</v>
      </c>
      <c r="E974" t="s">
        <v>1178</v>
      </c>
      <c r="F974" t="s">
        <v>80</v>
      </c>
      <c r="G974" t="s">
        <v>14</v>
      </c>
      <c r="H974">
        <v>4</v>
      </c>
      <c r="I974">
        <v>400</v>
      </c>
      <c r="J974">
        <v>0</v>
      </c>
      <c r="K974" t="s">
        <v>1922</v>
      </c>
      <c r="L974">
        <v>180</v>
      </c>
      <c r="M974">
        <v>1600</v>
      </c>
      <c r="N974">
        <v>720</v>
      </c>
      <c r="O974">
        <v>880</v>
      </c>
      <c r="P974">
        <v>0.55000000000000004</v>
      </c>
      <c r="Q974">
        <v>0</v>
      </c>
      <c r="R974">
        <v>0</v>
      </c>
      <c r="S974">
        <v>4</v>
      </c>
      <c r="T974">
        <v>1600</v>
      </c>
    </row>
    <row r="975" spans="1:20">
      <c r="A975" t="s">
        <v>1288</v>
      </c>
      <c r="B975" s="1">
        <v>45558</v>
      </c>
      <c r="C975">
        <v>39</v>
      </c>
      <c r="D975">
        <v>9</v>
      </c>
      <c r="E975" t="s">
        <v>1178</v>
      </c>
      <c r="F975" t="s">
        <v>25</v>
      </c>
      <c r="G975" t="s">
        <v>26</v>
      </c>
      <c r="H975">
        <v>4</v>
      </c>
      <c r="I975">
        <v>1000</v>
      </c>
      <c r="J975">
        <v>0</v>
      </c>
      <c r="K975" t="s">
        <v>1940</v>
      </c>
      <c r="L975">
        <v>400</v>
      </c>
      <c r="M975">
        <v>4000</v>
      </c>
      <c r="N975">
        <v>1600</v>
      </c>
      <c r="O975">
        <v>2400</v>
      </c>
      <c r="P975">
        <v>0.6</v>
      </c>
      <c r="Q975">
        <v>0</v>
      </c>
      <c r="R975">
        <v>0</v>
      </c>
      <c r="S975">
        <v>4</v>
      </c>
      <c r="T975">
        <v>4000</v>
      </c>
    </row>
    <row r="976" spans="1:20">
      <c r="A976" t="s">
        <v>1289</v>
      </c>
      <c r="B976" s="1">
        <v>45559</v>
      </c>
      <c r="C976">
        <v>39</v>
      </c>
      <c r="D976">
        <v>9</v>
      </c>
      <c r="E976" t="s">
        <v>1178</v>
      </c>
      <c r="F976" t="s">
        <v>66</v>
      </c>
      <c r="G976" t="s">
        <v>17</v>
      </c>
      <c r="H976">
        <v>4</v>
      </c>
      <c r="I976">
        <v>1470</v>
      </c>
      <c r="J976">
        <v>0</v>
      </c>
      <c r="K976" t="s">
        <v>1941</v>
      </c>
      <c r="L976">
        <v>700</v>
      </c>
      <c r="M976">
        <v>5880</v>
      </c>
      <c r="N976">
        <v>2800</v>
      </c>
      <c r="O976">
        <v>3080</v>
      </c>
      <c r="P976">
        <v>0.52380952380952395</v>
      </c>
      <c r="Q976">
        <v>0</v>
      </c>
      <c r="R976">
        <v>0</v>
      </c>
      <c r="S976">
        <v>4</v>
      </c>
      <c r="T976">
        <v>5880</v>
      </c>
    </row>
    <row r="977" spans="1:20">
      <c r="A977" t="s">
        <v>1291</v>
      </c>
      <c r="B977" s="1">
        <v>45559</v>
      </c>
      <c r="C977">
        <v>39</v>
      </c>
      <c r="D977">
        <v>9</v>
      </c>
      <c r="E977" t="s">
        <v>1178</v>
      </c>
      <c r="F977" t="s">
        <v>86</v>
      </c>
      <c r="G977" t="s">
        <v>17</v>
      </c>
      <c r="H977">
        <v>4</v>
      </c>
      <c r="I977">
        <v>940</v>
      </c>
      <c r="J977">
        <v>0</v>
      </c>
      <c r="K977" t="s">
        <v>1944</v>
      </c>
      <c r="L977">
        <v>450</v>
      </c>
      <c r="M977">
        <v>3760</v>
      </c>
      <c r="N977">
        <v>1800</v>
      </c>
      <c r="O977">
        <v>1960</v>
      </c>
      <c r="P977">
        <v>0.52127659574468099</v>
      </c>
      <c r="Q977">
        <v>0</v>
      </c>
      <c r="R977">
        <v>0</v>
      </c>
      <c r="S977">
        <v>4</v>
      </c>
      <c r="T977">
        <v>3760</v>
      </c>
    </row>
    <row r="978" spans="1:20">
      <c r="A978" t="s">
        <v>1292</v>
      </c>
      <c r="B978" s="1">
        <v>45559</v>
      </c>
      <c r="C978">
        <v>39</v>
      </c>
      <c r="D978">
        <v>9</v>
      </c>
      <c r="E978" t="s">
        <v>1178</v>
      </c>
      <c r="F978" t="s">
        <v>45</v>
      </c>
      <c r="G978" t="s">
        <v>26</v>
      </c>
      <c r="H978">
        <v>4</v>
      </c>
      <c r="I978">
        <v>4500</v>
      </c>
      <c r="J978">
        <v>0</v>
      </c>
      <c r="K978" t="s">
        <v>1938</v>
      </c>
      <c r="L978">
        <v>1800</v>
      </c>
      <c r="M978">
        <v>18000</v>
      </c>
      <c r="N978">
        <v>7200</v>
      </c>
      <c r="O978">
        <v>10800</v>
      </c>
      <c r="P978">
        <v>0.6</v>
      </c>
      <c r="Q978">
        <v>0</v>
      </c>
      <c r="R978">
        <v>0</v>
      </c>
      <c r="S978">
        <v>4</v>
      </c>
      <c r="T978">
        <v>18000</v>
      </c>
    </row>
    <row r="979" spans="1:20">
      <c r="A979" t="s">
        <v>1293</v>
      </c>
      <c r="B979" s="1">
        <v>45560</v>
      </c>
      <c r="C979">
        <v>39</v>
      </c>
      <c r="D979">
        <v>9</v>
      </c>
      <c r="E979" t="s">
        <v>1178</v>
      </c>
      <c r="F979" t="s">
        <v>22</v>
      </c>
      <c r="G979" t="s">
        <v>23</v>
      </c>
      <c r="H979">
        <v>4</v>
      </c>
      <c r="I979">
        <v>450</v>
      </c>
      <c r="J979">
        <v>10</v>
      </c>
      <c r="K979" t="s">
        <v>1929</v>
      </c>
      <c r="L979">
        <v>250</v>
      </c>
      <c r="M979">
        <v>1800</v>
      </c>
      <c r="N979">
        <v>1000</v>
      </c>
      <c r="O979">
        <v>800</v>
      </c>
      <c r="P979">
        <v>0.44444444444444398</v>
      </c>
      <c r="Q979">
        <v>0</v>
      </c>
      <c r="R979">
        <v>0</v>
      </c>
      <c r="S979">
        <v>4</v>
      </c>
      <c r="T979">
        <v>1800</v>
      </c>
    </row>
    <row r="980" spans="1:20">
      <c r="A980" t="s">
        <v>1295</v>
      </c>
      <c r="B980" s="1">
        <v>45560</v>
      </c>
      <c r="C980">
        <v>39</v>
      </c>
      <c r="D980">
        <v>9</v>
      </c>
      <c r="E980" t="s">
        <v>1178</v>
      </c>
      <c r="F980" t="s">
        <v>146</v>
      </c>
      <c r="G980" t="s">
        <v>20</v>
      </c>
      <c r="H980">
        <v>4</v>
      </c>
      <c r="I980">
        <v>630</v>
      </c>
      <c r="J980">
        <v>0</v>
      </c>
      <c r="K980" t="s">
        <v>1934</v>
      </c>
      <c r="L980">
        <v>350</v>
      </c>
      <c r="M980">
        <v>2520</v>
      </c>
      <c r="N980">
        <v>1400</v>
      </c>
      <c r="O980">
        <v>1120</v>
      </c>
      <c r="P980">
        <v>0.44444444444444398</v>
      </c>
      <c r="Q980">
        <v>0</v>
      </c>
      <c r="R980">
        <v>0</v>
      </c>
      <c r="S980">
        <v>4</v>
      </c>
      <c r="T980">
        <v>2520</v>
      </c>
    </row>
    <row r="981" spans="1:20">
      <c r="A981" t="s">
        <v>1296</v>
      </c>
      <c r="B981" s="1">
        <v>45560</v>
      </c>
      <c r="C981">
        <v>39</v>
      </c>
      <c r="D981">
        <v>9</v>
      </c>
      <c r="E981" t="s">
        <v>1178</v>
      </c>
      <c r="F981" t="s">
        <v>16</v>
      </c>
      <c r="G981" t="s">
        <v>17</v>
      </c>
      <c r="H981">
        <v>4</v>
      </c>
      <c r="I981">
        <v>468</v>
      </c>
      <c r="J981">
        <v>10</v>
      </c>
      <c r="K981" t="s">
        <v>1945</v>
      </c>
      <c r="L981">
        <v>250</v>
      </c>
      <c r="M981">
        <v>1872</v>
      </c>
      <c r="N981">
        <v>1000</v>
      </c>
      <c r="O981">
        <v>872</v>
      </c>
      <c r="P981">
        <v>0.46581196581196599</v>
      </c>
      <c r="Q981">
        <v>0</v>
      </c>
      <c r="R981">
        <v>0</v>
      </c>
      <c r="S981">
        <v>4</v>
      </c>
      <c r="T981">
        <v>1872</v>
      </c>
    </row>
    <row r="982" spans="1:20">
      <c r="A982" t="s">
        <v>1297</v>
      </c>
      <c r="B982" s="1">
        <v>45560</v>
      </c>
      <c r="C982">
        <v>39</v>
      </c>
      <c r="D982">
        <v>9</v>
      </c>
      <c r="E982" t="s">
        <v>1178</v>
      </c>
      <c r="F982" t="s">
        <v>25</v>
      </c>
      <c r="G982" t="s">
        <v>26</v>
      </c>
      <c r="H982">
        <v>2</v>
      </c>
      <c r="I982">
        <v>1000</v>
      </c>
      <c r="J982">
        <v>0</v>
      </c>
      <c r="K982" t="s">
        <v>1940</v>
      </c>
      <c r="L982">
        <v>400</v>
      </c>
      <c r="M982">
        <v>2000</v>
      </c>
      <c r="N982">
        <v>800</v>
      </c>
      <c r="O982">
        <v>1200</v>
      </c>
      <c r="P982">
        <v>0.6</v>
      </c>
      <c r="Q982">
        <v>0</v>
      </c>
      <c r="R982">
        <v>0</v>
      </c>
      <c r="S982">
        <v>2</v>
      </c>
      <c r="T982">
        <v>2000</v>
      </c>
    </row>
    <row r="983" spans="1:20">
      <c r="A983" t="s">
        <v>1298</v>
      </c>
      <c r="B983" s="1">
        <v>45560</v>
      </c>
      <c r="C983">
        <v>39</v>
      </c>
      <c r="D983">
        <v>9</v>
      </c>
      <c r="E983" t="s">
        <v>1178</v>
      </c>
      <c r="F983" t="s">
        <v>42</v>
      </c>
      <c r="G983" t="s">
        <v>23</v>
      </c>
      <c r="H983">
        <v>2</v>
      </c>
      <c r="I983">
        <v>570</v>
      </c>
      <c r="J983">
        <v>5</v>
      </c>
      <c r="K983" t="s">
        <v>1928</v>
      </c>
      <c r="L983">
        <v>300</v>
      </c>
      <c r="M983">
        <v>1140</v>
      </c>
      <c r="N983">
        <v>600</v>
      </c>
      <c r="O983">
        <v>540</v>
      </c>
      <c r="P983">
        <v>0.47368421052631599</v>
      </c>
      <c r="Q983">
        <v>0</v>
      </c>
      <c r="R983">
        <v>0</v>
      </c>
      <c r="S983">
        <v>2</v>
      </c>
      <c r="T983">
        <v>1140</v>
      </c>
    </row>
    <row r="984" spans="1:20">
      <c r="A984" t="s">
        <v>1299</v>
      </c>
      <c r="B984" s="1">
        <v>45561</v>
      </c>
      <c r="C984">
        <v>39</v>
      </c>
      <c r="D984">
        <v>9</v>
      </c>
      <c r="E984" t="s">
        <v>1178</v>
      </c>
      <c r="F984" t="s">
        <v>28</v>
      </c>
      <c r="G984" t="s">
        <v>26</v>
      </c>
      <c r="H984">
        <v>1</v>
      </c>
      <c r="I984">
        <v>1425</v>
      </c>
      <c r="J984">
        <v>5</v>
      </c>
      <c r="K984" t="s">
        <v>1939</v>
      </c>
      <c r="L984">
        <v>600</v>
      </c>
      <c r="M984">
        <v>1425</v>
      </c>
      <c r="N984">
        <v>600</v>
      </c>
      <c r="O984">
        <v>825</v>
      </c>
      <c r="P984">
        <v>0.57894736842105299</v>
      </c>
      <c r="Q984">
        <v>0</v>
      </c>
      <c r="R984">
        <v>0</v>
      </c>
      <c r="S984">
        <v>1</v>
      </c>
      <c r="T984">
        <v>1425</v>
      </c>
    </row>
    <row r="985" spans="1:20">
      <c r="A985" t="s">
        <v>1301</v>
      </c>
      <c r="B985" s="1">
        <v>45561</v>
      </c>
      <c r="C985">
        <v>39</v>
      </c>
      <c r="D985">
        <v>9</v>
      </c>
      <c r="E985" t="s">
        <v>1178</v>
      </c>
      <c r="F985" t="s">
        <v>94</v>
      </c>
      <c r="G985" t="s">
        <v>17</v>
      </c>
      <c r="H985">
        <v>2</v>
      </c>
      <c r="I985">
        <v>1680</v>
      </c>
      <c r="J985">
        <v>0</v>
      </c>
      <c r="K985" t="s">
        <v>1943</v>
      </c>
      <c r="L985">
        <v>800</v>
      </c>
      <c r="M985">
        <v>3360</v>
      </c>
      <c r="N985">
        <v>1600</v>
      </c>
      <c r="O985">
        <v>1760</v>
      </c>
      <c r="P985">
        <v>0.52380952380952395</v>
      </c>
      <c r="Q985">
        <v>0</v>
      </c>
      <c r="R985">
        <v>0</v>
      </c>
      <c r="S985">
        <v>2</v>
      </c>
      <c r="T985">
        <v>3360</v>
      </c>
    </row>
    <row r="986" spans="1:20">
      <c r="A986" t="s">
        <v>1302</v>
      </c>
      <c r="B986" s="1">
        <v>45562</v>
      </c>
      <c r="C986">
        <v>39</v>
      </c>
      <c r="D986">
        <v>9</v>
      </c>
      <c r="E986" t="s">
        <v>1178</v>
      </c>
      <c r="F986" t="s">
        <v>58</v>
      </c>
      <c r="G986" t="s">
        <v>23</v>
      </c>
      <c r="H986">
        <v>5</v>
      </c>
      <c r="I986">
        <v>1000</v>
      </c>
      <c r="J986">
        <v>0</v>
      </c>
      <c r="K986" t="s">
        <v>1927</v>
      </c>
      <c r="L986">
        <v>500</v>
      </c>
      <c r="M986">
        <v>5000</v>
      </c>
      <c r="N986">
        <v>2500</v>
      </c>
      <c r="O986">
        <v>2500</v>
      </c>
      <c r="P986">
        <v>0.5</v>
      </c>
      <c r="Q986">
        <v>0</v>
      </c>
      <c r="R986">
        <v>0</v>
      </c>
      <c r="S986">
        <v>5</v>
      </c>
      <c r="T986">
        <v>5000</v>
      </c>
    </row>
    <row r="987" spans="1:20">
      <c r="A987" t="s">
        <v>1304</v>
      </c>
      <c r="B987" s="1">
        <v>45562</v>
      </c>
      <c r="C987">
        <v>39</v>
      </c>
      <c r="D987">
        <v>9</v>
      </c>
      <c r="E987" t="s">
        <v>1178</v>
      </c>
      <c r="F987" t="s">
        <v>13</v>
      </c>
      <c r="G987" t="s">
        <v>14</v>
      </c>
      <c r="H987">
        <v>2</v>
      </c>
      <c r="I987">
        <v>456</v>
      </c>
      <c r="J987">
        <v>5</v>
      </c>
      <c r="K987" t="s">
        <v>1925</v>
      </c>
      <c r="L987">
        <v>220</v>
      </c>
      <c r="M987">
        <v>912</v>
      </c>
      <c r="N987">
        <v>440</v>
      </c>
      <c r="O987">
        <v>472</v>
      </c>
      <c r="P987">
        <v>0.51754385964912297</v>
      </c>
      <c r="Q987">
        <v>1</v>
      </c>
      <c r="R987">
        <v>1</v>
      </c>
      <c r="S987">
        <v>1</v>
      </c>
      <c r="T987">
        <v>456</v>
      </c>
    </row>
    <row r="988" spans="1:20">
      <c r="A988" t="s">
        <v>1305</v>
      </c>
      <c r="B988" s="1">
        <v>45562</v>
      </c>
      <c r="C988">
        <v>39</v>
      </c>
      <c r="D988">
        <v>9</v>
      </c>
      <c r="E988" t="s">
        <v>1178</v>
      </c>
      <c r="F988" t="s">
        <v>28</v>
      </c>
      <c r="G988" t="s">
        <v>26</v>
      </c>
      <c r="H988">
        <v>2</v>
      </c>
      <c r="I988">
        <v>1275</v>
      </c>
      <c r="J988">
        <v>15</v>
      </c>
      <c r="K988" t="s">
        <v>1939</v>
      </c>
      <c r="L988">
        <v>600</v>
      </c>
      <c r="M988">
        <v>2550</v>
      </c>
      <c r="N988">
        <v>1200</v>
      </c>
      <c r="O988">
        <v>1350</v>
      </c>
      <c r="P988">
        <v>0.52941176470588203</v>
      </c>
      <c r="Q988">
        <v>0</v>
      </c>
      <c r="R988">
        <v>0</v>
      </c>
      <c r="S988">
        <v>2</v>
      </c>
      <c r="T988">
        <v>2550</v>
      </c>
    </row>
    <row r="989" spans="1:20">
      <c r="A989" t="s">
        <v>1306</v>
      </c>
      <c r="B989" s="1">
        <v>45563</v>
      </c>
      <c r="C989">
        <v>39</v>
      </c>
      <c r="D989">
        <v>9</v>
      </c>
      <c r="E989" t="s">
        <v>1178</v>
      </c>
      <c r="F989" t="s">
        <v>68</v>
      </c>
      <c r="G989" t="s">
        <v>26</v>
      </c>
      <c r="H989">
        <v>5</v>
      </c>
      <c r="I989">
        <v>342</v>
      </c>
      <c r="J989">
        <v>10</v>
      </c>
      <c r="K989" t="s">
        <v>1937</v>
      </c>
      <c r="L989">
        <v>150</v>
      </c>
      <c r="M989">
        <v>1710</v>
      </c>
      <c r="N989">
        <v>750</v>
      </c>
      <c r="O989">
        <v>960</v>
      </c>
      <c r="P989">
        <v>0.56140350877193002</v>
      </c>
      <c r="Q989">
        <v>0</v>
      </c>
      <c r="R989">
        <v>0</v>
      </c>
      <c r="S989">
        <v>5</v>
      </c>
      <c r="T989">
        <v>1710</v>
      </c>
    </row>
    <row r="990" spans="1:20">
      <c r="A990" t="s">
        <v>1308</v>
      </c>
      <c r="B990" s="1">
        <v>45563</v>
      </c>
      <c r="C990">
        <v>39</v>
      </c>
      <c r="D990">
        <v>9</v>
      </c>
      <c r="E990" t="s">
        <v>1178</v>
      </c>
      <c r="F990" t="s">
        <v>22</v>
      </c>
      <c r="G990" t="s">
        <v>23</v>
      </c>
      <c r="H990">
        <v>4</v>
      </c>
      <c r="I990">
        <v>425</v>
      </c>
      <c r="J990">
        <v>15</v>
      </c>
      <c r="K990" t="s">
        <v>1929</v>
      </c>
      <c r="L990">
        <v>250</v>
      </c>
      <c r="M990">
        <v>1700</v>
      </c>
      <c r="N990">
        <v>1000</v>
      </c>
      <c r="O990">
        <v>700</v>
      </c>
      <c r="P990">
        <v>0.41176470588235298</v>
      </c>
      <c r="Q990">
        <v>0</v>
      </c>
      <c r="R990">
        <v>0</v>
      </c>
      <c r="S990">
        <v>4</v>
      </c>
      <c r="T990">
        <v>1700</v>
      </c>
    </row>
    <row r="991" spans="1:20">
      <c r="A991" t="s">
        <v>1309</v>
      </c>
      <c r="B991" s="1">
        <v>45563</v>
      </c>
      <c r="C991">
        <v>39</v>
      </c>
      <c r="D991">
        <v>9</v>
      </c>
      <c r="E991" t="s">
        <v>1178</v>
      </c>
      <c r="F991" t="s">
        <v>45</v>
      </c>
      <c r="G991" t="s">
        <v>26</v>
      </c>
      <c r="H991">
        <v>3</v>
      </c>
      <c r="I991">
        <v>3825</v>
      </c>
      <c r="J991">
        <v>15</v>
      </c>
      <c r="K991" t="s">
        <v>1938</v>
      </c>
      <c r="L991">
        <v>1800</v>
      </c>
      <c r="M991">
        <v>11475</v>
      </c>
      <c r="N991">
        <v>5400</v>
      </c>
      <c r="O991">
        <v>6075</v>
      </c>
      <c r="P991">
        <v>0.52941176470588203</v>
      </c>
      <c r="Q991">
        <v>0</v>
      </c>
      <c r="R991">
        <v>0</v>
      </c>
      <c r="S991">
        <v>3</v>
      </c>
      <c r="T991">
        <v>11475</v>
      </c>
    </row>
    <row r="992" spans="1:20">
      <c r="A992" t="s">
        <v>1310</v>
      </c>
      <c r="B992" s="1">
        <v>45564</v>
      </c>
      <c r="C992">
        <v>39</v>
      </c>
      <c r="D992">
        <v>9</v>
      </c>
      <c r="E992" t="s">
        <v>1178</v>
      </c>
      <c r="F992" t="s">
        <v>80</v>
      </c>
      <c r="G992" t="s">
        <v>14</v>
      </c>
      <c r="H992">
        <v>5</v>
      </c>
      <c r="I992">
        <v>400</v>
      </c>
      <c r="J992">
        <v>0</v>
      </c>
      <c r="K992" t="s">
        <v>1922</v>
      </c>
      <c r="L992">
        <v>180</v>
      </c>
      <c r="M992">
        <v>2000</v>
      </c>
      <c r="N992">
        <v>900</v>
      </c>
      <c r="O992">
        <v>1100</v>
      </c>
      <c r="P992">
        <v>0.55000000000000004</v>
      </c>
      <c r="Q992">
        <v>0</v>
      </c>
      <c r="R992">
        <v>0</v>
      </c>
      <c r="S992">
        <v>5</v>
      </c>
      <c r="T992">
        <v>2000</v>
      </c>
    </row>
    <row r="993" spans="1:20">
      <c r="A993" t="s">
        <v>1312</v>
      </c>
      <c r="B993" s="1">
        <v>45564</v>
      </c>
      <c r="C993">
        <v>39</v>
      </c>
      <c r="D993">
        <v>9</v>
      </c>
      <c r="E993" t="s">
        <v>1178</v>
      </c>
      <c r="F993" t="s">
        <v>369</v>
      </c>
      <c r="G993" t="s">
        <v>221</v>
      </c>
      <c r="H993">
        <v>1</v>
      </c>
      <c r="I993">
        <v>700</v>
      </c>
      <c r="J993">
        <v>0</v>
      </c>
      <c r="K993" t="s">
        <v>1949</v>
      </c>
      <c r="L993">
        <v>350</v>
      </c>
      <c r="M993">
        <v>700</v>
      </c>
      <c r="N993">
        <v>350</v>
      </c>
      <c r="O993">
        <v>350</v>
      </c>
      <c r="P993">
        <v>0.5</v>
      </c>
      <c r="Q993">
        <v>0</v>
      </c>
      <c r="R993">
        <v>0</v>
      </c>
      <c r="S993">
        <v>1</v>
      </c>
      <c r="T993">
        <v>700</v>
      </c>
    </row>
    <row r="994" spans="1:20">
      <c r="A994" t="s">
        <v>1313</v>
      </c>
      <c r="B994" s="1">
        <v>45565</v>
      </c>
      <c r="C994">
        <v>40</v>
      </c>
      <c r="D994">
        <v>9</v>
      </c>
      <c r="E994" t="s">
        <v>1178</v>
      </c>
      <c r="F994" t="s">
        <v>19</v>
      </c>
      <c r="G994" t="s">
        <v>20</v>
      </c>
      <c r="H994">
        <v>1</v>
      </c>
      <c r="I994">
        <v>1377</v>
      </c>
      <c r="J994">
        <v>15</v>
      </c>
      <c r="K994" t="s">
        <v>1931</v>
      </c>
      <c r="L994">
        <v>900</v>
      </c>
      <c r="M994">
        <v>1377</v>
      </c>
      <c r="N994">
        <v>900</v>
      </c>
      <c r="O994">
        <v>477</v>
      </c>
      <c r="P994">
        <v>0.34640522875816998</v>
      </c>
      <c r="Q994">
        <v>0</v>
      </c>
      <c r="R994">
        <v>0</v>
      </c>
      <c r="S994">
        <v>1</v>
      </c>
      <c r="T994">
        <v>1377</v>
      </c>
    </row>
    <row r="995" spans="1:20">
      <c r="A995" t="s">
        <v>1315</v>
      </c>
      <c r="B995" s="1">
        <v>45565</v>
      </c>
      <c r="C995">
        <v>40</v>
      </c>
      <c r="D995">
        <v>9</v>
      </c>
      <c r="E995" t="s">
        <v>1178</v>
      </c>
      <c r="F995" t="s">
        <v>349</v>
      </c>
      <c r="G995" t="s">
        <v>221</v>
      </c>
      <c r="H995">
        <v>4</v>
      </c>
      <c r="I995">
        <v>400</v>
      </c>
      <c r="J995">
        <v>0</v>
      </c>
      <c r="K995" t="s">
        <v>1948</v>
      </c>
      <c r="L995">
        <v>200</v>
      </c>
      <c r="M995">
        <v>1600</v>
      </c>
      <c r="N995">
        <v>800</v>
      </c>
      <c r="O995">
        <v>800</v>
      </c>
      <c r="P995">
        <v>0.5</v>
      </c>
      <c r="Q995">
        <v>0</v>
      </c>
      <c r="R995">
        <v>0</v>
      </c>
      <c r="S995">
        <v>4</v>
      </c>
      <c r="T995">
        <v>1600</v>
      </c>
    </row>
    <row r="996" spans="1:20">
      <c r="A996" t="s">
        <v>1316</v>
      </c>
      <c r="B996" s="1">
        <v>45565</v>
      </c>
      <c r="C996">
        <v>40</v>
      </c>
      <c r="D996">
        <v>9</v>
      </c>
      <c r="E996" t="s">
        <v>1178</v>
      </c>
      <c r="F996" t="s">
        <v>187</v>
      </c>
      <c r="G996" t="s">
        <v>14</v>
      </c>
      <c r="H996">
        <v>5</v>
      </c>
      <c r="I996">
        <v>4180</v>
      </c>
      <c r="J996">
        <v>5</v>
      </c>
      <c r="K996" t="s">
        <v>1924</v>
      </c>
      <c r="L996">
        <v>2000</v>
      </c>
      <c r="M996">
        <v>20900</v>
      </c>
      <c r="N996">
        <v>10000</v>
      </c>
      <c r="O996">
        <v>10900</v>
      </c>
      <c r="P996">
        <v>0.52153110047846896</v>
      </c>
      <c r="Q996">
        <v>0</v>
      </c>
      <c r="R996">
        <v>0</v>
      </c>
      <c r="S996">
        <v>5</v>
      </c>
      <c r="T996">
        <v>20900</v>
      </c>
    </row>
    <row r="997" spans="1:20">
      <c r="A997" t="s">
        <v>1317</v>
      </c>
      <c r="B997" s="1">
        <v>45566</v>
      </c>
      <c r="C997">
        <v>40</v>
      </c>
      <c r="D997">
        <v>10</v>
      </c>
      <c r="E997" t="s">
        <v>1319</v>
      </c>
      <c r="F997" t="s">
        <v>80</v>
      </c>
      <c r="G997" t="s">
        <v>14</v>
      </c>
      <c r="H997">
        <v>2</v>
      </c>
      <c r="I997">
        <v>400</v>
      </c>
      <c r="J997">
        <v>0</v>
      </c>
      <c r="K997" t="s">
        <v>1922</v>
      </c>
      <c r="L997">
        <v>180</v>
      </c>
      <c r="M997">
        <v>800</v>
      </c>
      <c r="N997">
        <v>360</v>
      </c>
      <c r="O997">
        <v>440</v>
      </c>
      <c r="P997">
        <v>0.55000000000000004</v>
      </c>
      <c r="Q997">
        <v>0</v>
      </c>
      <c r="R997">
        <v>0</v>
      </c>
      <c r="S997">
        <v>2</v>
      </c>
      <c r="T997">
        <v>800</v>
      </c>
    </row>
    <row r="998" spans="1:20">
      <c r="A998" t="s">
        <v>1320</v>
      </c>
      <c r="B998" s="1">
        <v>45566</v>
      </c>
      <c r="C998">
        <v>40</v>
      </c>
      <c r="D998">
        <v>10</v>
      </c>
      <c r="E998" t="s">
        <v>1319</v>
      </c>
      <c r="F998" t="s">
        <v>119</v>
      </c>
      <c r="G998" t="s">
        <v>14</v>
      </c>
      <c r="H998">
        <v>5</v>
      </c>
      <c r="I998">
        <v>770</v>
      </c>
      <c r="J998">
        <v>0</v>
      </c>
      <c r="K998" t="s">
        <v>1920</v>
      </c>
      <c r="L998">
        <v>350</v>
      </c>
      <c r="M998">
        <v>3850</v>
      </c>
      <c r="N998">
        <v>1750</v>
      </c>
      <c r="O998">
        <v>2100</v>
      </c>
      <c r="P998">
        <v>0.54545454545454497</v>
      </c>
      <c r="Q998">
        <v>0</v>
      </c>
      <c r="R998">
        <v>0</v>
      </c>
      <c r="S998">
        <v>5</v>
      </c>
      <c r="T998">
        <v>3850</v>
      </c>
    </row>
    <row r="999" spans="1:20">
      <c r="A999" t="s">
        <v>1321</v>
      </c>
      <c r="B999" s="1">
        <v>45566</v>
      </c>
      <c r="C999">
        <v>40</v>
      </c>
      <c r="D999">
        <v>10</v>
      </c>
      <c r="E999" t="s">
        <v>1319</v>
      </c>
      <c r="F999" t="s">
        <v>19</v>
      </c>
      <c r="G999" t="s">
        <v>20</v>
      </c>
      <c r="H999">
        <v>1</v>
      </c>
      <c r="I999">
        <v>1539</v>
      </c>
      <c r="J999">
        <v>5</v>
      </c>
      <c r="K999" t="s">
        <v>1931</v>
      </c>
      <c r="L999">
        <v>900</v>
      </c>
      <c r="M999">
        <v>1539</v>
      </c>
      <c r="N999">
        <v>900</v>
      </c>
      <c r="O999">
        <v>639</v>
      </c>
      <c r="P999">
        <v>0.41520467836257302</v>
      </c>
      <c r="Q999">
        <v>0</v>
      </c>
      <c r="R999">
        <v>0</v>
      </c>
      <c r="S999">
        <v>1</v>
      </c>
      <c r="T999">
        <v>1539</v>
      </c>
    </row>
    <row r="1000" spans="1:20">
      <c r="A1000" t="s">
        <v>1322</v>
      </c>
      <c r="B1000" s="1">
        <v>45567</v>
      </c>
      <c r="C1000">
        <v>40</v>
      </c>
      <c r="D1000">
        <v>10</v>
      </c>
      <c r="E1000" t="s">
        <v>1319</v>
      </c>
      <c r="F1000" t="s">
        <v>35</v>
      </c>
      <c r="G1000" t="s">
        <v>17</v>
      </c>
      <c r="H1000">
        <v>3</v>
      </c>
      <c r="I1000">
        <v>3150</v>
      </c>
      <c r="J1000">
        <v>0</v>
      </c>
      <c r="K1000" t="s">
        <v>1942</v>
      </c>
      <c r="L1000">
        <v>1500</v>
      </c>
      <c r="M1000">
        <v>9450</v>
      </c>
      <c r="N1000">
        <v>4500</v>
      </c>
      <c r="O1000">
        <v>4950</v>
      </c>
      <c r="P1000">
        <v>0.52380952380952395</v>
      </c>
      <c r="Q1000">
        <v>1</v>
      </c>
      <c r="R1000">
        <v>1</v>
      </c>
      <c r="S1000">
        <v>2</v>
      </c>
      <c r="T1000">
        <v>6300</v>
      </c>
    </row>
    <row r="1001" spans="1:20">
      <c r="A1001" t="s">
        <v>1324</v>
      </c>
      <c r="B1001" s="1">
        <v>45567</v>
      </c>
      <c r="C1001">
        <v>40</v>
      </c>
      <c r="D1001">
        <v>10</v>
      </c>
      <c r="E1001" t="s">
        <v>1319</v>
      </c>
      <c r="F1001" t="s">
        <v>86</v>
      </c>
      <c r="G1001" t="s">
        <v>17</v>
      </c>
      <c r="H1001">
        <v>2</v>
      </c>
      <c r="I1001">
        <v>893</v>
      </c>
      <c r="J1001">
        <v>5</v>
      </c>
      <c r="K1001" t="s">
        <v>1944</v>
      </c>
      <c r="L1001">
        <v>450</v>
      </c>
      <c r="M1001">
        <v>1786</v>
      </c>
      <c r="N1001">
        <v>900</v>
      </c>
      <c r="O1001">
        <v>886</v>
      </c>
      <c r="P1001">
        <v>0.496080627099664</v>
      </c>
      <c r="Q1001">
        <v>0</v>
      </c>
      <c r="R1001">
        <v>0</v>
      </c>
      <c r="S1001">
        <v>2</v>
      </c>
      <c r="T1001">
        <v>1786</v>
      </c>
    </row>
    <row r="1002" spans="1:20">
      <c r="A1002" t="s">
        <v>1325</v>
      </c>
      <c r="B1002" s="1">
        <v>45567</v>
      </c>
      <c r="C1002">
        <v>40</v>
      </c>
      <c r="D1002">
        <v>10</v>
      </c>
      <c r="E1002" t="s">
        <v>1319</v>
      </c>
      <c r="F1002" t="s">
        <v>39</v>
      </c>
      <c r="G1002" t="s">
        <v>14</v>
      </c>
      <c r="H1002">
        <v>4</v>
      </c>
      <c r="I1002">
        <v>836</v>
      </c>
      <c r="J1002">
        <v>5</v>
      </c>
      <c r="K1002" t="s">
        <v>1921</v>
      </c>
      <c r="L1002">
        <v>400</v>
      </c>
      <c r="M1002">
        <v>3344</v>
      </c>
      <c r="N1002">
        <v>1600</v>
      </c>
      <c r="O1002">
        <v>1744</v>
      </c>
      <c r="P1002">
        <v>0.52153110047846896</v>
      </c>
      <c r="Q1002">
        <v>0</v>
      </c>
      <c r="R1002">
        <v>0</v>
      </c>
      <c r="S1002">
        <v>4</v>
      </c>
      <c r="T1002">
        <v>3344</v>
      </c>
    </row>
    <row r="1003" spans="1:20">
      <c r="A1003" t="s">
        <v>1326</v>
      </c>
      <c r="B1003" s="1">
        <v>45567</v>
      </c>
      <c r="C1003">
        <v>40</v>
      </c>
      <c r="D1003">
        <v>10</v>
      </c>
      <c r="E1003" t="s">
        <v>1319</v>
      </c>
      <c r="F1003" t="s">
        <v>16</v>
      </c>
      <c r="G1003" t="s">
        <v>17</v>
      </c>
      <c r="H1003">
        <v>3</v>
      </c>
      <c r="I1003">
        <v>442</v>
      </c>
      <c r="J1003">
        <v>15</v>
      </c>
      <c r="K1003" t="s">
        <v>1945</v>
      </c>
      <c r="L1003">
        <v>250</v>
      </c>
      <c r="M1003">
        <v>1326</v>
      </c>
      <c r="N1003">
        <v>750</v>
      </c>
      <c r="O1003">
        <v>576</v>
      </c>
      <c r="P1003">
        <v>0.434389140271493</v>
      </c>
      <c r="Q1003">
        <v>0</v>
      </c>
      <c r="R1003">
        <v>0</v>
      </c>
      <c r="S1003">
        <v>3</v>
      </c>
      <c r="T1003">
        <v>1326</v>
      </c>
    </row>
    <row r="1004" spans="1:20">
      <c r="A1004" t="s">
        <v>1327</v>
      </c>
      <c r="B1004" s="1">
        <v>45567</v>
      </c>
      <c r="C1004">
        <v>40</v>
      </c>
      <c r="D1004">
        <v>10</v>
      </c>
      <c r="E1004" t="s">
        <v>1319</v>
      </c>
      <c r="F1004" t="s">
        <v>39</v>
      </c>
      <c r="G1004" t="s">
        <v>14</v>
      </c>
      <c r="H1004">
        <v>5</v>
      </c>
      <c r="I1004">
        <v>748</v>
      </c>
      <c r="J1004">
        <v>15</v>
      </c>
      <c r="K1004" t="s">
        <v>1921</v>
      </c>
      <c r="L1004">
        <v>400</v>
      </c>
      <c r="M1004">
        <v>3740</v>
      </c>
      <c r="N1004">
        <v>2000</v>
      </c>
      <c r="O1004">
        <v>1740</v>
      </c>
      <c r="P1004">
        <v>0.46524064171122997</v>
      </c>
      <c r="Q1004">
        <v>0</v>
      </c>
      <c r="R1004">
        <v>0</v>
      </c>
      <c r="S1004">
        <v>5</v>
      </c>
      <c r="T1004">
        <v>3740</v>
      </c>
    </row>
    <row r="1005" spans="1:20">
      <c r="A1005" t="s">
        <v>1328</v>
      </c>
      <c r="B1005" s="1">
        <v>45567</v>
      </c>
      <c r="C1005">
        <v>40</v>
      </c>
      <c r="D1005">
        <v>10</v>
      </c>
      <c r="E1005" t="s">
        <v>1319</v>
      </c>
      <c r="F1005" t="s">
        <v>86</v>
      </c>
      <c r="G1005" t="s">
        <v>17</v>
      </c>
      <c r="H1005">
        <v>4</v>
      </c>
      <c r="I1005">
        <v>799</v>
      </c>
      <c r="J1005">
        <v>15</v>
      </c>
      <c r="K1005" t="s">
        <v>1944</v>
      </c>
      <c r="L1005">
        <v>450</v>
      </c>
      <c r="M1005">
        <v>3196</v>
      </c>
      <c r="N1005">
        <v>1800</v>
      </c>
      <c r="O1005">
        <v>1396</v>
      </c>
      <c r="P1005">
        <v>0.436795994993742</v>
      </c>
      <c r="Q1005">
        <v>0</v>
      </c>
      <c r="R1005">
        <v>0</v>
      </c>
      <c r="S1005">
        <v>4</v>
      </c>
      <c r="T1005">
        <v>3196</v>
      </c>
    </row>
    <row r="1006" spans="1:20">
      <c r="A1006" t="s">
        <v>1329</v>
      </c>
      <c r="B1006" s="1">
        <v>45568</v>
      </c>
      <c r="C1006">
        <v>40</v>
      </c>
      <c r="D1006">
        <v>10</v>
      </c>
      <c r="E1006" t="s">
        <v>1319</v>
      </c>
      <c r="F1006" t="s">
        <v>19</v>
      </c>
      <c r="G1006" t="s">
        <v>20</v>
      </c>
      <c r="H1006">
        <v>2</v>
      </c>
      <c r="I1006">
        <v>1377</v>
      </c>
      <c r="J1006">
        <v>15</v>
      </c>
      <c r="K1006" t="s">
        <v>1931</v>
      </c>
      <c r="L1006">
        <v>900</v>
      </c>
      <c r="M1006">
        <v>2754</v>
      </c>
      <c r="N1006">
        <v>1800</v>
      </c>
      <c r="O1006">
        <v>954</v>
      </c>
      <c r="P1006">
        <v>0.34640522875816998</v>
      </c>
      <c r="Q1006">
        <v>0</v>
      </c>
      <c r="R1006">
        <v>0</v>
      </c>
      <c r="S1006">
        <v>2</v>
      </c>
      <c r="T1006">
        <v>2754</v>
      </c>
    </row>
    <row r="1007" spans="1:20">
      <c r="A1007" t="s">
        <v>1331</v>
      </c>
      <c r="B1007" s="1">
        <v>45568</v>
      </c>
      <c r="C1007">
        <v>40</v>
      </c>
      <c r="D1007">
        <v>10</v>
      </c>
      <c r="E1007" t="s">
        <v>1319</v>
      </c>
      <c r="F1007" t="s">
        <v>187</v>
      </c>
      <c r="G1007" t="s">
        <v>14</v>
      </c>
      <c r="H1007">
        <v>2</v>
      </c>
      <c r="I1007">
        <v>4400</v>
      </c>
      <c r="J1007">
        <v>0</v>
      </c>
      <c r="K1007" t="s">
        <v>1924</v>
      </c>
      <c r="L1007">
        <v>2000</v>
      </c>
      <c r="M1007">
        <v>8800</v>
      </c>
      <c r="N1007">
        <v>4000</v>
      </c>
      <c r="O1007">
        <v>4800</v>
      </c>
      <c r="P1007">
        <v>0.54545454545454497</v>
      </c>
      <c r="Q1007">
        <v>0</v>
      </c>
      <c r="R1007">
        <v>0</v>
      </c>
      <c r="S1007">
        <v>2</v>
      </c>
      <c r="T1007">
        <v>8800</v>
      </c>
    </row>
    <row r="1008" spans="1:20">
      <c r="A1008" t="s">
        <v>1332</v>
      </c>
      <c r="B1008" s="1">
        <v>45568</v>
      </c>
      <c r="C1008">
        <v>40</v>
      </c>
      <c r="D1008">
        <v>10</v>
      </c>
      <c r="E1008" t="s">
        <v>1319</v>
      </c>
      <c r="F1008" t="s">
        <v>82</v>
      </c>
      <c r="G1008" t="s">
        <v>20</v>
      </c>
      <c r="H1008">
        <v>2</v>
      </c>
      <c r="I1008">
        <v>810</v>
      </c>
      <c r="J1008">
        <v>10</v>
      </c>
      <c r="K1008" t="s">
        <v>1933</v>
      </c>
      <c r="L1008">
        <v>500</v>
      </c>
      <c r="M1008">
        <v>1620</v>
      </c>
      <c r="N1008">
        <v>1000</v>
      </c>
      <c r="O1008">
        <v>620</v>
      </c>
      <c r="P1008">
        <v>0.38271604938271597</v>
      </c>
      <c r="Q1008">
        <v>0</v>
      </c>
      <c r="R1008">
        <v>0</v>
      </c>
      <c r="S1008">
        <v>2</v>
      </c>
      <c r="T1008">
        <v>1620</v>
      </c>
    </row>
    <row r="1009" spans="1:20">
      <c r="A1009" t="s">
        <v>1333</v>
      </c>
      <c r="B1009" s="1">
        <v>45568</v>
      </c>
      <c r="C1009">
        <v>40</v>
      </c>
      <c r="D1009">
        <v>10</v>
      </c>
      <c r="E1009" t="s">
        <v>1319</v>
      </c>
      <c r="F1009" t="s">
        <v>66</v>
      </c>
      <c r="G1009" t="s">
        <v>17</v>
      </c>
      <c r="H1009">
        <v>4</v>
      </c>
      <c r="I1009">
        <v>1470</v>
      </c>
      <c r="J1009">
        <v>0</v>
      </c>
      <c r="K1009" t="s">
        <v>1941</v>
      </c>
      <c r="L1009">
        <v>700</v>
      </c>
      <c r="M1009">
        <v>5880</v>
      </c>
      <c r="N1009">
        <v>2800</v>
      </c>
      <c r="O1009">
        <v>3080</v>
      </c>
      <c r="P1009">
        <v>0.52380952380952395</v>
      </c>
      <c r="Q1009">
        <v>0</v>
      </c>
      <c r="R1009">
        <v>0</v>
      </c>
      <c r="S1009">
        <v>4</v>
      </c>
      <c r="T1009">
        <v>5880</v>
      </c>
    </row>
    <row r="1010" spans="1:20">
      <c r="A1010" t="s">
        <v>1334</v>
      </c>
      <c r="B1010" s="1">
        <v>45568</v>
      </c>
      <c r="C1010">
        <v>40</v>
      </c>
      <c r="D1010">
        <v>10</v>
      </c>
      <c r="E1010" t="s">
        <v>1319</v>
      </c>
      <c r="F1010" t="s">
        <v>349</v>
      </c>
      <c r="G1010" t="s">
        <v>221</v>
      </c>
      <c r="H1010">
        <v>2</v>
      </c>
      <c r="I1010">
        <v>400</v>
      </c>
      <c r="J1010">
        <v>0</v>
      </c>
      <c r="K1010" t="s">
        <v>1948</v>
      </c>
      <c r="L1010">
        <v>200</v>
      </c>
      <c r="M1010">
        <v>800</v>
      </c>
      <c r="N1010">
        <v>400</v>
      </c>
      <c r="O1010">
        <v>400</v>
      </c>
      <c r="P1010">
        <v>0.5</v>
      </c>
      <c r="Q1010">
        <v>0</v>
      </c>
      <c r="R1010">
        <v>0</v>
      </c>
      <c r="S1010">
        <v>2</v>
      </c>
      <c r="T1010">
        <v>800</v>
      </c>
    </row>
    <row r="1011" spans="1:20">
      <c r="A1011" t="s">
        <v>1335</v>
      </c>
      <c r="B1011" s="1">
        <v>45568</v>
      </c>
      <c r="C1011">
        <v>40</v>
      </c>
      <c r="D1011">
        <v>10</v>
      </c>
      <c r="E1011" t="s">
        <v>1319</v>
      </c>
      <c r="F1011" t="s">
        <v>28</v>
      </c>
      <c r="G1011" t="s">
        <v>26</v>
      </c>
      <c r="H1011">
        <v>4</v>
      </c>
      <c r="I1011">
        <v>1425</v>
      </c>
      <c r="J1011">
        <v>5</v>
      </c>
      <c r="K1011" t="s">
        <v>1939</v>
      </c>
      <c r="L1011">
        <v>600</v>
      </c>
      <c r="M1011">
        <v>5700</v>
      </c>
      <c r="N1011">
        <v>2400</v>
      </c>
      <c r="O1011">
        <v>3300</v>
      </c>
      <c r="P1011">
        <v>0.57894736842105299</v>
      </c>
      <c r="Q1011">
        <v>0</v>
      </c>
      <c r="R1011">
        <v>0</v>
      </c>
      <c r="S1011">
        <v>4</v>
      </c>
      <c r="T1011">
        <v>5700</v>
      </c>
    </row>
    <row r="1012" spans="1:20">
      <c r="A1012" t="s">
        <v>1336</v>
      </c>
      <c r="B1012" s="1">
        <v>45568</v>
      </c>
      <c r="C1012">
        <v>40</v>
      </c>
      <c r="D1012">
        <v>10</v>
      </c>
      <c r="E1012" t="s">
        <v>1319</v>
      </c>
      <c r="F1012" t="s">
        <v>16</v>
      </c>
      <c r="G1012" t="s">
        <v>17</v>
      </c>
      <c r="H1012">
        <v>5</v>
      </c>
      <c r="I1012">
        <v>520</v>
      </c>
      <c r="J1012">
        <v>0</v>
      </c>
      <c r="K1012" t="s">
        <v>1945</v>
      </c>
      <c r="L1012">
        <v>250</v>
      </c>
      <c r="M1012">
        <v>2600</v>
      </c>
      <c r="N1012">
        <v>1250</v>
      </c>
      <c r="O1012">
        <v>1350</v>
      </c>
      <c r="P1012">
        <v>0.51923076923076905</v>
      </c>
      <c r="Q1012">
        <v>0</v>
      </c>
      <c r="R1012">
        <v>0</v>
      </c>
      <c r="S1012">
        <v>5</v>
      </c>
      <c r="T1012">
        <v>2600</v>
      </c>
    </row>
    <row r="1013" spans="1:20">
      <c r="A1013" t="s">
        <v>1337</v>
      </c>
      <c r="B1013" s="1">
        <v>45568</v>
      </c>
      <c r="C1013">
        <v>40</v>
      </c>
      <c r="D1013">
        <v>10</v>
      </c>
      <c r="E1013" t="s">
        <v>1319</v>
      </c>
      <c r="F1013" t="s">
        <v>349</v>
      </c>
      <c r="G1013" t="s">
        <v>221</v>
      </c>
      <c r="H1013">
        <v>4</v>
      </c>
      <c r="I1013">
        <v>400</v>
      </c>
      <c r="J1013">
        <v>0</v>
      </c>
      <c r="K1013" t="s">
        <v>1948</v>
      </c>
      <c r="L1013">
        <v>200</v>
      </c>
      <c r="M1013">
        <v>1600</v>
      </c>
      <c r="N1013">
        <v>800</v>
      </c>
      <c r="O1013">
        <v>800</v>
      </c>
      <c r="P1013">
        <v>0.5</v>
      </c>
      <c r="Q1013">
        <v>0</v>
      </c>
      <c r="R1013">
        <v>0</v>
      </c>
      <c r="S1013">
        <v>4</v>
      </c>
      <c r="T1013">
        <v>1600</v>
      </c>
    </row>
    <row r="1014" spans="1:20">
      <c r="A1014" t="s">
        <v>1338</v>
      </c>
      <c r="B1014" s="1">
        <v>45568</v>
      </c>
      <c r="C1014">
        <v>40</v>
      </c>
      <c r="D1014">
        <v>10</v>
      </c>
      <c r="E1014" t="s">
        <v>1319</v>
      </c>
      <c r="F1014" t="s">
        <v>82</v>
      </c>
      <c r="G1014" t="s">
        <v>20</v>
      </c>
      <c r="H1014">
        <v>5</v>
      </c>
      <c r="I1014">
        <v>765</v>
      </c>
      <c r="J1014">
        <v>15</v>
      </c>
      <c r="K1014" t="s">
        <v>1933</v>
      </c>
      <c r="L1014">
        <v>500</v>
      </c>
      <c r="M1014">
        <v>3825</v>
      </c>
      <c r="N1014">
        <v>2500</v>
      </c>
      <c r="O1014">
        <v>1325</v>
      </c>
      <c r="P1014">
        <v>0.34640522875816998</v>
      </c>
      <c r="Q1014">
        <v>0</v>
      </c>
      <c r="R1014">
        <v>0</v>
      </c>
      <c r="S1014">
        <v>5</v>
      </c>
      <c r="T1014">
        <v>3825</v>
      </c>
    </row>
    <row r="1015" spans="1:20">
      <c r="A1015" t="s">
        <v>1339</v>
      </c>
      <c r="B1015" s="1">
        <v>45568</v>
      </c>
      <c r="C1015">
        <v>40</v>
      </c>
      <c r="D1015">
        <v>10</v>
      </c>
      <c r="E1015" t="s">
        <v>1319</v>
      </c>
      <c r="F1015" t="s">
        <v>86</v>
      </c>
      <c r="G1015" t="s">
        <v>17</v>
      </c>
      <c r="H1015">
        <v>2</v>
      </c>
      <c r="I1015">
        <v>893</v>
      </c>
      <c r="J1015">
        <v>5</v>
      </c>
      <c r="K1015" t="s">
        <v>1944</v>
      </c>
      <c r="L1015">
        <v>450</v>
      </c>
      <c r="M1015">
        <v>1786</v>
      </c>
      <c r="N1015">
        <v>900</v>
      </c>
      <c r="O1015">
        <v>886</v>
      </c>
      <c r="P1015">
        <v>0.496080627099664</v>
      </c>
      <c r="Q1015">
        <v>0</v>
      </c>
      <c r="R1015">
        <v>0</v>
      </c>
      <c r="S1015">
        <v>2</v>
      </c>
      <c r="T1015">
        <v>1786</v>
      </c>
    </row>
    <row r="1016" spans="1:20">
      <c r="A1016" t="s">
        <v>1340</v>
      </c>
      <c r="B1016" s="1">
        <v>45569</v>
      </c>
      <c r="C1016">
        <v>40</v>
      </c>
      <c r="D1016">
        <v>10</v>
      </c>
      <c r="E1016" t="s">
        <v>1319</v>
      </c>
      <c r="F1016" t="s">
        <v>39</v>
      </c>
      <c r="G1016" t="s">
        <v>14</v>
      </c>
      <c r="H1016">
        <v>3</v>
      </c>
      <c r="I1016">
        <v>836</v>
      </c>
      <c r="J1016">
        <v>5</v>
      </c>
      <c r="K1016" t="s">
        <v>1921</v>
      </c>
      <c r="L1016">
        <v>400</v>
      </c>
      <c r="M1016">
        <v>2508</v>
      </c>
      <c r="N1016">
        <v>1200</v>
      </c>
      <c r="O1016">
        <v>1308</v>
      </c>
      <c r="P1016">
        <v>0.52153110047846896</v>
      </c>
      <c r="Q1016">
        <v>0</v>
      </c>
      <c r="R1016">
        <v>0</v>
      </c>
      <c r="S1016">
        <v>3</v>
      </c>
      <c r="T1016">
        <v>2508</v>
      </c>
    </row>
    <row r="1017" spans="1:20">
      <c r="A1017" t="s">
        <v>1342</v>
      </c>
      <c r="B1017" s="1">
        <v>45569</v>
      </c>
      <c r="C1017">
        <v>40</v>
      </c>
      <c r="D1017">
        <v>10</v>
      </c>
      <c r="E1017" t="s">
        <v>1319</v>
      </c>
      <c r="F1017" t="s">
        <v>146</v>
      </c>
      <c r="G1017" t="s">
        <v>20</v>
      </c>
      <c r="H1017">
        <v>5</v>
      </c>
      <c r="I1017">
        <v>567</v>
      </c>
      <c r="J1017">
        <v>10</v>
      </c>
      <c r="K1017" t="s">
        <v>1934</v>
      </c>
      <c r="L1017">
        <v>350</v>
      </c>
      <c r="M1017">
        <v>2835</v>
      </c>
      <c r="N1017">
        <v>1750</v>
      </c>
      <c r="O1017">
        <v>1085</v>
      </c>
      <c r="P1017">
        <v>0.38271604938271597</v>
      </c>
      <c r="Q1017">
        <v>0</v>
      </c>
      <c r="R1017">
        <v>0</v>
      </c>
      <c r="S1017">
        <v>5</v>
      </c>
      <c r="T1017">
        <v>2835</v>
      </c>
    </row>
    <row r="1018" spans="1:20">
      <c r="A1018" t="s">
        <v>1343</v>
      </c>
      <c r="B1018" s="1">
        <v>45570</v>
      </c>
      <c r="C1018">
        <v>40</v>
      </c>
      <c r="D1018">
        <v>10</v>
      </c>
      <c r="E1018" t="s">
        <v>1319</v>
      </c>
      <c r="F1018" t="s">
        <v>119</v>
      </c>
      <c r="G1018" t="s">
        <v>14</v>
      </c>
      <c r="H1018">
        <v>4</v>
      </c>
      <c r="I1018">
        <v>693</v>
      </c>
      <c r="J1018">
        <v>10</v>
      </c>
      <c r="K1018" t="s">
        <v>1920</v>
      </c>
      <c r="L1018">
        <v>350</v>
      </c>
      <c r="M1018">
        <v>2772</v>
      </c>
      <c r="N1018">
        <v>1400</v>
      </c>
      <c r="O1018">
        <v>1372</v>
      </c>
      <c r="P1018">
        <v>0.49494949494949497</v>
      </c>
      <c r="Q1018">
        <v>0</v>
      </c>
      <c r="R1018">
        <v>0</v>
      </c>
      <c r="S1018">
        <v>4</v>
      </c>
      <c r="T1018">
        <v>2772</v>
      </c>
    </row>
    <row r="1019" spans="1:20">
      <c r="A1019" t="s">
        <v>1345</v>
      </c>
      <c r="B1019" s="1">
        <v>45570</v>
      </c>
      <c r="C1019">
        <v>40</v>
      </c>
      <c r="D1019">
        <v>10</v>
      </c>
      <c r="E1019" t="s">
        <v>1319</v>
      </c>
      <c r="F1019" t="s">
        <v>146</v>
      </c>
      <c r="G1019" t="s">
        <v>20</v>
      </c>
      <c r="H1019">
        <v>3</v>
      </c>
      <c r="I1019">
        <v>630</v>
      </c>
      <c r="J1019">
        <v>0</v>
      </c>
      <c r="K1019" t="s">
        <v>1934</v>
      </c>
      <c r="L1019">
        <v>350</v>
      </c>
      <c r="M1019">
        <v>1890</v>
      </c>
      <c r="N1019">
        <v>1050</v>
      </c>
      <c r="O1019">
        <v>840</v>
      </c>
      <c r="P1019">
        <v>0.44444444444444398</v>
      </c>
      <c r="Q1019">
        <v>0</v>
      </c>
      <c r="R1019">
        <v>0</v>
      </c>
      <c r="S1019">
        <v>3</v>
      </c>
      <c r="T1019">
        <v>1890</v>
      </c>
    </row>
    <row r="1020" spans="1:20">
      <c r="A1020" t="s">
        <v>1346</v>
      </c>
      <c r="B1020" s="1">
        <v>45570</v>
      </c>
      <c r="C1020">
        <v>40</v>
      </c>
      <c r="D1020">
        <v>10</v>
      </c>
      <c r="E1020" t="s">
        <v>1319</v>
      </c>
      <c r="F1020" t="s">
        <v>16</v>
      </c>
      <c r="G1020" t="s">
        <v>17</v>
      </c>
      <c r="H1020">
        <v>3</v>
      </c>
      <c r="I1020">
        <v>494</v>
      </c>
      <c r="J1020">
        <v>5</v>
      </c>
      <c r="K1020" t="s">
        <v>1945</v>
      </c>
      <c r="L1020">
        <v>250</v>
      </c>
      <c r="M1020">
        <v>1482</v>
      </c>
      <c r="N1020">
        <v>750</v>
      </c>
      <c r="O1020">
        <v>732</v>
      </c>
      <c r="P1020">
        <v>0.49392712550607298</v>
      </c>
      <c r="Q1020">
        <v>0</v>
      </c>
      <c r="R1020">
        <v>0</v>
      </c>
      <c r="S1020">
        <v>3</v>
      </c>
      <c r="T1020">
        <v>1482</v>
      </c>
    </row>
    <row r="1021" spans="1:20">
      <c r="A1021" t="s">
        <v>1347</v>
      </c>
      <c r="B1021" s="1">
        <v>45570</v>
      </c>
      <c r="C1021">
        <v>40</v>
      </c>
      <c r="D1021">
        <v>10</v>
      </c>
      <c r="E1021" t="s">
        <v>1319</v>
      </c>
      <c r="F1021" t="s">
        <v>31</v>
      </c>
      <c r="G1021" t="s">
        <v>23</v>
      </c>
      <c r="H1021">
        <v>4</v>
      </c>
      <c r="I1021">
        <v>1400</v>
      </c>
      <c r="J1021">
        <v>0</v>
      </c>
      <c r="K1021" t="s">
        <v>1930</v>
      </c>
      <c r="L1021">
        <v>700</v>
      </c>
      <c r="M1021">
        <v>5600</v>
      </c>
      <c r="N1021">
        <v>2800</v>
      </c>
      <c r="O1021">
        <v>2800</v>
      </c>
      <c r="P1021">
        <v>0.5</v>
      </c>
      <c r="Q1021">
        <v>0</v>
      </c>
      <c r="R1021">
        <v>0</v>
      </c>
      <c r="S1021">
        <v>4</v>
      </c>
      <c r="T1021">
        <v>5600</v>
      </c>
    </row>
    <row r="1022" spans="1:20">
      <c r="A1022" t="s">
        <v>1348</v>
      </c>
      <c r="B1022" s="1">
        <v>45570</v>
      </c>
      <c r="C1022">
        <v>40</v>
      </c>
      <c r="D1022">
        <v>10</v>
      </c>
      <c r="E1022" t="s">
        <v>1319</v>
      </c>
      <c r="F1022" t="s">
        <v>28</v>
      </c>
      <c r="G1022" t="s">
        <v>26</v>
      </c>
      <c r="H1022">
        <v>2</v>
      </c>
      <c r="I1022">
        <v>1500</v>
      </c>
      <c r="J1022">
        <v>0</v>
      </c>
      <c r="K1022" t="s">
        <v>1939</v>
      </c>
      <c r="L1022">
        <v>600</v>
      </c>
      <c r="M1022">
        <v>3000</v>
      </c>
      <c r="N1022">
        <v>1200</v>
      </c>
      <c r="O1022">
        <v>1800</v>
      </c>
      <c r="P1022">
        <v>0.6</v>
      </c>
      <c r="Q1022">
        <v>0</v>
      </c>
      <c r="R1022">
        <v>0</v>
      </c>
      <c r="S1022">
        <v>2</v>
      </c>
      <c r="T1022">
        <v>3000</v>
      </c>
    </row>
    <row r="1023" spans="1:20">
      <c r="A1023" t="s">
        <v>1349</v>
      </c>
      <c r="B1023" s="1">
        <v>45570</v>
      </c>
      <c r="C1023">
        <v>40</v>
      </c>
      <c r="D1023">
        <v>10</v>
      </c>
      <c r="E1023" t="s">
        <v>1319</v>
      </c>
      <c r="F1023" t="s">
        <v>35</v>
      </c>
      <c r="G1023" t="s">
        <v>17</v>
      </c>
      <c r="H1023">
        <v>1</v>
      </c>
      <c r="I1023">
        <v>3150</v>
      </c>
      <c r="J1023">
        <v>0</v>
      </c>
      <c r="K1023" t="s">
        <v>1942</v>
      </c>
      <c r="L1023">
        <v>1500</v>
      </c>
      <c r="M1023">
        <v>3150</v>
      </c>
      <c r="N1023">
        <v>1500</v>
      </c>
      <c r="O1023">
        <v>1650</v>
      </c>
      <c r="P1023">
        <v>0.52380952380952395</v>
      </c>
      <c r="Q1023">
        <v>0</v>
      </c>
      <c r="R1023">
        <v>0</v>
      </c>
      <c r="S1023">
        <v>1</v>
      </c>
      <c r="T1023">
        <v>3150</v>
      </c>
    </row>
    <row r="1024" spans="1:20">
      <c r="A1024" t="s">
        <v>1350</v>
      </c>
      <c r="B1024" s="1">
        <v>45570</v>
      </c>
      <c r="C1024">
        <v>40</v>
      </c>
      <c r="D1024">
        <v>10</v>
      </c>
      <c r="E1024" t="s">
        <v>1319</v>
      </c>
      <c r="F1024" t="s">
        <v>369</v>
      </c>
      <c r="G1024" t="s">
        <v>221</v>
      </c>
      <c r="H1024">
        <v>4</v>
      </c>
      <c r="I1024">
        <v>700</v>
      </c>
      <c r="J1024">
        <v>0</v>
      </c>
      <c r="K1024" t="s">
        <v>1949</v>
      </c>
      <c r="L1024">
        <v>350</v>
      </c>
      <c r="M1024">
        <v>2800</v>
      </c>
      <c r="N1024">
        <v>1400</v>
      </c>
      <c r="O1024">
        <v>1400</v>
      </c>
      <c r="P1024">
        <v>0.5</v>
      </c>
      <c r="Q1024">
        <v>0</v>
      </c>
      <c r="R1024">
        <v>0</v>
      </c>
      <c r="S1024">
        <v>4</v>
      </c>
      <c r="T1024">
        <v>2800</v>
      </c>
    </row>
    <row r="1025" spans="1:20">
      <c r="A1025" t="s">
        <v>1351</v>
      </c>
      <c r="B1025" s="1">
        <v>45571</v>
      </c>
      <c r="C1025">
        <v>40</v>
      </c>
      <c r="D1025">
        <v>10</v>
      </c>
      <c r="E1025" t="s">
        <v>1319</v>
      </c>
      <c r="F1025" t="s">
        <v>64</v>
      </c>
      <c r="G1025" t="s">
        <v>14</v>
      </c>
      <c r="H1025">
        <v>4</v>
      </c>
      <c r="I1025">
        <v>2640</v>
      </c>
      <c r="J1025">
        <v>0</v>
      </c>
      <c r="K1025" t="s">
        <v>1923</v>
      </c>
      <c r="L1025">
        <v>1200</v>
      </c>
      <c r="M1025">
        <v>10560</v>
      </c>
      <c r="N1025">
        <v>4800</v>
      </c>
      <c r="O1025">
        <v>5760</v>
      </c>
      <c r="P1025">
        <v>0.54545454545454497</v>
      </c>
      <c r="Q1025">
        <v>0</v>
      </c>
      <c r="R1025">
        <v>0</v>
      </c>
      <c r="S1025">
        <v>4</v>
      </c>
      <c r="T1025">
        <v>10560</v>
      </c>
    </row>
    <row r="1026" spans="1:20">
      <c r="A1026" t="s">
        <v>1353</v>
      </c>
      <c r="B1026" s="1">
        <v>45571</v>
      </c>
      <c r="C1026">
        <v>40</v>
      </c>
      <c r="D1026">
        <v>10</v>
      </c>
      <c r="E1026" t="s">
        <v>1319</v>
      </c>
      <c r="F1026" t="s">
        <v>146</v>
      </c>
      <c r="G1026" t="s">
        <v>20</v>
      </c>
      <c r="H1026">
        <v>2</v>
      </c>
      <c r="I1026">
        <v>567</v>
      </c>
      <c r="J1026">
        <v>10</v>
      </c>
      <c r="K1026" t="s">
        <v>1934</v>
      </c>
      <c r="L1026">
        <v>350</v>
      </c>
      <c r="M1026">
        <v>1134</v>
      </c>
      <c r="N1026">
        <v>700</v>
      </c>
      <c r="O1026">
        <v>434</v>
      </c>
      <c r="P1026">
        <v>0.38271604938271597</v>
      </c>
      <c r="Q1026">
        <v>0</v>
      </c>
      <c r="R1026">
        <v>0</v>
      </c>
      <c r="S1026">
        <v>2</v>
      </c>
      <c r="T1026">
        <v>1134</v>
      </c>
    </row>
    <row r="1027" spans="1:20">
      <c r="A1027" t="s">
        <v>1354</v>
      </c>
      <c r="B1027" s="1">
        <v>45571</v>
      </c>
      <c r="C1027">
        <v>40</v>
      </c>
      <c r="D1027">
        <v>10</v>
      </c>
      <c r="E1027" t="s">
        <v>1319</v>
      </c>
      <c r="F1027" t="s">
        <v>119</v>
      </c>
      <c r="G1027" t="s">
        <v>14</v>
      </c>
      <c r="H1027">
        <v>4</v>
      </c>
      <c r="I1027">
        <v>770</v>
      </c>
      <c r="J1027">
        <v>0</v>
      </c>
      <c r="K1027" t="s">
        <v>1920</v>
      </c>
      <c r="L1027">
        <v>350</v>
      </c>
      <c r="M1027">
        <v>3080</v>
      </c>
      <c r="N1027">
        <v>1400</v>
      </c>
      <c r="O1027">
        <v>1680</v>
      </c>
      <c r="P1027">
        <v>0.54545454545454497</v>
      </c>
      <c r="Q1027">
        <v>0</v>
      </c>
      <c r="R1027">
        <v>0</v>
      </c>
      <c r="S1027">
        <v>4</v>
      </c>
      <c r="T1027">
        <v>3080</v>
      </c>
    </row>
    <row r="1028" spans="1:20">
      <c r="A1028" t="s">
        <v>1355</v>
      </c>
      <c r="B1028" s="1">
        <v>45572</v>
      </c>
      <c r="C1028">
        <v>41</v>
      </c>
      <c r="D1028">
        <v>10</v>
      </c>
      <c r="E1028" t="s">
        <v>1319</v>
      </c>
      <c r="F1028" t="s">
        <v>19</v>
      </c>
      <c r="G1028" t="s">
        <v>20</v>
      </c>
      <c r="H1028">
        <v>2</v>
      </c>
      <c r="I1028">
        <v>1620</v>
      </c>
      <c r="J1028">
        <v>0</v>
      </c>
      <c r="K1028" t="s">
        <v>1931</v>
      </c>
      <c r="L1028">
        <v>900</v>
      </c>
      <c r="M1028">
        <v>3240</v>
      </c>
      <c r="N1028">
        <v>1800</v>
      </c>
      <c r="O1028">
        <v>1440</v>
      </c>
      <c r="P1028">
        <v>0.44444444444444398</v>
      </c>
      <c r="Q1028">
        <v>0</v>
      </c>
      <c r="R1028">
        <v>0</v>
      </c>
      <c r="S1028">
        <v>2</v>
      </c>
      <c r="T1028">
        <v>3240</v>
      </c>
    </row>
    <row r="1029" spans="1:20">
      <c r="A1029" t="s">
        <v>1357</v>
      </c>
      <c r="B1029" s="1">
        <v>45572</v>
      </c>
      <c r="C1029">
        <v>41</v>
      </c>
      <c r="D1029">
        <v>10</v>
      </c>
      <c r="E1029" t="s">
        <v>1319</v>
      </c>
      <c r="F1029" t="s">
        <v>64</v>
      </c>
      <c r="G1029" t="s">
        <v>14</v>
      </c>
      <c r="H1029">
        <v>1</v>
      </c>
      <c r="I1029">
        <v>2640</v>
      </c>
      <c r="J1029">
        <v>0</v>
      </c>
      <c r="K1029" t="s">
        <v>1923</v>
      </c>
      <c r="L1029">
        <v>1200</v>
      </c>
      <c r="M1029">
        <v>2640</v>
      </c>
      <c r="N1029">
        <v>1200</v>
      </c>
      <c r="O1029">
        <v>1440</v>
      </c>
      <c r="P1029">
        <v>0.54545454545454497</v>
      </c>
      <c r="Q1029">
        <v>0</v>
      </c>
      <c r="R1029">
        <v>0</v>
      </c>
      <c r="S1029">
        <v>1</v>
      </c>
      <c r="T1029">
        <v>2640</v>
      </c>
    </row>
    <row r="1030" spans="1:20">
      <c r="A1030" t="s">
        <v>1358</v>
      </c>
      <c r="B1030" s="1">
        <v>45572</v>
      </c>
      <c r="C1030">
        <v>41</v>
      </c>
      <c r="D1030">
        <v>10</v>
      </c>
      <c r="E1030" t="s">
        <v>1319</v>
      </c>
      <c r="F1030" t="s">
        <v>68</v>
      </c>
      <c r="G1030" t="s">
        <v>26</v>
      </c>
      <c r="H1030">
        <v>5</v>
      </c>
      <c r="I1030">
        <v>380</v>
      </c>
      <c r="J1030">
        <v>0</v>
      </c>
      <c r="K1030" t="s">
        <v>1937</v>
      </c>
      <c r="L1030">
        <v>150</v>
      </c>
      <c r="M1030">
        <v>1900</v>
      </c>
      <c r="N1030">
        <v>750</v>
      </c>
      <c r="O1030">
        <v>1150</v>
      </c>
      <c r="P1030">
        <v>0.60526315789473695</v>
      </c>
      <c r="Q1030">
        <v>0</v>
      </c>
      <c r="R1030">
        <v>0</v>
      </c>
      <c r="S1030">
        <v>5</v>
      </c>
      <c r="T1030">
        <v>1900</v>
      </c>
    </row>
    <row r="1031" spans="1:20">
      <c r="A1031" t="s">
        <v>1359</v>
      </c>
      <c r="B1031" s="1">
        <v>45573</v>
      </c>
      <c r="C1031">
        <v>41</v>
      </c>
      <c r="D1031">
        <v>10</v>
      </c>
      <c r="E1031" t="s">
        <v>1319</v>
      </c>
      <c r="F1031" t="s">
        <v>13</v>
      </c>
      <c r="G1031" t="s">
        <v>14</v>
      </c>
      <c r="H1031">
        <v>1</v>
      </c>
      <c r="I1031">
        <v>480</v>
      </c>
      <c r="J1031">
        <v>0</v>
      </c>
      <c r="K1031" t="s">
        <v>1925</v>
      </c>
      <c r="L1031">
        <v>220</v>
      </c>
      <c r="M1031">
        <v>480</v>
      </c>
      <c r="N1031">
        <v>220</v>
      </c>
      <c r="O1031">
        <v>260</v>
      </c>
      <c r="P1031">
        <v>0.54166666666666696</v>
      </c>
      <c r="Q1031">
        <v>0</v>
      </c>
      <c r="R1031">
        <v>0</v>
      </c>
      <c r="S1031">
        <v>1</v>
      </c>
      <c r="T1031">
        <v>480</v>
      </c>
    </row>
    <row r="1032" spans="1:20">
      <c r="A1032" t="s">
        <v>1361</v>
      </c>
      <c r="B1032" s="1">
        <v>45573</v>
      </c>
      <c r="C1032">
        <v>41</v>
      </c>
      <c r="D1032">
        <v>10</v>
      </c>
      <c r="E1032" t="s">
        <v>1319</v>
      </c>
      <c r="F1032" t="s">
        <v>68</v>
      </c>
      <c r="G1032" t="s">
        <v>26</v>
      </c>
      <c r="H1032">
        <v>1</v>
      </c>
      <c r="I1032">
        <v>380</v>
      </c>
      <c r="J1032">
        <v>0</v>
      </c>
      <c r="K1032" t="s">
        <v>1937</v>
      </c>
      <c r="L1032">
        <v>150</v>
      </c>
      <c r="M1032">
        <v>380</v>
      </c>
      <c r="N1032">
        <v>150</v>
      </c>
      <c r="O1032">
        <v>230</v>
      </c>
      <c r="P1032">
        <v>0.60526315789473695</v>
      </c>
      <c r="Q1032">
        <v>0</v>
      </c>
      <c r="R1032">
        <v>0</v>
      </c>
      <c r="S1032">
        <v>1</v>
      </c>
      <c r="T1032">
        <v>380</v>
      </c>
    </row>
    <row r="1033" spans="1:20">
      <c r="A1033" t="s">
        <v>1362</v>
      </c>
      <c r="B1033" s="1">
        <v>45573</v>
      </c>
      <c r="C1033">
        <v>41</v>
      </c>
      <c r="D1033">
        <v>10</v>
      </c>
      <c r="E1033" t="s">
        <v>1319</v>
      </c>
      <c r="F1033" t="s">
        <v>42</v>
      </c>
      <c r="G1033" t="s">
        <v>23</v>
      </c>
      <c r="H1033">
        <v>5</v>
      </c>
      <c r="I1033">
        <v>540</v>
      </c>
      <c r="J1033">
        <v>10</v>
      </c>
      <c r="K1033" t="s">
        <v>1928</v>
      </c>
      <c r="L1033">
        <v>300</v>
      </c>
      <c r="M1033">
        <v>2700</v>
      </c>
      <c r="N1033">
        <v>1500</v>
      </c>
      <c r="O1033">
        <v>1200</v>
      </c>
      <c r="P1033">
        <v>0.44444444444444398</v>
      </c>
      <c r="Q1033">
        <v>0</v>
      </c>
      <c r="R1033">
        <v>0</v>
      </c>
      <c r="S1033">
        <v>5</v>
      </c>
      <c r="T1033">
        <v>2700</v>
      </c>
    </row>
    <row r="1034" spans="1:20">
      <c r="A1034" t="s">
        <v>1363</v>
      </c>
      <c r="B1034" s="1">
        <v>45573</v>
      </c>
      <c r="C1034">
        <v>41</v>
      </c>
      <c r="D1034">
        <v>10</v>
      </c>
      <c r="E1034" t="s">
        <v>1319</v>
      </c>
      <c r="F1034" t="s">
        <v>28</v>
      </c>
      <c r="G1034" t="s">
        <v>26</v>
      </c>
      <c r="H1034">
        <v>1</v>
      </c>
      <c r="I1034">
        <v>1350</v>
      </c>
      <c r="J1034">
        <v>10</v>
      </c>
      <c r="K1034" t="s">
        <v>1939</v>
      </c>
      <c r="L1034">
        <v>600</v>
      </c>
      <c r="M1034">
        <v>1350</v>
      </c>
      <c r="N1034">
        <v>600</v>
      </c>
      <c r="O1034">
        <v>750</v>
      </c>
      <c r="P1034">
        <v>0.55555555555555602</v>
      </c>
      <c r="Q1034">
        <v>0</v>
      </c>
      <c r="R1034">
        <v>0</v>
      </c>
      <c r="S1034">
        <v>1</v>
      </c>
      <c r="T1034">
        <v>1350</v>
      </c>
    </row>
    <row r="1035" spans="1:20">
      <c r="A1035" t="s">
        <v>1364</v>
      </c>
      <c r="B1035" s="1">
        <v>45573</v>
      </c>
      <c r="C1035">
        <v>41</v>
      </c>
      <c r="D1035">
        <v>10</v>
      </c>
      <c r="E1035" t="s">
        <v>1319</v>
      </c>
      <c r="F1035" t="s">
        <v>68</v>
      </c>
      <c r="G1035" t="s">
        <v>26</v>
      </c>
      <c r="H1035">
        <v>1</v>
      </c>
      <c r="I1035">
        <v>380</v>
      </c>
      <c r="J1035">
        <v>0</v>
      </c>
      <c r="K1035" t="s">
        <v>1937</v>
      </c>
      <c r="L1035">
        <v>150</v>
      </c>
      <c r="M1035">
        <v>380</v>
      </c>
      <c r="N1035">
        <v>150</v>
      </c>
      <c r="O1035">
        <v>230</v>
      </c>
      <c r="P1035">
        <v>0.60526315789473695</v>
      </c>
      <c r="Q1035">
        <v>0</v>
      </c>
      <c r="R1035">
        <v>0</v>
      </c>
      <c r="S1035">
        <v>1</v>
      </c>
      <c r="T1035">
        <v>380</v>
      </c>
    </row>
    <row r="1036" spans="1:20">
      <c r="A1036" t="s">
        <v>1365</v>
      </c>
      <c r="B1036" s="1">
        <v>45573</v>
      </c>
      <c r="C1036">
        <v>41</v>
      </c>
      <c r="D1036">
        <v>10</v>
      </c>
      <c r="E1036" t="s">
        <v>1319</v>
      </c>
      <c r="F1036" t="s">
        <v>187</v>
      </c>
      <c r="G1036" t="s">
        <v>14</v>
      </c>
      <c r="H1036">
        <v>5</v>
      </c>
      <c r="I1036">
        <v>3740</v>
      </c>
      <c r="J1036">
        <v>15</v>
      </c>
      <c r="K1036" t="s">
        <v>1924</v>
      </c>
      <c r="L1036">
        <v>2000</v>
      </c>
      <c r="M1036">
        <v>18700</v>
      </c>
      <c r="N1036">
        <v>10000</v>
      </c>
      <c r="O1036">
        <v>8700</v>
      </c>
      <c r="P1036">
        <v>0.46524064171122997</v>
      </c>
      <c r="Q1036">
        <v>2</v>
      </c>
      <c r="R1036">
        <v>2</v>
      </c>
      <c r="S1036">
        <v>3</v>
      </c>
      <c r="T1036">
        <v>11220</v>
      </c>
    </row>
    <row r="1037" spans="1:20">
      <c r="A1037" t="s">
        <v>1366</v>
      </c>
      <c r="B1037" s="1">
        <v>45573</v>
      </c>
      <c r="C1037">
        <v>41</v>
      </c>
      <c r="D1037">
        <v>10</v>
      </c>
      <c r="E1037" t="s">
        <v>1319</v>
      </c>
      <c r="F1037" t="s">
        <v>80</v>
      </c>
      <c r="G1037" t="s">
        <v>14</v>
      </c>
      <c r="H1037">
        <v>2</v>
      </c>
      <c r="I1037">
        <v>380</v>
      </c>
      <c r="J1037">
        <v>5</v>
      </c>
      <c r="K1037" t="s">
        <v>1922</v>
      </c>
      <c r="L1037">
        <v>180</v>
      </c>
      <c r="M1037">
        <v>760</v>
      </c>
      <c r="N1037">
        <v>360</v>
      </c>
      <c r="O1037">
        <v>400</v>
      </c>
      <c r="P1037">
        <v>0.52631578947368396</v>
      </c>
      <c r="Q1037">
        <v>0</v>
      </c>
      <c r="R1037">
        <v>0</v>
      </c>
      <c r="S1037">
        <v>2</v>
      </c>
      <c r="T1037">
        <v>760</v>
      </c>
    </row>
    <row r="1038" spans="1:20">
      <c r="A1038" t="s">
        <v>1367</v>
      </c>
      <c r="B1038" s="1">
        <v>45574</v>
      </c>
      <c r="C1038">
        <v>41</v>
      </c>
      <c r="D1038">
        <v>10</v>
      </c>
      <c r="E1038" t="s">
        <v>1319</v>
      </c>
      <c r="F1038" t="s">
        <v>35</v>
      </c>
      <c r="G1038" t="s">
        <v>17</v>
      </c>
      <c r="H1038">
        <v>5</v>
      </c>
      <c r="I1038">
        <v>2992.5</v>
      </c>
      <c r="J1038">
        <v>5</v>
      </c>
      <c r="K1038" t="s">
        <v>1942</v>
      </c>
      <c r="L1038">
        <v>1500</v>
      </c>
      <c r="M1038">
        <v>14962.5</v>
      </c>
      <c r="N1038">
        <v>7500</v>
      </c>
      <c r="O1038">
        <v>7462.5</v>
      </c>
      <c r="P1038">
        <v>0.49874686716791999</v>
      </c>
      <c r="Q1038">
        <v>0</v>
      </c>
      <c r="R1038">
        <v>0</v>
      </c>
      <c r="S1038">
        <v>5</v>
      </c>
      <c r="T1038">
        <v>14962.5</v>
      </c>
    </row>
    <row r="1039" spans="1:20">
      <c r="A1039" t="s">
        <v>1369</v>
      </c>
      <c r="B1039" s="1">
        <v>45575</v>
      </c>
      <c r="C1039">
        <v>41</v>
      </c>
      <c r="D1039">
        <v>10</v>
      </c>
      <c r="E1039" t="s">
        <v>1319</v>
      </c>
      <c r="F1039" t="s">
        <v>119</v>
      </c>
      <c r="G1039" t="s">
        <v>14</v>
      </c>
      <c r="H1039">
        <v>1</v>
      </c>
      <c r="I1039">
        <v>693</v>
      </c>
      <c r="J1039">
        <v>10</v>
      </c>
      <c r="K1039" t="s">
        <v>1920</v>
      </c>
      <c r="L1039">
        <v>350</v>
      </c>
      <c r="M1039">
        <v>693</v>
      </c>
      <c r="N1039">
        <v>350</v>
      </c>
      <c r="O1039">
        <v>343</v>
      </c>
      <c r="P1039">
        <v>0.49494949494949497</v>
      </c>
      <c r="Q1039">
        <v>0</v>
      </c>
      <c r="R1039">
        <v>0</v>
      </c>
      <c r="S1039">
        <v>1</v>
      </c>
      <c r="T1039">
        <v>693</v>
      </c>
    </row>
    <row r="1040" spans="1:20">
      <c r="A1040" t="s">
        <v>1371</v>
      </c>
      <c r="B1040" s="1">
        <v>45575</v>
      </c>
      <c r="C1040">
        <v>41</v>
      </c>
      <c r="D1040">
        <v>10</v>
      </c>
      <c r="E1040" t="s">
        <v>1319</v>
      </c>
      <c r="F1040" t="s">
        <v>25</v>
      </c>
      <c r="G1040" t="s">
        <v>26</v>
      </c>
      <c r="H1040">
        <v>4</v>
      </c>
      <c r="I1040">
        <v>850</v>
      </c>
      <c r="J1040">
        <v>15</v>
      </c>
      <c r="K1040" t="s">
        <v>1940</v>
      </c>
      <c r="L1040">
        <v>400</v>
      </c>
      <c r="M1040">
        <v>3400</v>
      </c>
      <c r="N1040">
        <v>1600</v>
      </c>
      <c r="O1040">
        <v>1800</v>
      </c>
      <c r="P1040">
        <v>0.52941176470588203</v>
      </c>
      <c r="Q1040">
        <v>0</v>
      </c>
      <c r="R1040">
        <v>0</v>
      </c>
      <c r="S1040">
        <v>4</v>
      </c>
      <c r="T1040">
        <v>3400</v>
      </c>
    </row>
    <row r="1041" spans="1:20">
      <c r="A1041" t="s">
        <v>1372</v>
      </c>
      <c r="B1041" s="1">
        <v>45575</v>
      </c>
      <c r="C1041">
        <v>41</v>
      </c>
      <c r="D1041">
        <v>10</v>
      </c>
      <c r="E1041" t="s">
        <v>1319</v>
      </c>
      <c r="F1041" t="s">
        <v>97</v>
      </c>
      <c r="G1041" t="s">
        <v>20</v>
      </c>
      <c r="H1041">
        <v>2</v>
      </c>
      <c r="I1041">
        <v>1980</v>
      </c>
      <c r="J1041">
        <v>0</v>
      </c>
      <c r="K1041" t="s">
        <v>1932</v>
      </c>
      <c r="L1041">
        <v>1100</v>
      </c>
      <c r="M1041">
        <v>3960</v>
      </c>
      <c r="N1041">
        <v>2200</v>
      </c>
      <c r="O1041">
        <v>1760</v>
      </c>
      <c r="P1041">
        <v>0.44444444444444398</v>
      </c>
      <c r="Q1041">
        <v>0</v>
      </c>
      <c r="R1041">
        <v>0</v>
      </c>
      <c r="S1041">
        <v>2</v>
      </c>
      <c r="T1041">
        <v>3960</v>
      </c>
    </row>
    <row r="1042" spans="1:20">
      <c r="A1042" t="s">
        <v>1373</v>
      </c>
      <c r="B1042" s="1">
        <v>45575</v>
      </c>
      <c r="C1042">
        <v>41</v>
      </c>
      <c r="D1042">
        <v>10</v>
      </c>
      <c r="E1042" t="s">
        <v>1319</v>
      </c>
      <c r="F1042" t="s">
        <v>66</v>
      </c>
      <c r="G1042" t="s">
        <v>17</v>
      </c>
      <c r="H1042">
        <v>5</v>
      </c>
      <c r="I1042">
        <v>1249.5</v>
      </c>
      <c r="J1042">
        <v>15</v>
      </c>
      <c r="K1042" t="s">
        <v>1941</v>
      </c>
      <c r="L1042">
        <v>700</v>
      </c>
      <c r="M1042">
        <v>6247.5</v>
      </c>
      <c r="N1042">
        <v>3500</v>
      </c>
      <c r="O1042">
        <v>2747.5</v>
      </c>
      <c r="P1042">
        <v>0.43977591036414598</v>
      </c>
      <c r="Q1042">
        <v>0</v>
      </c>
      <c r="R1042">
        <v>0</v>
      </c>
      <c r="S1042">
        <v>5</v>
      </c>
      <c r="T1042">
        <v>6247.5</v>
      </c>
    </row>
    <row r="1043" spans="1:20">
      <c r="A1043" t="s">
        <v>1374</v>
      </c>
      <c r="B1043" s="1">
        <v>45575</v>
      </c>
      <c r="C1043">
        <v>41</v>
      </c>
      <c r="D1043">
        <v>10</v>
      </c>
      <c r="E1043" t="s">
        <v>1319</v>
      </c>
      <c r="F1043" t="s">
        <v>364</v>
      </c>
      <c r="G1043" t="s">
        <v>221</v>
      </c>
      <c r="H1043">
        <v>1</v>
      </c>
      <c r="I1043">
        <v>960</v>
      </c>
      <c r="J1043">
        <v>0</v>
      </c>
      <c r="K1043" t="s">
        <v>1946</v>
      </c>
      <c r="L1043">
        <v>480</v>
      </c>
      <c r="M1043">
        <v>960</v>
      </c>
      <c r="N1043">
        <v>480</v>
      </c>
      <c r="O1043">
        <v>480</v>
      </c>
      <c r="P1043">
        <v>0.5</v>
      </c>
      <c r="Q1043">
        <v>1</v>
      </c>
      <c r="R1043">
        <v>1</v>
      </c>
      <c r="S1043">
        <v>0</v>
      </c>
      <c r="T1043">
        <v>0</v>
      </c>
    </row>
    <row r="1044" spans="1:20">
      <c r="A1044" t="s">
        <v>1375</v>
      </c>
      <c r="B1044" s="1">
        <v>45575</v>
      </c>
      <c r="C1044">
        <v>41</v>
      </c>
      <c r="D1044">
        <v>10</v>
      </c>
      <c r="E1044" t="s">
        <v>1319</v>
      </c>
      <c r="F1044" t="s">
        <v>13</v>
      </c>
      <c r="G1044" t="s">
        <v>14</v>
      </c>
      <c r="H1044">
        <v>5</v>
      </c>
      <c r="I1044">
        <v>480</v>
      </c>
      <c r="J1044">
        <v>0</v>
      </c>
      <c r="K1044" t="s">
        <v>1925</v>
      </c>
      <c r="L1044">
        <v>220</v>
      </c>
      <c r="M1044">
        <v>2400</v>
      </c>
      <c r="N1044">
        <v>1100</v>
      </c>
      <c r="O1044">
        <v>1300</v>
      </c>
      <c r="P1044">
        <v>0.54166666666666696</v>
      </c>
      <c r="Q1044">
        <v>0</v>
      </c>
      <c r="R1044">
        <v>0</v>
      </c>
      <c r="S1044">
        <v>5</v>
      </c>
      <c r="T1044">
        <v>2400</v>
      </c>
    </row>
    <row r="1045" spans="1:20">
      <c r="A1045" t="s">
        <v>1376</v>
      </c>
      <c r="B1045" s="1">
        <v>45576</v>
      </c>
      <c r="C1045">
        <v>41</v>
      </c>
      <c r="D1045">
        <v>10</v>
      </c>
      <c r="E1045" t="s">
        <v>1319</v>
      </c>
      <c r="F1045" t="s">
        <v>187</v>
      </c>
      <c r="G1045" t="s">
        <v>14</v>
      </c>
      <c r="H1045">
        <v>4</v>
      </c>
      <c r="I1045">
        <v>4180</v>
      </c>
      <c r="J1045">
        <v>5</v>
      </c>
      <c r="K1045" t="s">
        <v>1924</v>
      </c>
      <c r="L1045">
        <v>2000</v>
      </c>
      <c r="M1045">
        <v>16720</v>
      </c>
      <c r="N1045">
        <v>8000</v>
      </c>
      <c r="O1045">
        <v>8720</v>
      </c>
      <c r="P1045">
        <v>0.52153110047846896</v>
      </c>
      <c r="Q1045">
        <v>0</v>
      </c>
      <c r="R1045">
        <v>0</v>
      </c>
      <c r="S1045">
        <v>4</v>
      </c>
      <c r="T1045">
        <v>16720</v>
      </c>
    </row>
    <row r="1046" spans="1:20">
      <c r="A1046" t="s">
        <v>1378</v>
      </c>
      <c r="B1046" s="1">
        <v>45576</v>
      </c>
      <c r="C1046">
        <v>41</v>
      </c>
      <c r="D1046">
        <v>10</v>
      </c>
      <c r="E1046" t="s">
        <v>1319</v>
      </c>
      <c r="F1046" t="s">
        <v>220</v>
      </c>
      <c r="G1046" t="s">
        <v>221</v>
      </c>
      <c r="H1046">
        <v>5</v>
      </c>
      <c r="I1046">
        <v>600</v>
      </c>
      <c r="J1046">
        <v>0</v>
      </c>
      <c r="K1046" t="s">
        <v>1947</v>
      </c>
      <c r="L1046">
        <v>300</v>
      </c>
      <c r="M1046">
        <v>3000</v>
      </c>
      <c r="N1046">
        <v>1500</v>
      </c>
      <c r="O1046">
        <v>1500</v>
      </c>
      <c r="P1046">
        <v>0.5</v>
      </c>
      <c r="Q1046">
        <v>0</v>
      </c>
      <c r="R1046">
        <v>0</v>
      </c>
      <c r="S1046">
        <v>5</v>
      </c>
      <c r="T1046">
        <v>3000</v>
      </c>
    </row>
    <row r="1047" spans="1:20">
      <c r="A1047" t="s">
        <v>1379</v>
      </c>
      <c r="B1047" s="1">
        <v>45576</v>
      </c>
      <c r="C1047">
        <v>41</v>
      </c>
      <c r="D1047">
        <v>10</v>
      </c>
      <c r="E1047" t="s">
        <v>1319</v>
      </c>
      <c r="F1047" t="s">
        <v>25</v>
      </c>
      <c r="G1047" t="s">
        <v>26</v>
      </c>
      <c r="H1047">
        <v>3</v>
      </c>
      <c r="I1047">
        <v>900</v>
      </c>
      <c r="J1047">
        <v>10</v>
      </c>
      <c r="K1047" t="s">
        <v>1940</v>
      </c>
      <c r="L1047">
        <v>400</v>
      </c>
      <c r="M1047">
        <v>2700</v>
      </c>
      <c r="N1047">
        <v>1200</v>
      </c>
      <c r="O1047">
        <v>1500</v>
      </c>
      <c r="P1047">
        <v>0.55555555555555602</v>
      </c>
      <c r="Q1047">
        <v>0</v>
      </c>
      <c r="R1047">
        <v>0</v>
      </c>
      <c r="S1047">
        <v>3</v>
      </c>
      <c r="T1047">
        <v>2700</v>
      </c>
    </row>
    <row r="1048" spans="1:20">
      <c r="A1048" t="s">
        <v>1380</v>
      </c>
      <c r="B1048" s="1">
        <v>45576</v>
      </c>
      <c r="C1048">
        <v>41</v>
      </c>
      <c r="D1048">
        <v>10</v>
      </c>
      <c r="E1048" t="s">
        <v>1319</v>
      </c>
      <c r="F1048" t="s">
        <v>349</v>
      </c>
      <c r="G1048" t="s">
        <v>221</v>
      </c>
      <c r="H1048">
        <v>3</v>
      </c>
      <c r="I1048">
        <v>400</v>
      </c>
      <c r="J1048">
        <v>0</v>
      </c>
      <c r="K1048" t="s">
        <v>1948</v>
      </c>
      <c r="L1048">
        <v>200</v>
      </c>
      <c r="M1048">
        <v>1200</v>
      </c>
      <c r="N1048">
        <v>600</v>
      </c>
      <c r="O1048">
        <v>600</v>
      </c>
      <c r="P1048">
        <v>0.5</v>
      </c>
      <c r="Q1048">
        <v>0</v>
      </c>
      <c r="R1048">
        <v>0</v>
      </c>
      <c r="S1048">
        <v>3</v>
      </c>
      <c r="T1048">
        <v>1200</v>
      </c>
    </row>
    <row r="1049" spans="1:20">
      <c r="A1049" t="s">
        <v>1381</v>
      </c>
      <c r="B1049" s="1">
        <v>45576</v>
      </c>
      <c r="C1049">
        <v>41</v>
      </c>
      <c r="D1049">
        <v>10</v>
      </c>
      <c r="E1049" t="s">
        <v>1319</v>
      </c>
      <c r="F1049" t="s">
        <v>64</v>
      </c>
      <c r="G1049" t="s">
        <v>14</v>
      </c>
      <c r="H1049">
        <v>4</v>
      </c>
      <c r="I1049">
        <v>2376</v>
      </c>
      <c r="J1049">
        <v>10</v>
      </c>
      <c r="K1049" t="s">
        <v>1923</v>
      </c>
      <c r="L1049">
        <v>1200</v>
      </c>
      <c r="M1049">
        <v>9504</v>
      </c>
      <c r="N1049">
        <v>4800</v>
      </c>
      <c r="O1049">
        <v>4704</v>
      </c>
      <c r="P1049">
        <v>0.49494949494949497</v>
      </c>
      <c r="Q1049">
        <v>0</v>
      </c>
      <c r="R1049">
        <v>0</v>
      </c>
      <c r="S1049">
        <v>4</v>
      </c>
      <c r="T1049">
        <v>9504</v>
      </c>
    </row>
    <row r="1050" spans="1:20">
      <c r="A1050" t="s">
        <v>1382</v>
      </c>
      <c r="B1050" s="1">
        <v>45577</v>
      </c>
      <c r="C1050">
        <v>41</v>
      </c>
      <c r="D1050">
        <v>10</v>
      </c>
      <c r="E1050" t="s">
        <v>1319</v>
      </c>
      <c r="F1050" t="s">
        <v>97</v>
      </c>
      <c r="G1050" t="s">
        <v>20</v>
      </c>
      <c r="H1050">
        <v>1</v>
      </c>
      <c r="I1050">
        <v>1683</v>
      </c>
      <c r="J1050">
        <v>15</v>
      </c>
      <c r="K1050" t="s">
        <v>1932</v>
      </c>
      <c r="L1050">
        <v>1100</v>
      </c>
      <c r="M1050">
        <v>1683</v>
      </c>
      <c r="N1050">
        <v>1100</v>
      </c>
      <c r="O1050">
        <v>583</v>
      </c>
      <c r="P1050">
        <v>0.34640522875816998</v>
      </c>
      <c r="Q1050">
        <v>0</v>
      </c>
      <c r="R1050">
        <v>0</v>
      </c>
      <c r="S1050">
        <v>1</v>
      </c>
      <c r="T1050">
        <v>1683</v>
      </c>
    </row>
    <row r="1051" spans="1:20">
      <c r="A1051" t="s">
        <v>1384</v>
      </c>
      <c r="B1051" s="1">
        <v>45577</v>
      </c>
      <c r="C1051">
        <v>41</v>
      </c>
      <c r="D1051">
        <v>10</v>
      </c>
      <c r="E1051" t="s">
        <v>1319</v>
      </c>
      <c r="F1051" t="s">
        <v>37</v>
      </c>
      <c r="G1051" t="s">
        <v>20</v>
      </c>
      <c r="H1051">
        <v>4</v>
      </c>
      <c r="I1051">
        <v>2340</v>
      </c>
      <c r="J1051">
        <v>0</v>
      </c>
      <c r="K1051" t="s">
        <v>1935</v>
      </c>
      <c r="L1051">
        <v>1300</v>
      </c>
      <c r="M1051">
        <v>9360</v>
      </c>
      <c r="N1051">
        <v>5200</v>
      </c>
      <c r="O1051">
        <v>4160</v>
      </c>
      <c r="P1051">
        <v>0.44444444444444398</v>
      </c>
      <c r="Q1051">
        <v>0</v>
      </c>
      <c r="R1051">
        <v>0</v>
      </c>
      <c r="S1051">
        <v>4</v>
      </c>
      <c r="T1051">
        <v>9360</v>
      </c>
    </row>
    <row r="1052" spans="1:20">
      <c r="A1052" t="s">
        <v>1385</v>
      </c>
      <c r="B1052" s="1">
        <v>45577</v>
      </c>
      <c r="C1052">
        <v>41</v>
      </c>
      <c r="D1052">
        <v>10</v>
      </c>
      <c r="E1052" t="s">
        <v>1319</v>
      </c>
      <c r="F1052" t="s">
        <v>220</v>
      </c>
      <c r="G1052" t="s">
        <v>221</v>
      </c>
      <c r="H1052">
        <v>4</v>
      </c>
      <c r="I1052">
        <v>510</v>
      </c>
      <c r="J1052">
        <v>15</v>
      </c>
      <c r="K1052" t="s">
        <v>1947</v>
      </c>
      <c r="L1052">
        <v>300</v>
      </c>
      <c r="M1052">
        <v>2040</v>
      </c>
      <c r="N1052">
        <v>1200</v>
      </c>
      <c r="O1052">
        <v>840</v>
      </c>
      <c r="P1052">
        <v>0.41176470588235298</v>
      </c>
      <c r="Q1052">
        <v>0</v>
      </c>
      <c r="R1052">
        <v>0</v>
      </c>
      <c r="S1052">
        <v>4</v>
      </c>
      <c r="T1052">
        <v>2040</v>
      </c>
    </row>
    <row r="1053" spans="1:20">
      <c r="A1053" t="s">
        <v>1386</v>
      </c>
      <c r="B1053" s="1">
        <v>45577</v>
      </c>
      <c r="C1053">
        <v>41</v>
      </c>
      <c r="D1053">
        <v>10</v>
      </c>
      <c r="E1053" t="s">
        <v>1319</v>
      </c>
      <c r="F1053" t="s">
        <v>369</v>
      </c>
      <c r="G1053" t="s">
        <v>221</v>
      </c>
      <c r="H1053">
        <v>3</v>
      </c>
      <c r="I1053">
        <v>700</v>
      </c>
      <c r="J1053">
        <v>0</v>
      </c>
      <c r="K1053" t="s">
        <v>1949</v>
      </c>
      <c r="L1053">
        <v>350</v>
      </c>
      <c r="M1053">
        <v>2100</v>
      </c>
      <c r="N1053">
        <v>1050</v>
      </c>
      <c r="O1053">
        <v>1050</v>
      </c>
      <c r="P1053">
        <v>0.5</v>
      </c>
      <c r="Q1053">
        <v>0</v>
      </c>
      <c r="R1053">
        <v>0</v>
      </c>
      <c r="S1053">
        <v>3</v>
      </c>
      <c r="T1053">
        <v>2100</v>
      </c>
    </row>
    <row r="1054" spans="1:20">
      <c r="A1054" t="s">
        <v>1387</v>
      </c>
      <c r="B1054" s="1">
        <v>45577</v>
      </c>
      <c r="C1054">
        <v>41</v>
      </c>
      <c r="D1054">
        <v>10</v>
      </c>
      <c r="E1054" t="s">
        <v>1319</v>
      </c>
      <c r="F1054" t="s">
        <v>94</v>
      </c>
      <c r="G1054" t="s">
        <v>17</v>
      </c>
      <c r="H1054">
        <v>1</v>
      </c>
      <c r="I1054">
        <v>1428</v>
      </c>
      <c r="J1054">
        <v>15</v>
      </c>
      <c r="K1054" t="s">
        <v>1943</v>
      </c>
      <c r="L1054">
        <v>800</v>
      </c>
      <c r="M1054">
        <v>1428</v>
      </c>
      <c r="N1054">
        <v>800</v>
      </c>
      <c r="O1054">
        <v>628</v>
      </c>
      <c r="P1054">
        <v>0.43977591036414598</v>
      </c>
      <c r="Q1054">
        <v>0</v>
      </c>
      <c r="R1054">
        <v>0</v>
      </c>
      <c r="S1054">
        <v>1</v>
      </c>
      <c r="T1054">
        <v>1428</v>
      </c>
    </row>
    <row r="1055" spans="1:20">
      <c r="A1055" t="s">
        <v>1388</v>
      </c>
      <c r="B1055" s="1">
        <v>45577</v>
      </c>
      <c r="C1055">
        <v>41</v>
      </c>
      <c r="D1055">
        <v>10</v>
      </c>
      <c r="E1055" t="s">
        <v>1319</v>
      </c>
      <c r="F1055" t="s">
        <v>45</v>
      </c>
      <c r="G1055" t="s">
        <v>26</v>
      </c>
      <c r="H1055">
        <v>5</v>
      </c>
      <c r="I1055">
        <v>4050</v>
      </c>
      <c r="J1055">
        <v>10</v>
      </c>
      <c r="K1055" t="s">
        <v>1938</v>
      </c>
      <c r="L1055">
        <v>1800</v>
      </c>
      <c r="M1055">
        <v>20250</v>
      </c>
      <c r="N1055">
        <v>9000</v>
      </c>
      <c r="O1055">
        <v>11250</v>
      </c>
      <c r="P1055">
        <v>0.55555555555555602</v>
      </c>
      <c r="Q1055">
        <v>0</v>
      </c>
      <c r="R1055">
        <v>0</v>
      </c>
      <c r="S1055">
        <v>5</v>
      </c>
      <c r="T1055">
        <v>20250</v>
      </c>
    </row>
    <row r="1056" spans="1:20">
      <c r="A1056" t="s">
        <v>1389</v>
      </c>
      <c r="B1056" s="1">
        <v>45578</v>
      </c>
      <c r="C1056">
        <v>41</v>
      </c>
      <c r="D1056">
        <v>10</v>
      </c>
      <c r="E1056" t="s">
        <v>1319</v>
      </c>
      <c r="F1056" t="s">
        <v>349</v>
      </c>
      <c r="G1056" t="s">
        <v>221</v>
      </c>
      <c r="H1056">
        <v>5</v>
      </c>
      <c r="I1056">
        <v>400</v>
      </c>
      <c r="J1056">
        <v>0</v>
      </c>
      <c r="K1056" t="s">
        <v>1948</v>
      </c>
      <c r="L1056">
        <v>200</v>
      </c>
      <c r="M1056">
        <v>2000</v>
      </c>
      <c r="N1056">
        <v>1000</v>
      </c>
      <c r="O1056">
        <v>1000</v>
      </c>
      <c r="P1056">
        <v>0.5</v>
      </c>
      <c r="Q1056">
        <v>0</v>
      </c>
      <c r="R1056">
        <v>0</v>
      </c>
      <c r="S1056">
        <v>5</v>
      </c>
      <c r="T1056">
        <v>2000</v>
      </c>
    </row>
    <row r="1057" spans="1:20">
      <c r="A1057" t="s">
        <v>1391</v>
      </c>
      <c r="B1057" s="1">
        <v>45578</v>
      </c>
      <c r="C1057">
        <v>41</v>
      </c>
      <c r="D1057">
        <v>10</v>
      </c>
      <c r="E1057" t="s">
        <v>1319</v>
      </c>
      <c r="F1057" t="s">
        <v>369</v>
      </c>
      <c r="G1057" t="s">
        <v>221</v>
      </c>
      <c r="H1057">
        <v>2</v>
      </c>
      <c r="I1057">
        <v>700</v>
      </c>
      <c r="J1057">
        <v>0</v>
      </c>
      <c r="K1057" t="s">
        <v>1949</v>
      </c>
      <c r="L1057">
        <v>350</v>
      </c>
      <c r="M1057">
        <v>1400</v>
      </c>
      <c r="N1057">
        <v>700</v>
      </c>
      <c r="O1057">
        <v>700</v>
      </c>
      <c r="P1057">
        <v>0.5</v>
      </c>
      <c r="Q1057">
        <v>0</v>
      </c>
      <c r="R1057">
        <v>0</v>
      </c>
      <c r="S1057">
        <v>2</v>
      </c>
      <c r="T1057">
        <v>1400</v>
      </c>
    </row>
    <row r="1058" spans="1:20">
      <c r="A1058" t="s">
        <v>1392</v>
      </c>
      <c r="B1058" s="1">
        <v>45578</v>
      </c>
      <c r="C1058">
        <v>41</v>
      </c>
      <c r="D1058">
        <v>10</v>
      </c>
      <c r="E1058" t="s">
        <v>1319</v>
      </c>
      <c r="F1058" t="s">
        <v>45</v>
      </c>
      <c r="G1058" t="s">
        <v>26</v>
      </c>
      <c r="H1058">
        <v>3</v>
      </c>
      <c r="I1058">
        <v>4500</v>
      </c>
      <c r="J1058">
        <v>0</v>
      </c>
      <c r="K1058" t="s">
        <v>1938</v>
      </c>
      <c r="L1058">
        <v>1800</v>
      </c>
      <c r="M1058">
        <v>13500</v>
      </c>
      <c r="N1058">
        <v>5400</v>
      </c>
      <c r="O1058">
        <v>8100</v>
      </c>
      <c r="P1058">
        <v>0.6</v>
      </c>
      <c r="Q1058">
        <v>0</v>
      </c>
      <c r="R1058">
        <v>0</v>
      </c>
      <c r="S1058">
        <v>3</v>
      </c>
      <c r="T1058">
        <v>13500</v>
      </c>
    </row>
    <row r="1059" spans="1:20">
      <c r="A1059" t="s">
        <v>1393</v>
      </c>
      <c r="B1059" s="1">
        <v>45578</v>
      </c>
      <c r="C1059">
        <v>41</v>
      </c>
      <c r="D1059">
        <v>10</v>
      </c>
      <c r="E1059" t="s">
        <v>1319</v>
      </c>
      <c r="F1059" t="s">
        <v>68</v>
      </c>
      <c r="G1059" t="s">
        <v>26</v>
      </c>
      <c r="H1059">
        <v>3</v>
      </c>
      <c r="I1059">
        <v>361</v>
      </c>
      <c r="J1059">
        <v>5</v>
      </c>
      <c r="K1059" t="s">
        <v>1937</v>
      </c>
      <c r="L1059">
        <v>150</v>
      </c>
      <c r="M1059">
        <v>1083</v>
      </c>
      <c r="N1059">
        <v>450</v>
      </c>
      <c r="O1059">
        <v>633</v>
      </c>
      <c r="P1059">
        <v>0.58448753462603897</v>
      </c>
      <c r="Q1059">
        <v>0</v>
      </c>
      <c r="R1059">
        <v>0</v>
      </c>
      <c r="S1059">
        <v>3</v>
      </c>
      <c r="T1059">
        <v>1083</v>
      </c>
    </row>
    <row r="1060" spans="1:20">
      <c r="A1060" t="s">
        <v>1394</v>
      </c>
      <c r="B1060" s="1">
        <v>45578</v>
      </c>
      <c r="C1060">
        <v>41</v>
      </c>
      <c r="D1060">
        <v>10</v>
      </c>
      <c r="E1060" t="s">
        <v>1319</v>
      </c>
      <c r="F1060" t="s">
        <v>51</v>
      </c>
      <c r="G1060" t="s">
        <v>26</v>
      </c>
      <c r="H1060">
        <v>5</v>
      </c>
      <c r="I1060">
        <v>425</v>
      </c>
      <c r="J1060">
        <v>15</v>
      </c>
      <c r="K1060" t="s">
        <v>1936</v>
      </c>
      <c r="L1060">
        <v>200</v>
      </c>
      <c r="M1060">
        <v>2125</v>
      </c>
      <c r="N1060">
        <v>1000</v>
      </c>
      <c r="O1060">
        <v>1125</v>
      </c>
      <c r="P1060">
        <v>0.52941176470588203</v>
      </c>
      <c r="Q1060">
        <v>0</v>
      </c>
      <c r="R1060">
        <v>0</v>
      </c>
      <c r="S1060">
        <v>5</v>
      </c>
      <c r="T1060">
        <v>2125</v>
      </c>
    </row>
    <row r="1061" spans="1:20">
      <c r="A1061" t="s">
        <v>1395</v>
      </c>
      <c r="B1061" s="1">
        <v>45579</v>
      </c>
      <c r="C1061">
        <v>42</v>
      </c>
      <c r="D1061">
        <v>10</v>
      </c>
      <c r="E1061" t="s">
        <v>1319</v>
      </c>
      <c r="F1061" t="s">
        <v>35</v>
      </c>
      <c r="G1061" t="s">
        <v>17</v>
      </c>
      <c r="H1061">
        <v>1</v>
      </c>
      <c r="I1061">
        <v>3150</v>
      </c>
      <c r="J1061">
        <v>0</v>
      </c>
      <c r="K1061" t="s">
        <v>1942</v>
      </c>
      <c r="L1061">
        <v>1500</v>
      </c>
      <c r="M1061">
        <v>3150</v>
      </c>
      <c r="N1061">
        <v>1500</v>
      </c>
      <c r="O1061">
        <v>1650</v>
      </c>
      <c r="P1061">
        <v>0.52380952380952395</v>
      </c>
      <c r="Q1061">
        <v>0</v>
      </c>
      <c r="R1061">
        <v>0</v>
      </c>
      <c r="S1061">
        <v>1</v>
      </c>
      <c r="T1061">
        <v>3150</v>
      </c>
    </row>
    <row r="1062" spans="1:20">
      <c r="A1062" t="s">
        <v>1397</v>
      </c>
      <c r="B1062" s="1">
        <v>45579</v>
      </c>
      <c r="C1062">
        <v>42</v>
      </c>
      <c r="D1062">
        <v>10</v>
      </c>
      <c r="E1062" t="s">
        <v>1319</v>
      </c>
      <c r="F1062" t="s">
        <v>37</v>
      </c>
      <c r="G1062" t="s">
        <v>20</v>
      </c>
      <c r="H1062">
        <v>2</v>
      </c>
      <c r="I1062">
        <v>2340</v>
      </c>
      <c r="J1062">
        <v>0</v>
      </c>
      <c r="K1062" t="s">
        <v>1935</v>
      </c>
      <c r="L1062">
        <v>1300</v>
      </c>
      <c r="M1062">
        <v>4680</v>
      </c>
      <c r="N1062">
        <v>2600</v>
      </c>
      <c r="O1062">
        <v>2080</v>
      </c>
      <c r="P1062">
        <v>0.44444444444444398</v>
      </c>
      <c r="Q1062">
        <v>0</v>
      </c>
      <c r="R1062">
        <v>0</v>
      </c>
      <c r="S1062">
        <v>2</v>
      </c>
      <c r="T1062">
        <v>4680</v>
      </c>
    </row>
    <row r="1063" spans="1:20">
      <c r="A1063" t="s">
        <v>1398</v>
      </c>
      <c r="B1063" s="1">
        <v>45580</v>
      </c>
      <c r="C1063">
        <v>42</v>
      </c>
      <c r="D1063">
        <v>10</v>
      </c>
      <c r="E1063" t="s">
        <v>1319</v>
      </c>
      <c r="F1063" t="s">
        <v>37</v>
      </c>
      <c r="G1063" t="s">
        <v>20</v>
      </c>
      <c r="H1063">
        <v>1</v>
      </c>
      <c r="I1063">
        <v>2223</v>
      </c>
      <c r="J1063">
        <v>5</v>
      </c>
      <c r="K1063" t="s">
        <v>1935</v>
      </c>
      <c r="L1063">
        <v>1300</v>
      </c>
      <c r="M1063">
        <v>2223</v>
      </c>
      <c r="N1063">
        <v>1300</v>
      </c>
      <c r="O1063">
        <v>923</v>
      </c>
      <c r="P1063">
        <v>0.41520467836257302</v>
      </c>
      <c r="Q1063">
        <v>0</v>
      </c>
      <c r="R1063">
        <v>0</v>
      </c>
      <c r="S1063">
        <v>1</v>
      </c>
      <c r="T1063">
        <v>2223</v>
      </c>
    </row>
    <row r="1064" spans="1:20">
      <c r="A1064" t="s">
        <v>1400</v>
      </c>
      <c r="B1064" s="1">
        <v>45580</v>
      </c>
      <c r="C1064">
        <v>42</v>
      </c>
      <c r="D1064">
        <v>10</v>
      </c>
      <c r="E1064" t="s">
        <v>1319</v>
      </c>
      <c r="F1064" t="s">
        <v>35</v>
      </c>
      <c r="G1064" t="s">
        <v>17</v>
      </c>
      <c r="H1064">
        <v>1</v>
      </c>
      <c r="I1064">
        <v>2835</v>
      </c>
      <c r="J1064">
        <v>10</v>
      </c>
      <c r="K1064" t="s">
        <v>1942</v>
      </c>
      <c r="L1064">
        <v>1500</v>
      </c>
      <c r="M1064">
        <v>2835</v>
      </c>
      <c r="N1064">
        <v>1500</v>
      </c>
      <c r="O1064">
        <v>1335</v>
      </c>
      <c r="P1064">
        <v>0.47089947089947098</v>
      </c>
      <c r="Q1064">
        <v>0</v>
      </c>
      <c r="R1064">
        <v>0</v>
      </c>
      <c r="S1064">
        <v>1</v>
      </c>
      <c r="T1064">
        <v>2835</v>
      </c>
    </row>
    <row r="1065" spans="1:20">
      <c r="A1065" t="s">
        <v>1401</v>
      </c>
      <c r="B1065" s="1">
        <v>45580</v>
      </c>
      <c r="C1065">
        <v>42</v>
      </c>
      <c r="D1065">
        <v>10</v>
      </c>
      <c r="E1065" t="s">
        <v>1319</v>
      </c>
      <c r="F1065" t="s">
        <v>82</v>
      </c>
      <c r="G1065" t="s">
        <v>20</v>
      </c>
      <c r="H1065">
        <v>4</v>
      </c>
      <c r="I1065">
        <v>765</v>
      </c>
      <c r="J1065">
        <v>15</v>
      </c>
      <c r="K1065" t="s">
        <v>1933</v>
      </c>
      <c r="L1065">
        <v>500</v>
      </c>
      <c r="M1065">
        <v>3060</v>
      </c>
      <c r="N1065">
        <v>2000</v>
      </c>
      <c r="O1065">
        <v>1060</v>
      </c>
      <c r="P1065">
        <v>0.34640522875816998</v>
      </c>
      <c r="Q1065">
        <v>3</v>
      </c>
      <c r="R1065">
        <v>3</v>
      </c>
      <c r="S1065">
        <v>1</v>
      </c>
      <c r="T1065">
        <v>765</v>
      </c>
    </row>
    <row r="1066" spans="1:20">
      <c r="A1066" t="s">
        <v>1402</v>
      </c>
      <c r="B1066" s="1">
        <v>45580</v>
      </c>
      <c r="C1066">
        <v>42</v>
      </c>
      <c r="D1066">
        <v>10</v>
      </c>
      <c r="E1066" t="s">
        <v>1319</v>
      </c>
      <c r="F1066" t="s">
        <v>31</v>
      </c>
      <c r="G1066" t="s">
        <v>23</v>
      </c>
      <c r="H1066">
        <v>1</v>
      </c>
      <c r="I1066">
        <v>1260</v>
      </c>
      <c r="J1066">
        <v>10</v>
      </c>
      <c r="K1066" t="s">
        <v>1930</v>
      </c>
      <c r="L1066">
        <v>700</v>
      </c>
      <c r="M1066">
        <v>1260</v>
      </c>
      <c r="N1066">
        <v>700</v>
      </c>
      <c r="O1066">
        <v>560</v>
      </c>
      <c r="P1066">
        <v>0.44444444444444398</v>
      </c>
      <c r="Q1066">
        <v>0</v>
      </c>
      <c r="R1066">
        <v>0</v>
      </c>
      <c r="S1066">
        <v>1</v>
      </c>
      <c r="T1066">
        <v>1260</v>
      </c>
    </row>
    <row r="1067" spans="1:20">
      <c r="A1067" t="s">
        <v>1403</v>
      </c>
      <c r="B1067" s="1">
        <v>45580</v>
      </c>
      <c r="C1067">
        <v>42</v>
      </c>
      <c r="D1067">
        <v>10</v>
      </c>
      <c r="E1067" t="s">
        <v>1319</v>
      </c>
      <c r="F1067" t="s">
        <v>115</v>
      </c>
      <c r="G1067" t="s">
        <v>23</v>
      </c>
      <c r="H1067">
        <v>3</v>
      </c>
      <c r="I1067">
        <v>1080</v>
      </c>
      <c r="J1067">
        <v>10</v>
      </c>
      <c r="K1067" t="s">
        <v>1926</v>
      </c>
      <c r="L1067">
        <v>600</v>
      </c>
      <c r="M1067">
        <v>3240</v>
      </c>
      <c r="N1067">
        <v>1800</v>
      </c>
      <c r="O1067">
        <v>1440</v>
      </c>
      <c r="P1067">
        <v>0.44444444444444398</v>
      </c>
      <c r="Q1067">
        <v>0</v>
      </c>
      <c r="R1067">
        <v>0</v>
      </c>
      <c r="S1067">
        <v>3</v>
      </c>
      <c r="T1067">
        <v>3240</v>
      </c>
    </row>
    <row r="1068" spans="1:20">
      <c r="A1068" t="s">
        <v>1404</v>
      </c>
      <c r="B1068" s="1">
        <v>45580</v>
      </c>
      <c r="C1068">
        <v>42</v>
      </c>
      <c r="D1068">
        <v>10</v>
      </c>
      <c r="E1068" t="s">
        <v>1319</v>
      </c>
      <c r="F1068" t="s">
        <v>19</v>
      </c>
      <c r="G1068" t="s">
        <v>20</v>
      </c>
      <c r="H1068">
        <v>4</v>
      </c>
      <c r="I1068">
        <v>1620</v>
      </c>
      <c r="J1068">
        <v>0</v>
      </c>
      <c r="K1068" t="s">
        <v>1931</v>
      </c>
      <c r="L1068">
        <v>900</v>
      </c>
      <c r="M1068">
        <v>6480</v>
      </c>
      <c r="N1068">
        <v>3600</v>
      </c>
      <c r="O1068">
        <v>2880</v>
      </c>
      <c r="P1068">
        <v>0.44444444444444398</v>
      </c>
      <c r="Q1068">
        <v>2</v>
      </c>
      <c r="R1068">
        <v>2</v>
      </c>
      <c r="S1068">
        <v>2</v>
      </c>
      <c r="T1068">
        <v>3240</v>
      </c>
    </row>
    <row r="1069" spans="1:20">
      <c r="A1069" t="s">
        <v>1405</v>
      </c>
      <c r="B1069" s="1">
        <v>45580</v>
      </c>
      <c r="C1069">
        <v>42</v>
      </c>
      <c r="D1069">
        <v>10</v>
      </c>
      <c r="E1069" t="s">
        <v>1319</v>
      </c>
      <c r="F1069" t="s">
        <v>64</v>
      </c>
      <c r="G1069" t="s">
        <v>14</v>
      </c>
      <c r="H1069">
        <v>4</v>
      </c>
      <c r="I1069">
        <v>2640</v>
      </c>
      <c r="J1069">
        <v>0</v>
      </c>
      <c r="K1069" t="s">
        <v>1923</v>
      </c>
      <c r="L1069">
        <v>1200</v>
      </c>
      <c r="M1069">
        <v>10560</v>
      </c>
      <c r="N1069">
        <v>4800</v>
      </c>
      <c r="O1069">
        <v>5760</v>
      </c>
      <c r="P1069">
        <v>0.54545454545454497</v>
      </c>
      <c r="Q1069">
        <v>0</v>
      </c>
      <c r="R1069">
        <v>0</v>
      </c>
      <c r="S1069">
        <v>4</v>
      </c>
      <c r="T1069">
        <v>10560</v>
      </c>
    </row>
    <row r="1070" spans="1:20">
      <c r="A1070" t="s">
        <v>1406</v>
      </c>
      <c r="B1070" s="1">
        <v>45580</v>
      </c>
      <c r="C1070">
        <v>42</v>
      </c>
      <c r="D1070">
        <v>10</v>
      </c>
      <c r="E1070" t="s">
        <v>1319</v>
      </c>
      <c r="F1070" t="s">
        <v>146</v>
      </c>
      <c r="G1070" t="s">
        <v>20</v>
      </c>
      <c r="H1070">
        <v>5</v>
      </c>
      <c r="I1070">
        <v>598.5</v>
      </c>
      <c r="J1070">
        <v>5</v>
      </c>
      <c r="K1070" t="s">
        <v>1934</v>
      </c>
      <c r="L1070">
        <v>350</v>
      </c>
      <c r="M1070">
        <v>2992.5</v>
      </c>
      <c r="N1070">
        <v>1750</v>
      </c>
      <c r="O1070">
        <v>1242.5</v>
      </c>
      <c r="P1070">
        <v>0.41520467836257302</v>
      </c>
      <c r="Q1070">
        <v>0</v>
      </c>
      <c r="R1070">
        <v>0</v>
      </c>
      <c r="S1070">
        <v>5</v>
      </c>
      <c r="T1070">
        <v>2992.5</v>
      </c>
    </row>
    <row r="1071" spans="1:20">
      <c r="A1071" t="s">
        <v>1407</v>
      </c>
      <c r="B1071" s="1">
        <v>45580</v>
      </c>
      <c r="C1071">
        <v>42</v>
      </c>
      <c r="D1071">
        <v>10</v>
      </c>
      <c r="E1071" t="s">
        <v>1319</v>
      </c>
      <c r="F1071" t="s">
        <v>80</v>
      </c>
      <c r="G1071" t="s">
        <v>14</v>
      </c>
      <c r="H1071">
        <v>4</v>
      </c>
      <c r="I1071">
        <v>380</v>
      </c>
      <c r="J1071">
        <v>5</v>
      </c>
      <c r="K1071" t="s">
        <v>1922</v>
      </c>
      <c r="L1071">
        <v>180</v>
      </c>
      <c r="M1071">
        <v>1520</v>
      </c>
      <c r="N1071">
        <v>720</v>
      </c>
      <c r="O1071">
        <v>800</v>
      </c>
      <c r="P1071">
        <v>0.52631578947368396</v>
      </c>
      <c r="Q1071">
        <v>0</v>
      </c>
      <c r="R1071">
        <v>0</v>
      </c>
      <c r="S1071">
        <v>4</v>
      </c>
      <c r="T1071">
        <v>1520</v>
      </c>
    </row>
    <row r="1072" spans="1:20">
      <c r="A1072" t="s">
        <v>1408</v>
      </c>
      <c r="B1072" s="1">
        <v>45580</v>
      </c>
      <c r="C1072">
        <v>42</v>
      </c>
      <c r="D1072">
        <v>10</v>
      </c>
      <c r="E1072" t="s">
        <v>1319</v>
      </c>
      <c r="F1072" t="s">
        <v>39</v>
      </c>
      <c r="G1072" t="s">
        <v>14</v>
      </c>
      <c r="H1072">
        <v>3</v>
      </c>
      <c r="I1072">
        <v>748</v>
      </c>
      <c r="J1072">
        <v>15</v>
      </c>
      <c r="K1072" t="s">
        <v>1921</v>
      </c>
      <c r="L1072">
        <v>400</v>
      </c>
      <c r="M1072">
        <v>2244</v>
      </c>
      <c r="N1072">
        <v>1200</v>
      </c>
      <c r="O1072">
        <v>1044</v>
      </c>
      <c r="P1072">
        <v>0.46524064171122997</v>
      </c>
      <c r="Q1072">
        <v>0</v>
      </c>
      <c r="R1072">
        <v>0</v>
      </c>
      <c r="S1072">
        <v>3</v>
      </c>
      <c r="T1072">
        <v>2244</v>
      </c>
    </row>
    <row r="1073" spans="1:20">
      <c r="A1073" t="s">
        <v>1409</v>
      </c>
      <c r="B1073" s="1">
        <v>45581</v>
      </c>
      <c r="C1073">
        <v>42</v>
      </c>
      <c r="D1073">
        <v>10</v>
      </c>
      <c r="E1073" t="s">
        <v>1319</v>
      </c>
      <c r="F1073" t="s">
        <v>86</v>
      </c>
      <c r="G1073" t="s">
        <v>17</v>
      </c>
      <c r="H1073">
        <v>3</v>
      </c>
      <c r="I1073">
        <v>846</v>
      </c>
      <c r="J1073">
        <v>10</v>
      </c>
      <c r="K1073" t="s">
        <v>1944</v>
      </c>
      <c r="L1073">
        <v>450</v>
      </c>
      <c r="M1073">
        <v>2538</v>
      </c>
      <c r="N1073">
        <v>1350</v>
      </c>
      <c r="O1073">
        <v>1188</v>
      </c>
      <c r="P1073">
        <v>0.46808510638297901</v>
      </c>
      <c r="Q1073">
        <v>0</v>
      </c>
      <c r="R1073">
        <v>0</v>
      </c>
      <c r="S1073">
        <v>3</v>
      </c>
      <c r="T1073">
        <v>2538</v>
      </c>
    </row>
    <row r="1074" spans="1:20">
      <c r="A1074" t="s">
        <v>1411</v>
      </c>
      <c r="B1074" s="1">
        <v>45581</v>
      </c>
      <c r="C1074">
        <v>42</v>
      </c>
      <c r="D1074">
        <v>10</v>
      </c>
      <c r="E1074" t="s">
        <v>1319</v>
      </c>
      <c r="F1074" t="s">
        <v>28</v>
      </c>
      <c r="G1074" t="s">
        <v>26</v>
      </c>
      <c r="H1074">
        <v>4</v>
      </c>
      <c r="I1074">
        <v>1500</v>
      </c>
      <c r="J1074">
        <v>0</v>
      </c>
      <c r="K1074" t="s">
        <v>1939</v>
      </c>
      <c r="L1074">
        <v>600</v>
      </c>
      <c r="M1074">
        <v>6000</v>
      </c>
      <c r="N1074">
        <v>2400</v>
      </c>
      <c r="O1074">
        <v>3600</v>
      </c>
      <c r="P1074">
        <v>0.6</v>
      </c>
      <c r="Q1074">
        <v>0</v>
      </c>
      <c r="R1074">
        <v>0</v>
      </c>
      <c r="S1074">
        <v>4</v>
      </c>
      <c r="T1074">
        <v>6000</v>
      </c>
    </row>
    <row r="1075" spans="1:20">
      <c r="A1075" t="s">
        <v>1412</v>
      </c>
      <c r="B1075" s="1">
        <v>45581</v>
      </c>
      <c r="C1075">
        <v>42</v>
      </c>
      <c r="D1075">
        <v>10</v>
      </c>
      <c r="E1075" t="s">
        <v>1319</v>
      </c>
      <c r="F1075" t="s">
        <v>66</v>
      </c>
      <c r="G1075" t="s">
        <v>17</v>
      </c>
      <c r="H1075">
        <v>3</v>
      </c>
      <c r="I1075">
        <v>1396.5</v>
      </c>
      <c r="J1075">
        <v>5</v>
      </c>
      <c r="K1075" t="s">
        <v>1941</v>
      </c>
      <c r="L1075">
        <v>700</v>
      </c>
      <c r="M1075">
        <v>4189.5</v>
      </c>
      <c r="N1075">
        <v>2100</v>
      </c>
      <c r="O1075">
        <v>2089.5</v>
      </c>
      <c r="P1075">
        <v>0.49874686716791999</v>
      </c>
      <c r="Q1075">
        <v>0</v>
      </c>
      <c r="R1075">
        <v>0</v>
      </c>
      <c r="S1075">
        <v>3</v>
      </c>
      <c r="T1075">
        <v>4189.5</v>
      </c>
    </row>
    <row r="1076" spans="1:20">
      <c r="A1076" t="s">
        <v>1413</v>
      </c>
      <c r="B1076" s="1">
        <v>45581</v>
      </c>
      <c r="C1076">
        <v>42</v>
      </c>
      <c r="D1076">
        <v>10</v>
      </c>
      <c r="E1076" t="s">
        <v>1319</v>
      </c>
      <c r="F1076" t="s">
        <v>115</v>
      </c>
      <c r="G1076" t="s">
        <v>23</v>
      </c>
      <c r="H1076">
        <v>2</v>
      </c>
      <c r="I1076">
        <v>1140</v>
      </c>
      <c r="J1076">
        <v>5</v>
      </c>
      <c r="K1076" t="s">
        <v>1926</v>
      </c>
      <c r="L1076">
        <v>600</v>
      </c>
      <c r="M1076">
        <v>2280</v>
      </c>
      <c r="N1076">
        <v>1200</v>
      </c>
      <c r="O1076">
        <v>1080</v>
      </c>
      <c r="P1076">
        <v>0.47368421052631599</v>
      </c>
      <c r="Q1076">
        <v>0</v>
      </c>
      <c r="R1076">
        <v>0</v>
      </c>
      <c r="S1076">
        <v>2</v>
      </c>
      <c r="T1076">
        <v>2280</v>
      </c>
    </row>
    <row r="1077" spans="1:20">
      <c r="A1077" t="s">
        <v>1414</v>
      </c>
      <c r="B1077" s="1">
        <v>45582</v>
      </c>
      <c r="C1077">
        <v>42</v>
      </c>
      <c r="D1077">
        <v>10</v>
      </c>
      <c r="E1077" t="s">
        <v>1319</v>
      </c>
      <c r="F1077" t="s">
        <v>364</v>
      </c>
      <c r="G1077" t="s">
        <v>221</v>
      </c>
      <c r="H1077">
        <v>1</v>
      </c>
      <c r="I1077">
        <v>960</v>
      </c>
      <c r="J1077">
        <v>0</v>
      </c>
      <c r="K1077" t="s">
        <v>1946</v>
      </c>
      <c r="L1077">
        <v>480</v>
      </c>
      <c r="M1077">
        <v>960</v>
      </c>
      <c r="N1077">
        <v>480</v>
      </c>
      <c r="O1077">
        <v>480</v>
      </c>
      <c r="P1077">
        <v>0.5</v>
      </c>
      <c r="Q1077">
        <v>0</v>
      </c>
      <c r="R1077">
        <v>0</v>
      </c>
      <c r="S1077">
        <v>1</v>
      </c>
      <c r="T1077">
        <v>960</v>
      </c>
    </row>
    <row r="1078" spans="1:20">
      <c r="A1078" t="s">
        <v>1416</v>
      </c>
      <c r="B1078" s="1">
        <v>45582</v>
      </c>
      <c r="C1078">
        <v>42</v>
      </c>
      <c r="D1078">
        <v>10</v>
      </c>
      <c r="E1078" t="s">
        <v>1319</v>
      </c>
      <c r="F1078" t="s">
        <v>66</v>
      </c>
      <c r="G1078" t="s">
        <v>17</v>
      </c>
      <c r="H1078">
        <v>2</v>
      </c>
      <c r="I1078">
        <v>1470</v>
      </c>
      <c r="J1078">
        <v>0</v>
      </c>
      <c r="K1078" t="s">
        <v>1941</v>
      </c>
      <c r="L1078">
        <v>700</v>
      </c>
      <c r="M1078">
        <v>2940</v>
      </c>
      <c r="N1078">
        <v>1400</v>
      </c>
      <c r="O1078">
        <v>1540</v>
      </c>
      <c r="P1078">
        <v>0.52380952380952395</v>
      </c>
      <c r="Q1078">
        <v>0</v>
      </c>
      <c r="R1078">
        <v>0</v>
      </c>
      <c r="S1078">
        <v>2</v>
      </c>
      <c r="T1078">
        <v>2940</v>
      </c>
    </row>
    <row r="1079" spans="1:20">
      <c r="A1079" t="s">
        <v>1417</v>
      </c>
      <c r="B1079" s="1">
        <v>45582</v>
      </c>
      <c r="C1079">
        <v>42</v>
      </c>
      <c r="D1079">
        <v>10</v>
      </c>
      <c r="E1079" t="s">
        <v>1319</v>
      </c>
      <c r="F1079" t="s">
        <v>94</v>
      </c>
      <c r="G1079" t="s">
        <v>17</v>
      </c>
      <c r="H1079">
        <v>1</v>
      </c>
      <c r="I1079">
        <v>1512</v>
      </c>
      <c r="J1079">
        <v>10</v>
      </c>
      <c r="K1079" t="s">
        <v>1943</v>
      </c>
      <c r="L1079">
        <v>800</v>
      </c>
      <c r="M1079">
        <v>1512</v>
      </c>
      <c r="N1079">
        <v>800</v>
      </c>
      <c r="O1079">
        <v>712</v>
      </c>
      <c r="P1079">
        <v>0.47089947089947098</v>
      </c>
      <c r="Q1079">
        <v>0</v>
      </c>
      <c r="R1079">
        <v>0</v>
      </c>
      <c r="S1079">
        <v>1</v>
      </c>
      <c r="T1079">
        <v>1512</v>
      </c>
    </row>
    <row r="1080" spans="1:20">
      <c r="A1080" t="s">
        <v>1418</v>
      </c>
      <c r="B1080" s="1">
        <v>45582</v>
      </c>
      <c r="C1080">
        <v>42</v>
      </c>
      <c r="D1080">
        <v>10</v>
      </c>
      <c r="E1080" t="s">
        <v>1319</v>
      </c>
      <c r="F1080" t="s">
        <v>146</v>
      </c>
      <c r="G1080" t="s">
        <v>20</v>
      </c>
      <c r="H1080">
        <v>3</v>
      </c>
      <c r="I1080">
        <v>567</v>
      </c>
      <c r="J1080">
        <v>10</v>
      </c>
      <c r="K1080" t="s">
        <v>1934</v>
      </c>
      <c r="L1080">
        <v>350</v>
      </c>
      <c r="M1080">
        <v>1701</v>
      </c>
      <c r="N1080">
        <v>1050</v>
      </c>
      <c r="O1080">
        <v>651</v>
      </c>
      <c r="P1080">
        <v>0.38271604938271597</v>
      </c>
      <c r="Q1080">
        <v>0</v>
      </c>
      <c r="R1080">
        <v>0</v>
      </c>
      <c r="S1080">
        <v>3</v>
      </c>
      <c r="T1080">
        <v>1701</v>
      </c>
    </row>
    <row r="1081" spans="1:20">
      <c r="A1081" t="s">
        <v>1419</v>
      </c>
      <c r="B1081" s="1">
        <v>45582</v>
      </c>
      <c r="C1081">
        <v>42</v>
      </c>
      <c r="D1081">
        <v>10</v>
      </c>
      <c r="E1081" t="s">
        <v>1319</v>
      </c>
      <c r="F1081" t="s">
        <v>58</v>
      </c>
      <c r="G1081" t="s">
        <v>23</v>
      </c>
      <c r="H1081">
        <v>2</v>
      </c>
      <c r="I1081">
        <v>900</v>
      </c>
      <c r="J1081">
        <v>10</v>
      </c>
      <c r="K1081" t="s">
        <v>1927</v>
      </c>
      <c r="L1081">
        <v>500</v>
      </c>
      <c r="M1081">
        <v>1800</v>
      </c>
      <c r="N1081">
        <v>1000</v>
      </c>
      <c r="O1081">
        <v>800</v>
      </c>
      <c r="P1081">
        <v>0.44444444444444398</v>
      </c>
      <c r="Q1081">
        <v>0</v>
      </c>
      <c r="R1081">
        <v>0</v>
      </c>
      <c r="S1081">
        <v>2</v>
      </c>
      <c r="T1081">
        <v>1800</v>
      </c>
    </row>
    <row r="1082" spans="1:20">
      <c r="A1082" t="s">
        <v>1420</v>
      </c>
      <c r="B1082" s="1">
        <v>45582</v>
      </c>
      <c r="C1082">
        <v>42</v>
      </c>
      <c r="D1082">
        <v>10</v>
      </c>
      <c r="E1082" t="s">
        <v>1319</v>
      </c>
      <c r="F1082" t="s">
        <v>119</v>
      </c>
      <c r="G1082" t="s">
        <v>14</v>
      </c>
      <c r="H1082">
        <v>5</v>
      </c>
      <c r="I1082">
        <v>654.5</v>
      </c>
      <c r="J1082">
        <v>15</v>
      </c>
      <c r="K1082" t="s">
        <v>1920</v>
      </c>
      <c r="L1082">
        <v>350</v>
      </c>
      <c r="M1082">
        <v>3272.5</v>
      </c>
      <c r="N1082">
        <v>1750</v>
      </c>
      <c r="O1082">
        <v>1522.5</v>
      </c>
      <c r="P1082">
        <v>0.46524064171122997</v>
      </c>
      <c r="Q1082">
        <v>4</v>
      </c>
      <c r="R1082">
        <v>4</v>
      </c>
      <c r="S1082">
        <v>1</v>
      </c>
      <c r="T1082">
        <v>654.5</v>
      </c>
    </row>
    <row r="1083" spans="1:20">
      <c r="A1083" t="s">
        <v>1421</v>
      </c>
      <c r="B1083" s="1">
        <v>45582</v>
      </c>
      <c r="C1083">
        <v>42</v>
      </c>
      <c r="D1083">
        <v>10</v>
      </c>
      <c r="E1083" t="s">
        <v>1319</v>
      </c>
      <c r="F1083" t="s">
        <v>187</v>
      </c>
      <c r="G1083" t="s">
        <v>14</v>
      </c>
      <c r="H1083">
        <v>1</v>
      </c>
      <c r="I1083">
        <v>4180</v>
      </c>
      <c r="J1083">
        <v>5</v>
      </c>
      <c r="K1083" t="s">
        <v>1924</v>
      </c>
      <c r="L1083">
        <v>2000</v>
      </c>
      <c r="M1083">
        <v>4180</v>
      </c>
      <c r="N1083">
        <v>2000</v>
      </c>
      <c r="O1083">
        <v>2180</v>
      </c>
      <c r="P1083">
        <v>0.52153110047846896</v>
      </c>
      <c r="Q1083">
        <v>0</v>
      </c>
      <c r="R1083">
        <v>0</v>
      </c>
      <c r="S1083">
        <v>1</v>
      </c>
      <c r="T1083">
        <v>4180</v>
      </c>
    </row>
    <row r="1084" spans="1:20">
      <c r="A1084" t="s">
        <v>1422</v>
      </c>
      <c r="B1084" s="1">
        <v>45582</v>
      </c>
      <c r="C1084">
        <v>42</v>
      </c>
      <c r="D1084">
        <v>10</v>
      </c>
      <c r="E1084" t="s">
        <v>1319</v>
      </c>
      <c r="F1084" t="s">
        <v>58</v>
      </c>
      <c r="G1084" t="s">
        <v>23</v>
      </c>
      <c r="H1084">
        <v>4</v>
      </c>
      <c r="I1084">
        <v>900</v>
      </c>
      <c r="J1084">
        <v>10</v>
      </c>
      <c r="K1084" t="s">
        <v>1927</v>
      </c>
      <c r="L1084">
        <v>500</v>
      </c>
      <c r="M1084">
        <v>3600</v>
      </c>
      <c r="N1084">
        <v>2000</v>
      </c>
      <c r="O1084">
        <v>1600</v>
      </c>
      <c r="P1084">
        <v>0.44444444444444398</v>
      </c>
      <c r="Q1084">
        <v>0</v>
      </c>
      <c r="R1084">
        <v>0</v>
      </c>
      <c r="S1084">
        <v>4</v>
      </c>
      <c r="T1084">
        <v>3600</v>
      </c>
    </row>
    <row r="1085" spans="1:20">
      <c r="A1085" t="s">
        <v>1423</v>
      </c>
      <c r="B1085" s="1">
        <v>45583</v>
      </c>
      <c r="C1085">
        <v>42</v>
      </c>
      <c r="D1085">
        <v>10</v>
      </c>
      <c r="E1085" t="s">
        <v>1319</v>
      </c>
      <c r="F1085" t="s">
        <v>37</v>
      </c>
      <c r="G1085" t="s">
        <v>20</v>
      </c>
      <c r="H1085">
        <v>2</v>
      </c>
      <c r="I1085">
        <v>1989</v>
      </c>
      <c r="J1085">
        <v>15</v>
      </c>
      <c r="K1085" t="s">
        <v>1935</v>
      </c>
      <c r="L1085">
        <v>1300</v>
      </c>
      <c r="M1085">
        <v>3978</v>
      </c>
      <c r="N1085">
        <v>2600</v>
      </c>
      <c r="O1085">
        <v>1378</v>
      </c>
      <c r="P1085">
        <v>0.34640522875816998</v>
      </c>
      <c r="Q1085">
        <v>0</v>
      </c>
      <c r="R1085">
        <v>0</v>
      </c>
      <c r="S1085">
        <v>2</v>
      </c>
      <c r="T1085">
        <v>3978</v>
      </c>
    </row>
    <row r="1086" spans="1:20">
      <c r="A1086" t="s">
        <v>1425</v>
      </c>
      <c r="B1086" s="1">
        <v>45583</v>
      </c>
      <c r="C1086">
        <v>42</v>
      </c>
      <c r="D1086">
        <v>10</v>
      </c>
      <c r="E1086" t="s">
        <v>1319</v>
      </c>
      <c r="F1086" t="s">
        <v>25</v>
      </c>
      <c r="G1086" t="s">
        <v>26</v>
      </c>
      <c r="H1086">
        <v>4</v>
      </c>
      <c r="I1086">
        <v>850</v>
      </c>
      <c r="J1086">
        <v>15</v>
      </c>
      <c r="K1086" t="s">
        <v>1940</v>
      </c>
      <c r="L1086">
        <v>400</v>
      </c>
      <c r="M1086">
        <v>3400</v>
      </c>
      <c r="N1086">
        <v>1600</v>
      </c>
      <c r="O1086">
        <v>1800</v>
      </c>
      <c r="P1086">
        <v>0.52941176470588203</v>
      </c>
      <c r="Q1086">
        <v>2</v>
      </c>
      <c r="R1086">
        <v>2</v>
      </c>
      <c r="S1086">
        <v>2</v>
      </c>
      <c r="T1086">
        <v>1700</v>
      </c>
    </row>
    <row r="1087" spans="1:20">
      <c r="A1087" t="s">
        <v>1426</v>
      </c>
      <c r="B1087" s="1">
        <v>45583</v>
      </c>
      <c r="C1087">
        <v>42</v>
      </c>
      <c r="D1087">
        <v>10</v>
      </c>
      <c r="E1087" t="s">
        <v>1319</v>
      </c>
      <c r="F1087" t="s">
        <v>39</v>
      </c>
      <c r="G1087" t="s">
        <v>14</v>
      </c>
      <c r="H1087">
        <v>4</v>
      </c>
      <c r="I1087">
        <v>880</v>
      </c>
      <c r="J1087">
        <v>0</v>
      </c>
      <c r="K1087" t="s">
        <v>1921</v>
      </c>
      <c r="L1087">
        <v>400</v>
      </c>
      <c r="M1087">
        <v>3520</v>
      </c>
      <c r="N1087">
        <v>1600</v>
      </c>
      <c r="O1087">
        <v>1920</v>
      </c>
      <c r="P1087">
        <v>0.54545454545454497</v>
      </c>
      <c r="Q1087">
        <v>1</v>
      </c>
      <c r="R1087">
        <v>1</v>
      </c>
      <c r="S1087">
        <v>3</v>
      </c>
      <c r="T1087">
        <v>2640</v>
      </c>
    </row>
    <row r="1088" spans="1:20">
      <c r="A1088" t="s">
        <v>1427</v>
      </c>
      <c r="B1088" s="1">
        <v>45584</v>
      </c>
      <c r="C1088">
        <v>42</v>
      </c>
      <c r="D1088">
        <v>10</v>
      </c>
      <c r="E1088" t="s">
        <v>1319</v>
      </c>
      <c r="F1088" t="s">
        <v>64</v>
      </c>
      <c r="G1088" t="s">
        <v>14</v>
      </c>
      <c r="H1088">
        <v>4</v>
      </c>
      <c r="I1088">
        <v>2640</v>
      </c>
      <c r="J1088">
        <v>0</v>
      </c>
      <c r="K1088" t="s">
        <v>1923</v>
      </c>
      <c r="L1088">
        <v>1200</v>
      </c>
      <c r="M1088">
        <v>10560</v>
      </c>
      <c r="N1088">
        <v>4800</v>
      </c>
      <c r="O1088">
        <v>5760</v>
      </c>
      <c r="P1088">
        <v>0.54545454545454497</v>
      </c>
      <c r="Q1088">
        <v>0</v>
      </c>
      <c r="R1088">
        <v>0</v>
      </c>
      <c r="S1088">
        <v>4</v>
      </c>
      <c r="T1088">
        <v>10560</v>
      </c>
    </row>
    <row r="1089" spans="1:20">
      <c r="A1089" t="s">
        <v>1429</v>
      </c>
      <c r="B1089" s="1">
        <v>45584</v>
      </c>
      <c r="C1089">
        <v>42</v>
      </c>
      <c r="D1089">
        <v>10</v>
      </c>
      <c r="E1089" t="s">
        <v>1319</v>
      </c>
      <c r="F1089" t="s">
        <v>119</v>
      </c>
      <c r="G1089" t="s">
        <v>14</v>
      </c>
      <c r="H1089">
        <v>4</v>
      </c>
      <c r="I1089">
        <v>731.5</v>
      </c>
      <c r="J1089">
        <v>5</v>
      </c>
      <c r="K1089" t="s">
        <v>1920</v>
      </c>
      <c r="L1089">
        <v>350</v>
      </c>
      <c r="M1089">
        <v>2926</v>
      </c>
      <c r="N1089">
        <v>1400</v>
      </c>
      <c r="O1089">
        <v>1526</v>
      </c>
      <c r="P1089">
        <v>0.52153110047846896</v>
      </c>
      <c r="Q1089">
        <v>0</v>
      </c>
      <c r="R1089">
        <v>0</v>
      </c>
      <c r="S1089">
        <v>4</v>
      </c>
      <c r="T1089">
        <v>2926</v>
      </c>
    </row>
    <row r="1090" spans="1:20">
      <c r="A1090" t="s">
        <v>1430</v>
      </c>
      <c r="B1090" s="1">
        <v>45584</v>
      </c>
      <c r="C1090">
        <v>42</v>
      </c>
      <c r="D1090">
        <v>10</v>
      </c>
      <c r="E1090" t="s">
        <v>1319</v>
      </c>
      <c r="F1090" t="s">
        <v>146</v>
      </c>
      <c r="G1090" t="s">
        <v>20</v>
      </c>
      <c r="H1090">
        <v>5</v>
      </c>
      <c r="I1090">
        <v>598.5</v>
      </c>
      <c r="J1090">
        <v>5</v>
      </c>
      <c r="K1090" t="s">
        <v>1934</v>
      </c>
      <c r="L1090">
        <v>350</v>
      </c>
      <c r="M1090">
        <v>2992.5</v>
      </c>
      <c r="N1090">
        <v>1750</v>
      </c>
      <c r="O1090">
        <v>1242.5</v>
      </c>
      <c r="P1090">
        <v>0.41520467836257302</v>
      </c>
      <c r="Q1090">
        <v>0</v>
      </c>
      <c r="R1090">
        <v>0</v>
      </c>
      <c r="S1090">
        <v>5</v>
      </c>
      <c r="T1090">
        <v>2992.5</v>
      </c>
    </row>
    <row r="1091" spans="1:20">
      <c r="A1091" t="s">
        <v>1431</v>
      </c>
      <c r="B1091" s="1">
        <v>45584</v>
      </c>
      <c r="C1091">
        <v>42</v>
      </c>
      <c r="D1091">
        <v>10</v>
      </c>
      <c r="E1091" t="s">
        <v>1319</v>
      </c>
      <c r="F1091" t="s">
        <v>64</v>
      </c>
      <c r="G1091" t="s">
        <v>14</v>
      </c>
      <c r="H1091">
        <v>4</v>
      </c>
      <c r="I1091">
        <v>2508</v>
      </c>
      <c r="J1091">
        <v>5</v>
      </c>
      <c r="K1091" t="s">
        <v>1923</v>
      </c>
      <c r="L1091">
        <v>1200</v>
      </c>
      <c r="M1091">
        <v>10032</v>
      </c>
      <c r="N1091">
        <v>4800</v>
      </c>
      <c r="O1091">
        <v>5232</v>
      </c>
      <c r="P1091">
        <v>0.52153110047846896</v>
      </c>
      <c r="Q1091">
        <v>0</v>
      </c>
      <c r="R1091">
        <v>0</v>
      </c>
      <c r="S1091">
        <v>4</v>
      </c>
      <c r="T1091">
        <v>10032</v>
      </c>
    </row>
    <row r="1092" spans="1:20">
      <c r="A1092" t="s">
        <v>1432</v>
      </c>
      <c r="B1092" s="1">
        <v>45584</v>
      </c>
      <c r="C1092">
        <v>42</v>
      </c>
      <c r="D1092">
        <v>10</v>
      </c>
      <c r="E1092" t="s">
        <v>1319</v>
      </c>
      <c r="F1092" t="s">
        <v>187</v>
      </c>
      <c r="G1092" t="s">
        <v>14</v>
      </c>
      <c r="H1092">
        <v>4</v>
      </c>
      <c r="I1092">
        <v>3740</v>
      </c>
      <c r="J1092">
        <v>15</v>
      </c>
      <c r="K1092" t="s">
        <v>1924</v>
      </c>
      <c r="L1092">
        <v>2000</v>
      </c>
      <c r="M1092">
        <v>14960</v>
      </c>
      <c r="N1092">
        <v>8000</v>
      </c>
      <c r="O1092">
        <v>6960</v>
      </c>
      <c r="P1092">
        <v>0.46524064171122997</v>
      </c>
      <c r="Q1092">
        <v>0</v>
      </c>
      <c r="R1092">
        <v>0</v>
      </c>
      <c r="S1092">
        <v>4</v>
      </c>
      <c r="T1092">
        <v>14960</v>
      </c>
    </row>
    <row r="1093" spans="1:20">
      <c r="A1093" t="s">
        <v>1433</v>
      </c>
      <c r="B1093" s="1">
        <v>45585</v>
      </c>
      <c r="C1093">
        <v>42</v>
      </c>
      <c r="D1093">
        <v>10</v>
      </c>
      <c r="E1093" t="s">
        <v>1319</v>
      </c>
      <c r="F1093" t="s">
        <v>187</v>
      </c>
      <c r="G1093" t="s">
        <v>14</v>
      </c>
      <c r="H1093">
        <v>5</v>
      </c>
      <c r="I1093">
        <v>3740</v>
      </c>
      <c r="J1093">
        <v>15</v>
      </c>
      <c r="K1093" t="s">
        <v>1924</v>
      </c>
      <c r="L1093">
        <v>2000</v>
      </c>
      <c r="M1093">
        <v>18700</v>
      </c>
      <c r="N1093">
        <v>10000</v>
      </c>
      <c r="O1093">
        <v>8700</v>
      </c>
      <c r="P1093">
        <v>0.46524064171122997</v>
      </c>
      <c r="Q1093">
        <v>0</v>
      </c>
      <c r="R1093">
        <v>0</v>
      </c>
      <c r="S1093">
        <v>5</v>
      </c>
      <c r="T1093">
        <v>18700</v>
      </c>
    </row>
    <row r="1094" spans="1:20">
      <c r="A1094" t="s">
        <v>1435</v>
      </c>
      <c r="B1094" s="1">
        <v>45585</v>
      </c>
      <c r="C1094">
        <v>42</v>
      </c>
      <c r="D1094">
        <v>10</v>
      </c>
      <c r="E1094" t="s">
        <v>1319</v>
      </c>
      <c r="F1094" t="s">
        <v>39</v>
      </c>
      <c r="G1094" t="s">
        <v>14</v>
      </c>
      <c r="H1094">
        <v>2</v>
      </c>
      <c r="I1094">
        <v>880</v>
      </c>
      <c r="J1094">
        <v>0</v>
      </c>
      <c r="K1094" t="s">
        <v>1921</v>
      </c>
      <c r="L1094">
        <v>400</v>
      </c>
      <c r="M1094">
        <v>1760</v>
      </c>
      <c r="N1094">
        <v>800</v>
      </c>
      <c r="O1094">
        <v>960</v>
      </c>
      <c r="P1094">
        <v>0.54545454545454497</v>
      </c>
      <c r="Q1094">
        <v>0</v>
      </c>
      <c r="R1094">
        <v>0</v>
      </c>
      <c r="S1094">
        <v>2</v>
      </c>
      <c r="T1094">
        <v>1760</v>
      </c>
    </row>
    <row r="1095" spans="1:20">
      <c r="A1095" t="s">
        <v>1436</v>
      </c>
      <c r="B1095" s="1">
        <v>45585</v>
      </c>
      <c r="C1095">
        <v>42</v>
      </c>
      <c r="D1095">
        <v>10</v>
      </c>
      <c r="E1095" t="s">
        <v>1319</v>
      </c>
      <c r="F1095" t="s">
        <v>80</v>
      </c>
      <c r="G1095" t="s">
        <v>14</v>
      </c>
      <c r="H1095">
        <v>5</v>
      </c>
      <c r="I1095">
        <v>400</v>
      </c>
      <c r="J1095">
        <v>0</v>
      </c>
      <c r="K1095" t="s">
        <v>1922</v>
      </c>
      <c r="L1095">
        <v>180</v>
      </c>
      <c r="M1095">
        <v>2000</v>
      </c>
      <c r="N1095">
        <v>900</v>
      </c>
      <c r="O1095">
        <v>1100</v>
      </c>
      <c r="P1095">
        <v>0.55000000000000004</v>
      </c>
      <c r="Q1095">
        <v>0</v>
      </c>
      <c r="R1095">
        <v>0</v>
      </c>
      <c r="S1095">
        <v>5</v>
      </c>
      <c r="T1095">
        <v>2000</v>
      </c>
    </row>
    <row r="1096" spans="1:20">
      <c r="A1096" t="s">
        <v>1437</v>
      </c>
      <c r="B1096" s="1">
        <v>45585</v>
      </c>
      <c r="C1096">
        <v>42</v>
      </c>
      <c r="D1096">
        <v>10</v>
      </c>
      <c r="E1096" t="s">
        <v>1319</v>
      </c>
      <c r="F1096" t="s">
        <v>37</v>
      </c>
      <c r="G1096" t="s">
        <v>20</v>
      </c>
      <c r="H1096">
        <v>3</v>
      </c>
      <c r="I1096">
        <v>2106</v>
      </c>
      <c r="J1096">
        <v>10</v>
      </c>
      <c r="K1096" t="s">
        <v>1935</v>
      </c>
      <c r="L1096">
        <v>1300</v>
      </c>
      <c r="M1096">
        <v>6318</v>
      </c>
      <c r="N1096">
        <v>3900</v>
      </c>
      <c r="O1096">
        <v>2418</v>
      </c>
      <c r="P1096">
        <v>0.38271604938271597</v>
      </c>
      <c r="Q1096">
        <v>0</v>
      </c>
      <c r="R1096">
        <v>0</v>
      </c>
      <c r="S1096">
        <v>3</v>
      </c>
      <c r="T1096">
        <v>6318</v>
      </c>
    </row>
    <row r="1097" spans="1:20">
      <c r="A1097" t="s">
        <v>1438</v>
      </c>
      <c r="B1097" s="1">
        <v>45585</v>
      </c>
      <c r="C1097">
        <v>42</v>
      </c>
      <c r="D1097">
        <v>10</v>
      </c>
      <c r="E1097" t="s">
        <v>1319</v>
      </c>
      <c r="F1097" t="s">
        <v>220</v>
      </c>
      <c r="G1097" t="s">
        <v>221</v>
      </c>
      <c r="H1097">
        <v>4</v>
      </c>
      <c r="I1097">
        <v>600</v>
      </c>
      <c r="J1097">
        <v>0</v>
      </c>
      <c r="K1097" t="s">
        <v>1947</v>
      </c>
      <c r="L1097">
        <v>300</v>
      </c>
      <c r="M1097">
        <v>2400</v>
      </c>
      <c r="N1097">
        <v>1200</v>
      </c>
      <c r="O1097">
        <v>1200</v>
      </c>
      <c r="P1097">
        <v>0.5</v>
      </c>
      <c r="Q1097">
        <v>0</v>
      </c>
      <c r="R1097">
        <v>0</v>
      </c>
      <c r="S1097">
        <v>4</v>
      </c>
      <c r="T1097">
        <v>2400</v>
      </c>
    </row>
    <row r="1098" spans="1:20">
      <c r="A1098" t="s">
        <v>1439</v>
      </c>
      <c r="B1098" s="1">
        <v>45586</v>
      </c>
      <c r="C1098">
        <v>43</v>
      </c>
      <c r="D1098">
        <v>10</v>
      </c>
      <c r="E1098" t="s">
        <v>1319</v>
      </c>
      <c r="F1098" t="s">
        <v>39</v>
      </c>
      <c r="G1098" t="s">
        <v>14</v>
      </c>
      <c r="H1098">
        <v>2</v>
      </c>
      <c r="I1098">
        <v>748</v>
      </c>
      <c r="J1098">
        <v>15</v>
      </c>
      <c r="K1098" t="s">
        <v>1921</v>
      </c>
      <c r="L1098">
        <v>400</v>
      </c>
      <c r="M1098">
        <v>1496</v>
      </c>
      <c r="N1098">
        <v>800</v>
      </c>
      <c r="O1098">
        <v>696</v>
      </c>
      <c r="P1098">
        <v>0.46524064171122997</v>
      </c>
      <c r="Q1098">
        <v>2</v>
      </c>
      <c r="R1098">
        <v>2</v>
      </c>
      <c r="S1098">
        <v>0</v>
      </c>
      <c r="T1098">
        <v>0</v>
      </c>
    </row>
    <row r="1099" spans="1:20">
      <c r="A1099" t="s">
        <v>1441</v>
      </c>
      <c r="B1099" s="1">
        <v>45586</v>
      </c>
      <c r="C1099">
        <v>43</v>
      </c>
      <c r="D1099">
        <v>10</v>
      </c>
      <c r="E1099" t="s">
        <v>1319</v>
      </c>
      <c r="F1099" t="s">
        <v>35</v>
      </c>
      <c r="G1099" t="s">
        <v>17</v>
      </c>
      <c r="H1099">
        <v>2</v>
      </c>
      <c r="I1099">
        <v>3150</v>
      </c>
      <c r="J1099">
        <v>0</v>
      </c>
      <c r="K1099" t="s">
        <v>1942</v>
      </c>
      <c r="L1099">
        <v>1500</v>
      </c>
      <c r="M1099">
        <v>6300</v>
      </c>
      <c r="N1099">
        <v>3000</v>
      </c>
      <c r="O1099">
        <v>3300</v>
      </c>
      <c r="P1099">
        <v>0.52380952380952395</v>
      </c>
      <c r="Q1099">
        <v>0</v>
      </c>
      <c r="R1099">
        <v>0</v>
      </c>
      <c r="S1099">
        <v>2</v>
      </c>
      <c r="T1099">
        <v>6300</v>
      </c>
    </row>
    <row r="1100" spans="1:20">
      <c r="A1100" t="s">
        <v>1442</v>
      </c>
      <c r="B1100" s="1">
        <v>45586</v>
      </c>
      <c r="C1100">
        <v>43</v>
      </c>
      <c r="D1100">
        <v>10</v>
      </c>
      <c r="E1100" t="s">
        <v>1319</v>
      </c>
      <c r="F1100" t="s">
        <v>22</v>
      </c>
      <c r="G1100" t="s">
        <v>23</v>
      </c>
      <c r="H1100">
        <v>4</v>
      </c>
      <c r="I1100">
        <v>500</v>
      </c>
      <c r="J1100">
        <v>0</v>
      </c>
      <c r="K1100" t="s">
        <v>1929</v>
      </c>
      <c r="L1100">
        <v>250</v>
      </c>
      <c r="M1100">
        <v>2000</v>
      </c>
      <c r="N1100">
        <v>1000</v>
      </c>
      <c r="O1100">
        <v>1000</v>
      </c>
      <c r="P1100">
        <v>0.5</v>
      </c>
      <c r="Q1100">
        <v>0</v>
      </c>
      <c r="R1100">
        <v>0</v>
      </c>
      <c r="S1100">
        <v>4</v>
      </c>
      <c r="T1100">
        <v>2000</v>
      </c>
    </row>
    <row r="1101" spans="1:20">
      <c r="A1101" t="s">
        <v>1443</v>
      </c>
      <c r="B1101" s="1">
        <v>45586</v>
      </c>
      <c r="C1101">
        <v>43</v>
      </c>
      <c r="D1101">
        <v>10</v>
      </c>
      <c r="E1101" t="s">
        <v>1319</v>
      </c>
      <c r="F1101" t="s">
        <v>35</v>
      </c>
      <c r="G1101" t="s">
        <v>17</v>
      </c>
      <c r="H1101">
        <v>1</v>
      </c>
      <c r="I1101">
        <v>3150</v>
      </c>
      <c r="J1101">
        <v>0</v>
      </c>
      <c r="K1101" t="s">
        <v>1942</v>
      </c>
      <c r="L1101">
        <v>1500</v>
      </c>
      <c r="M1101">
        <v>3150</v>
      </c>
      <c r="N1101">
        <v>1500</v>
      </c>
      <c r="O1101">
        <v>1650</v>
      </c>
      <c r="P1101">
        <v>0.52380952380952395</v>
      </c>
      <c r="Q1101">
        <v>0</v>
      </c>
      <c r="R1101">
        <v>0</v>
      </c>
      <c r="S1101">
        <v>1</v>
      </c>
      <c r="T1101">
        <v>3150</v>
      </c>
    </row>
    <row r="1102" spans="1:20">
      <c r="A1102" t="s">
        <v>1444</v>
      </c>
      <c r="B1102" s="1">
        <v>45586</v>
      </c>
      <c r="C1102">
        <v>43</v>
      </c>
      <c r="D1102">
        <v>10</v>
      </c>
      <c r="E1102" t="s">
        <v>1319</v>
      </c>
      <c r="F1102" t="s">
        <v>349</v>
      </c>
      <c r="G1102" t="s">
        <v>221</v>
      </c>
      <c r="H1102">
        <v>1</v>
      </c>
      <c r="I1102">
        <v>400</v>
      </c>
      <c r="J1102">
        <v>0</v>
      </c>
      <c r="K1102" t="s">
        <v>1948</v>
      </c>
      <c r="L1102">
        <v>200</v>
      </c>
      <c r="M1102">
        <v>400</v>
      </c>
      <c r="N1102">
        <v>200</v>
      </c>
      <c r="O1102">
        <v>200</v>
      </c>
      <c r="P1102">
        <v>0.5</v>
      </c>
      <c r="Q1102">
        <v>0</v>
      </c>
      <c r="R1102">
        <v>0</v>
      </c>
      <c r="S1102">
        <v>1</v>
      </c>
      <c r="T1102">
        <v>400</v>
      </c>
    </row>
    <row r="1103" spans="1:20">
      <c r="A1103" t="s">
        <v>1445</v>
      </c>
      <c r="B1103" s="1">
        <v>45587</v>
      </c>
      <c r="C1103">
        <v>43</v>
      </c>
      <c r="D1103">
        <v>10</v>
      </c>
      <c r="E1103" t="s">
        <v>1319</v>
      </c>
      <c r="F1103" t="s">
        <v>22</v>
      </c>
      <c r="G1103" t="s">
        <v>23</v>
      </c>
      <c r="H1103">
        <v>3</v>
      </c>
      <c r="I1103">
        <v>450</v>
      </c>
      <c r="J1103">
        <v>10</v>
      </c>
      <c r="K1103" t="s">
        <v>1929</v>
      </c>
      <c r="L1103">
        <v>250</v>
      </c>
      <c r="M1103">
        <v>1350</v>
      </c>
      <c r="N1103">
        <v>750</v>
      </c>
      <c r="O1103">
        <v>600</v>
      </c>
      <c r="P1103">
        <v>0.44444444444444398</v>
      </c>
      <c r="Q1103">
        <v>3</v>
      </c>
      <c r="R1103">
        <v>3</v>
      </c>
      <c r="S1103">
        <v>0</v>
      </c>
      <c r="T1103">
        <v>0</v>
      </c>
    </row>
    <row r="1104" spans="1:20">
      <c r="A1104" t="s">
        <v>1447</v>
      </c>
      <c r="B1104" s="1">
        <v>45587</v>
      </c>
      <c r="C1104">
        <v>43</v>
      </c>
      <c r="D1104">
        <v>10</v>
      </c>
      <c r="E1104" t="s">
        <v>1319</v>
      </c>
      <c r="F1104" t="s">
        <v>82</v>
      </c>
      <c r="G1104" t="s">
        <v>20</v>
      </c>
      <c r="H1104">
        <v>5</v>
      </c>
      <c r="I1104">
        <v>855</v>
      </c>
      <c r="J1104">
        <v>5</v>
      </c>
      <c r="K1104" t="s">
        <v>1933</v>
      </c>
      <c r="L1104">
        <v>500</v>
      </c>
      <c r="M1104">
        <v>4275</v>
      </c>
      <c r="N1104">
        <v>2500</v>
      </c>
      <c r="O1104">
        <v>1775</v>
      </c>
      <c r="P1104">
        <v>0.41520467836257302</v>
      </c>
      <c r="Q1104">
        <v>0</v>
      </c>
      <c r="R1104">
        <v>0</v>
      </c>
      <c r="S1104">
        <v>5</v>
      </c>
      <c r="T1104">
        <v>4275</v>
      </c>
    </row>
    <row r="1105" spans="1:20">
      <c r="A1105" t="s">
        <v>1448</v>
      </c>
      <c r="B1105" s="1">
        <v>45587</v>
      </c>
      <c r="C1105">
        <v>43</v>
      </c>
      <c r="D1105">
        <v>10</v>
      </c>
      <c r="E1105" t="s">
        <v>1319</v>
      </c>
      <c r="F1105" t="s">
        <v>64</v>
      </c>
      <c r="G1105" t="s">
        <v>14</v>
      </c>
      <c r="H1105">
        <v>1</v>
      </c>
      <c r="I1105">
        <v>2508</v>
      </c>
      <c r="J1105">
        <v>5</v>
      </c>
      <c r="K1105" t="s">
        <v>1923</v>
      </c>
      <c r="L1105">
        <v>1200</v>
      </c>
      <c r="M1105">
        <v>2508</v>
      </c>
      <c r="N1105">
        <v>1200</v>
      </c>
      <c r="O1105">
        <v>1308</v>
      </c>
      <c r="P1105">
        <v>0.52153110047846896</v>
      </c>
      <c r="Q1105">
        <v>0</v>
      </c>
      <c r="R1105">
        <v>0</v>
      </c>
      <c r="S1105">
        <v>1</v>
      </c>
      <c r="T1105">
        <v>2508</v>
      </c>
    </row>
    <row r="1106" spans="1:20">
      <c r="A1106" t="s">
        <v>1449</v>
      </c>
      <c r="B1106" s="1">
        <v>45587</v>
      </c>
      <c r="C1106">
        <v>43</v>
      </c>
      <c r="D1106">
        <v>10</v>
      </c>
      <c r="E1106" t="s">
        <v>1319</v>
      </c>
      <c r="F1106" t="s">
        <v>39</v>
      </c>
      <c r="G1106" t="s">
        <v>14</v>
      </c>
      <c r="H1106">
        <v>3</v>
      </c>
      <c r="I1106">
        <v>748</v>
      </c>
      <c r="J1106">
        <v>15</v>
      </c>
      <c r="K1106" t="s">
        <v>1921</v>
      </c>
      <c r="L1106">
        <v>400</v>
      </c>
      <c r="M1106">
        <v>2244</v>
      </c>
      <c r="N1106">
        <v>1200</v>
      </c>
      <c r="O1106">
        <v>1044</v>
      </c>
      <c r="P1106">
        <v>0.46524064171122997</v>
      </c>
      <c r="Q1106">
        <v>0</v>
      </c>
      <c r="R1106">
        <v>0</v>
      </c>
      <c r="S1106">
        <v>3</v>
      </c>
      <c r="T1106">
        <v>2244</v>
      </c>
    </row>
    <row r="1107" spans="1:20">
      <c r="A1107" t="s">
        <v>1450</v>
      </c>
      <c r="B1107" s="1">
        <v>45587</v>
      </c>
      <c r="C1107">
        <v>43</v>
      </c>
      <c r="D1107">
        <v>10</v>
      </c>
      <c r="E1107" t="s">
        <v>1319</v>
      </c>
      <c r="F1107" t="s">
        <v>31</v>
      </c>
      <c r="G1107" t="s">
        <v>23</v>
      </c>
      <c r="H1107">
        <v>5</v>
      </c>
      <c r="I1107">
        <v>1260</v>
      </c>
      <c r="J1107">
        <v>10</v>
      </c>
      <c r="K1107" t="s">
        <v>1930</v>
      </c>
      <c r="L1107">
        <v>700</v>
      </c>
      <c r="M1107">
        <v>6300</v>
      </c>
      <c r="N1107">
        <v>3500</v>
      </c>
      <c r="O1107">
        <v>2800</v>
      </c>
      <c r="P1107">
        <v>0.44444444444444398</v>
      </c>
      <c r="Q1107">
        <v>3</v>
      </c>
      <c r="R1107">
        <v>3</v>
      </c>
      <c r="S1107">
        <v>2</v>
      </c>
      <c r="T1107">
        <v>2520</v>
      </c>
    </row>
    <row r="1108" spans="1:20">
      <c r="A1108" t="s">
        <v>1451</v>
      </c>
      <c r="B1108" s="1">
        <v>45588</v>
      </c>
      <c r="C1108">
        <v>43</v>
      </c>
      <c r="D1108">
        <v>10</v>
      </c>
      <c r="E1108" t="s">
        <v>1319</v>
      </c>
      <c r="F1108" t="s">
        <v>39</v>
      </c>
      <c r="G1108" t="s">
        <v>14</v>
      </c>
      <c r="H1108">
        <v>1</v>
      </c>
      <c r="I1108">
        <v>748</v>
      </c>
      <c r="J1108">
        <v>15</v>
      </c>
      <c r="K1108" t="s">
        <v>1921</v>
      </c>
      <c r="L1108">
        <v>400</v>
      </c>
      <c r="M1108">
        <v>748</v>
      </c>
      <c r="N1108">
        <v>400</v>
      </c>
      <c r="O1108">
        <v>348</v>
      </c>
      <c r="P1108">
        <v>0.46524064171122997</v>
      </c>
      <c r="Q1108">
        <v>0</v>
      </c>
      <c r="R1108">
        <v>0</v>
      </c>
      <c r="S1108">
        <v>1</v>
      </c>
      <c r="T1108">
        <v>748</v>
      </c>
    </row>
    <row r="1109" spans="1:20">
      <c r="A1109" t="s">
        <v>1453</v>
      </c>
      <c r="B1109" s="1">
        <v>45588</v>
      </c>
      <c r="C1109">
        <v>43</v>
      </c>
      <c r="D1109">
        <v>10</v>
      </c>
      <c r="E1109" t="s">
        <v>1319</v>
      </c>
      <c r="F1109" t="s">
        <v>64</v>
      </c>
      <c r="G1109" t="s">
        <v>14</v>
      </c>
      <c r="H1109">
        <v>5</v>
      </c>
      <c r="I1109">
        <v>2640</v>
      </c>
      <c r="J1109">
        <v>0</v>
      </c>
      <c r="K1109" t="s">
        <v>1923</v>
      </c>
      <c r="L1109">
        <v>1200</v>
      </c>
      <c r="M1109">
        <v>13200</v>
      </c>
      <c r="N1109">
        <v>6000</v>
      </c>
      <c r="O1109">
        <v>7200</v>
      </c>
      <c r="P1109">
        <v>0.54545454545454497</v>
      </c>
      <c r="Q1109">
        <v>0</v>
      </c>
      <c r="R1109">
        <v>0</v>
      </c>
      <c r="S1109">
        <v>5</v>
      </c>
      <c r="T1109">
        <v>13200</v>
      </c>
    </row>
    <row r="1110" spans="1:20">
      <c r="A1110" t="s">
        <v>1454</v>
      </c>
      <c r="B1110" s="1">
        <v>45588</v>
      </c>
      <c r="C1110">
        <v>43</v>
      </c>
      <c r="D1110">
        <v>10</v>
      </c>
      <c r="E1110" t="s">
        <v>1319</v>
      </c>
      <c r="F1110" t="s">
        <v>19</v>
      </c>
      <c r="G1110" t="s">
        <v>20</v>
      </c>
      <c r="H1110">
        <v>1</v>
      </c>
      <c r="I1110">
        <v>1377</v>
      </c>
      <c r="J1110">
        <v>15</v>
      </c>
      <c r="K1110" t="s">
        <v>1931</v>
      </c>
      <c r="L1110">
        <v>900</v>
      </c>
      <c r="M1110">
        <v>1377</v>
      </c>
      <c r="N1110">
        <v>900</v>
      </c>
      <c r="O1110">
        <v>477</v>
      </c>
      <c r="P1110">
        <v>0.34640522875816998</v>
      </c>
      <c r="Q1110">
        <v>0</v>
      </c>
      <c r="R1110">
        <v>0</v>
      </c>
      <c r="S1110">
        <v>1</v>
      </c>
      <c r="T1110">
        <v>1377</v>
      </c>
    </row>
    <row r="1111" spans="1:20">
      <c r="A1111" t="s">
        <v>1455</v>
      </c>
      <c r="B1111" s="1">
        <v>45588</v>
      </c>
      <c r="C1111">
        <v>43</v>
      </c>
      <c r="D1111">
        <v>10</v>
      </c>
      <c r="E1111" t="s">
        <v>1319</v>
      </c>
      <c r="F1111" t="s">
        <v>31</v>
      </c>
      <c r="G1111" t="s">
        <v>23</v>
      </c>
      <c r="H1111">
        <v>3</v>
      </c>
      <c r="I1111">
        <v>1260</v>
      </c>
      <c r="J1111">
        <v>10</v>
      </c>
      <c r="K1111" t="s">
        <v>1930</v>
      </c>
      <c r="L1111">
        <v>700</v>
      </c>
      <c r="M1111">
        <v>3780</v>
      </c>
      <c r="N1111">
        <v>2100</v>
      </c>
      <c r="O1111">
        <v>1680</v>
      </c>
      <c r="P1111">
        <v>0.44444444444444398</v>
      </c>
      <c r="Q1111">
        <v>0</v>
      </c>
      <c r="R1111">
        <v>0</v>
      </c>
      <c r="S1111">
        <v>3</v>
      </c>
      <c r="T1111">
        <v>3780</v>
      </c>
    </row>
    <row r="1112" spans="1:20">
      <c r="A1112" t="s">
        <v>1456</v>
      </c>
      <c r="B1112" s="1">
        <v>45589</v>
      </c>
      <c r="C1112">
        <v>43</v>
      </c>
      <c r="D1112">
        <v>10</v>
      </c>
      <c r="E1112" t="s">
        <v>1319</v>
      </c>
      <c r="F1112" t="s">
        <v>349</v>
      </c>
      <c r="G1112" t="s">
        <v>221</v>
      </c>
      <c r="H1112">
        <v>5</v>
      </c>
      <c r="I1112">
        <v>380</v>
      </c>
      <c r="J1112">
        <v>5</v>
      </c>
      <c r="K1112" t="s">
        <v>1948</v>
      </c>
      <c r="L1112">
        <v>200</v>
      </c>
      <c r="M1112">
        <v>1900</v>
      </c>
      <c r="N1112">
        <v>1000</v>
      </c>
      <c r="O1112">
        <v>900</v>
      </c>
      <c r="P1112">
        <v>0.47368421052631599</v>
      </c>
      <c r="Q1112">
        <v>0</v>
      </c>
      <c r="R1112">
        <v>0</v>
      </c>
      <c r="S1112">
        <v>5</v>
      </c>
      <c r="T1112">
        <v>1900</v>
      </c>
    </row>
    <row r="1113" spans="1:20">
      <c r="A1113" t="s">
        <v>1458</v>
      </c>
      <c r="B1113" s="1">
        <v>45589</v>
      </c>
      <c r="C1113">
        <v>43</v>
      </c>
      <c r="D1113">
        <v>10</v>
      </c>
      <c r="E1113" t="s">
        <v>1319</v>
      </c>
      <c r="F1113" t="s">
        <v>146</v>
      </c>
      <c r="G1113" t="s">
        <v>20</v>
      </c>
      <c r="H1113">
        <v>5</v>
      </c>
      <c r="I1113">
        <v>630</v>
      </c>
      <c r="J1113">
        <v>0</v>
      </c>
      <c r="K1113" t="s">
        <v>1934</v>
      </c>
      <c r="L1113">
        <v>350</v>
      </c>
      <c r="M1113">
        <v>3150</v>
      </c>
      <c r="N1113">
        <v>1750</v>
      </c>
      <c r="O1113">
        <v>1400</v>
      </c>
      <c r="P1113">
        <v>0.44444444444444398</v>
      </c>
      <c r="Q1113">
        <v>0</v>
      </c>
      <c r="R1113">
        <v>0</v>
      </c>
      <c r="S1113">
        <v>5</v>
      </c>
      <c r="T1113">
        <v>3150</v>
      </c>
    </row>
    <row r="1114" spans="1:20">
      <c r="A1114" t="s">
        <v>1459</v>
      </c>
      <c r="B1114" s="1">
        <v>45589</v>
      </c>
      <c r="C1114">
        <v>43</v>
      </c>
      <c r="D1114">
        <v>10</v>
      </c>
      <c r="E1114" t="s">
        <v>1319</v>
      </c>
      <c r="F1114" t="s">
        <v>119</v>
      </c>
      <c r="G1114" t="s">
        <v>14</v>
      </c>
      <c r="H1114">
        <v>4</v>
      </c>
      <c r="I1114">
        <v>770</v>
      </c>
      <c r="J1114">
        <v>0</v>
      </c>
      <c r="K1114" t="s">
        <v>1920</v>
      </c>
      <c r="L1114">
        <v>350</v>
      </c>
      <c r="M1114">
        <v>3080</v>
      </c>
      <c r="N1114">
        <v>1400</v>
      </c>
      <c r="O1114">
        <v>1680</v>
      </c>
      <c r="P1114">
        <v>0.54545454545454497</v>
      </c>
      <c r="Q1114">
        <v>0</v>
      </c>
      <c r="R1114">
        <v>0</v>
      </c>
      <c r="S1114">
        <v>4</v>
      </c>
      <c r="T1114">
        <v>3080</v>
      </c>
    </row>
    <row r="1115" spans="1:20">
      <c r="A1115" t="s">
        <v>1460</v>
      </c>
      <c r="B1115" s="1">
        <v>45589</v>
      </c>
      <c r="C1115">
        <v>43</v>
      </c>
      <c r="D1115">
        <v>10</v>
      </c>
      <c r="E1115" t="s">
        <v>1319</v>
      </c>
      <c r="F1115" t="s">
        <v>31</v>
      </c>
      <c r="G1115" t="s">
        <v>23</v>
      </c>
      <c r="H1115">
        <v>1</v>
      </c>
      <c r="I1115">
        <v>1190</v>
      </c>
      <c r="J1115">
        <v>15</v>
      </c>
      <c r="K1115" t="s">
        <v>1930</v>
      </c>
      <c r="L1115">
        <v>700</v>
      </c>
      <c r="M1115">
        <v>1190</v>
      </c>
      <c r="N1115">
        <v>700</v>
      </c>
      <c r="O1115">
        <v>490</v>
      </c>
      <c r="P1115">
        <v>0.41176470588235298</v>
      </c>
      <c r="Q1115">
        <v>0</v>
      </c>
      <c r="R1115">
        <v>0</v>
      </c>
      <c r="S1115">
        <v>1</v>
      </c>
      <c r="T1115">
        <v>1190</v>
      </c>
    </row>
    <row r="1116" spans="1:20">
      <c r="A1116" t="s">
        <v>1461</v>
      </c>
      <c r="B1116" s="1">
        <v>45590</v>
      </c>
      <c r="C1116">
        <v>43</v>
      </c>
      <c r="D1116">
        <v>10</v>
      </c>
      <c r="E1116" t="s">
        <v>1319</v>
      </c>
      <c r="F1116" t="s">
        <v>58</v>
      </c>
      <c r="G1116" t="s">
        <v>23</v>
      </c>
      <c r="H1116">
        <v>4</v>
      </c>
      <c r="I1116">
        <v>1000</v>
      </c>
      <c r="J1116">
        <v>0</v>
      </c>
      <c r="K1116" t="s">
        <v>1927</v>
      </c>
      <c r="L1116">
        <v>500</v>
      </c>
      <c r="M1116">
        <v>4000</v>
      </c>
      <c r="N1116">
        <v>2000</v>
      </c>
      <c r="O1116">
        <v>2000</v>
      </c>
      <c r="P1116">
        <v>0.5</v>
      </c>
      <c r="Q1116">
        <v>0</v>
      </c>
      <c r="R1116">
        <v>0</v>
      </c>
      <c r="S1116">
        <v>4</v>
      </c>
      <c r="T1116">
        <v>4000</v>
      </c>
    </row>
    <row r="1117" spans="1:20">
      <c r="A1117" t="s">
        <v>1463</v>
      </c>
      <c r="B1117" s="1">
        <v>45590</v>
      </c>
      <c r="C1117">
        <v>43</v>
      </c>
      <c r="D1117">
        <v>10</v>
      </c>
      <c r="E1117" t="s">
        <v>1319</v>
      </c>
      <c r="F1117" t="s">
        <v>45</v>
      </c>
      <c r="G1117" t="s">
        <v>26</v>
      </c>
      <c r="H1117">
        <v>5</v>
      </c>
      <c r="I1117">
        <v>4050</v>
      </c>
      <c r="J1117">
        <v>10</v>
      </c>
      <c r="K1117" t="s">
        <v>1938</v>
      </c>
      <c r="L1117">
        <v>1800</v>
      </c>
      <c r="M1117">
        <v>20250</v>
      </c>
      <c r="N1117">
        <v>9000</v>
      </c>
      <c r="O1117">
        <v>11250</v>
      </c>
      <c r="P1117">
        <v>0.55555555555555602</v>
      </c>
      <c r="Q1117">
        <v>0</v>
      </c>
      <c r="R1117">
        <v>0</v>
      </c>
      <c r="S1117">
        <v>5</v>
      </c>
      <c r="T1117">
        <v>20250</v>
      </c>
    </row>
    <row r="1118" spans="1:20">
      <c r="A1118" t="s">
        <v>1464</v>
      </c>
      <c r="B1118" s="1">
        <v>45590</v>
      </c>
      <c r="C1118">
        <v>43</v>
      </c>
      <c r="D1118">
        <v>10</v>
      </c>
      <c r="E1118" t="s">
        <v>1319</v>
      </c>
      <c r="F1118" t="s">
        <v>64</v>
      </c>
      <c r="G1118" t="s">
        <v>14</v>
      </c>
      <c r="H1118">
        <v>3</v>
      </c>
      <c r="I1118">
        <v>2244</v>
      </c>
      <c r="J1118">
        <v>15</v>
      </c>
      <c r="K1118" t="s">
        <v>1923</v>
      </c>
      <c r="L1118">
        <v>1200</v>
      </c>
      <c r="M1118">
        <v>6732</v>
      </c>
      <c r="N1118">
        <v>3600</v>
      </c>
      <c r="O1118">
        <v>3132</v>
      </c>
      <c r="P1118">
        <v>0.46524064171122997</v>
      </c>
      <c r="Q1118">
        <v>2</v>
      </c>
      <c r="R1118">
        <v>2</v>
      </c>
      <c r="S1118">
        <v>1</v>
      </c>
      <c r="T1118">
        <v>2244</v>
      </c>
    </row>
    <row r="1119" spans="1:20">
      <c r="A1119" t="s">
        <v>1465</v>
      </c>
      <c r="B1119" s="1">
        <v>45590</v>
      </c>
      <c r="C1119">
        <v>43</v>
      </c>
      <c r="D1119">
        <v>10</v>
      </c>
      <c r="E1119" t="s">
        <v>1319</v>
      </c>
      <c r="F1119" t="s">
        <v>187</v>
      </c>
      <c r="G1119" t="s">
        <v>14</v>
      </c>
      <c r="H1119">
        <v>4</v>
      </c>
      <c r="I1119">
        <v>4400</v>
      </c>
      <c r="J1119">
        <v>0</v>
      </c>
      <c r="K1119" t="s">
        <v>1924</v>
      </c>
      <c r="L1119">
        <v>2000</v>
      </c>
      <c r="M1119">
        <v>17600</v>
      </c>
      <c r="N1119">
        <v>8000</v>
      </c>
      <c r="O1119">
        <v>9600</v>
      </c>
      <c r="P1119">
        <v>0.54545454545454497</v>
      </c>
      <c r="Q1119">
        <v>0</v>
      </c>
      <c r="R1119">
        <v>0</v>
      </c>
      <c r="S1119">
        <v>4</v>
      </c>
      <c r="T1119">
        <v>17600</v>
      </c>
    </row>
    <row r="1120" spans="1:20">
      <c r="A1120" t="s">
        <v>1466</v>
      </c>
      <c r="B1120" s="1">
        <v>45590</v>
      </c>
      <c r="C1120">
        <v>43</v>
      </c>
      <c r="D1120">
        <v>10</v>
      </c>
      <c r="E1120" t="s">
        <v>1319</v>
      </c>
      <c r="F1120" t="s">
        <v>45</v>
      </c>
      <c r="G1120" t="s">
        <v>26</v>
      </c>
      <c r="H1120">
        <v>2</v>
      </c>
      <c r="I1120">
        <v>4500</v>
      </c>
      <c r="J1120">
        <v>0</v>
      </c>
      <c r="K1120" t="s">
        <v>1938</v>
      </c>
      <c r="L1120">
        <v>1800</v>
      </c>
      <c r="M1120">
        <v>9000</v>
      </c>
      <c r="N1120">
        <v>3600</v>
      </c>
      <c r="O1120">
        <v>5400</v>
      </c>
      <c r="P1120">
        <v>0.6</v>
      </c>
      <c r="Q1120">
        <v>0</v>
      </c>
      <c r="R1120">
        <v>0</v>
      </c>
      <c r="S1120">
        <v>2</v>
      </c>
      <c r="T1120">
        <v>9000</v>
      </c>
    </row>
    <row r="1121" spans="1:20">
      <c r="A1121" t="s">
        <v>1467</v>
      </c>
      <c r="B1121" s="1">
        <v>45590</v>
      </c>
      <c r="C1121">
        <v>43</v>
      </c>
      <c r="D1121">
        <v>10</v>
      </c>
      <c r="E1121" t="s">
        <v>1319</v>
      </c>
      <c r="F1121" t="s">
        <v>369</v>
      </c>
      <c r="G1121" t="s">
        <v>221</v>
      </c>
      <c r="H1121">
        <v>4</v>
      </c>
      <c r="I1121">
        <v>630</v>
      </c>
      <c r="J1121">
        <v>10</v>
      </c>
      <c r="K1121" t="s">
        <v>1949</v>
      </c>
      <c r="L1121">
        <v>350</v>
      </c>
      <c r="M1121">
        <v>2520</v>
      </c>
      <c r="N1121">
        <v>1400</v>
      </c>
      <c r="O1121">
        <v>1120</v>
      </c>
      <c r="P1121">
        <v>0.44444444444444398</v>
      </c>
      <c r="Q1121">
        <v>0</v>
      </c>
      <c r="R1121">
        <v>0</v>
      </c>
      <c r="S1121">
        <v>4</v>
      </c>
      <c r="T1121">
        <v>2520</v>
      </c>
    </row>
    <row r="1122" spans="1:20">
      <c r="A1122" t="s">
        <v>1468</v>
      </c>
      <c r="B1122" s="1">
        <v>45590</v>
      </c>
      <c r="C1122">
        <v>43</v>
      </c>
      <c r="D1122">
        <v>10</v>
      </c>
      <c r="E1122" t="s">
        <v>1319</v>
      </c>
      <c r="F1122" t="s">
        <v>66</v>
      </c>
      <c r="G1122" t="s">
        <v>17</v>
      </c>
      <c r="H1122">
        <v>1</v>
      </c>
      <c r="I1122">
        <v>1396.5</v>
      </c>
      <c r="J1122">
        <v>5</v>
      </c>
      <c r="K1122" t="s">
        <v>1941</v>
      </c>
      <c r="L1122">
        <v>700</v>
      </c>
      <c r="M1122">
        <v>1396.5</v>
      </c>
      <c r="N1122">
        <v>700</v>
      </c>
      <c r="O1122">
        <v>696.5</v>
      </c>
      <c r="P1122">
        <v>0.49874686716791999</v>
      </c>
      <c r="Q1122">
        <v>0</v>
      </c>
      <c r="R1122">
        <v>0</v>
      </c>
      <c r="S1122">
        <v>1</v>
      </c>
      <c r="T1122">
        <v>1396.5</v>
      </c>
    </row>
    <row r="1123" spans="1:20">
      <c r="A1123" t="s">
        <v>1469</v>
      </c>
      <c r="B1123" s="1">
        <v>45590</v>
      </c>
      <c r="C1123">
        <v>43</v>
      </c>
      <c r="D1123">
        <v>10</v>
      </c>
      <c r="E1123" t="s">
        <v>1319</v>
      </c>
      <c r="F1123" t="s">
        <v>13</v>
      </c>
      <c r="G1123" t="s">
        <v>14</v>
      </c>
      <c r="H1123">
        <v>4</v>
      </c>
      <c r="I1123">
        <v>480</v>
      </c>
      <c r="J1123">
        <v>0</v>
      </c>
      <c r="K1123" t="s">
        <v>1925</v>
      </c>
      <c r="L1123">
        <v>220</v>
      </c>
      <c r="M1123">
        <v>1920</v>
      </c>
      <c r="N1123">
        <v>880</v>
      </c>
      <c r="O1123">
        <v>1040</v>
      </c>
      <c r="P1123">
        <v>0.54166666666666696</v>
      </c>
      <c r="Q1123">
        <v>0</v>
      </c>
      <c r="R1123">
        <v>0</v>
      </c>
      <c r="S1123">
        <v>4</v>
      </c>
      <c r="T1123">
        <v>1920</v>
      </c>
    </row>
    <row r="1124" spans="1:20">
      <c r="A1124" t="s">
        <v>1470</v>
      </c>
      <c r="B1124" s="1">
        <v>45590</v>
      </c>
      <c r="C1124">
        <v>43</v>
      </c>
      <c r="D1124">
        <v>10</v>
      </c>
      <c r="E1124" t="s">
        <v>1319</v>
      </c>
      <c r="F1124" t="s">
        <v>22</v>
      </c>
      <c r="G1124" t="s">
        <v>23</v>
      </c>
      <c r="H1124">
        <v>2</v>
      </c>
      <c r="I1124">
        <v>450</v>
      </c>
      <c r="J1124">
        <v>10</v>
      </c>
      <c r="K1124" t="s">
        <v>1929</v>
      </c>
      <c r="L1124">
        <v>250</v>
      </c>
      <c r="M1124">
        <v>900</v>
      </c>
      <c r="N1124">
        <v>500</v>
      </c>
      <c r="O1124">
        <v>400</v>
      </c>
      <c r="P1124">
        <v>0.44444444444444398</v>
      </c>
      <c r="Q1124">
        <v>0</v>
      </c>
      <c r="R1124">
        <v>0</v>
      </c>
      <c r="S1124">
        <v>2</v>
      </c>
      <c r="T1124">
        <v>900</v>
      </c>
    </row>
    <row r="1125" spans="1:20">
      <c r="A1125" t="s">
        <v>1471</v>
      </c>
      <c r="B1125" s="1">
        <v>45591</v>
      </c>
      <c r="C1125">
        <v>43</v>
      </c>
      <c r="D1125">
        <v>10</v>
      </c>
      <c r="E1125" t="s">
        <v>1319</v>
      </c>
      <c r="F1125" t="s">
        <v>146</v>
      </c>
      <c r="G1125" t="s">
        <v>20</v>
      </c>
      <c r="H1125">
        <v>3</v>
      </c>
      <c r="I1125">
        <v>630</v>
      </c>
      <c r="J1125">
        <v>0</v>
      </c>
      <c r="K1125" t="s">
        <v>1934</v>
      </c>
      <c r="L1125">
        <v>350</v>
      </c>
      <c r="M1125">
        <v>1890</v>
      </c>
      <c r="N1125">
        <v>1050</v>
      </c>
      <c r="O1125">
        <v>840</v>
      </c>
      <c r="P1125">
        <v>0.44444444444444398</v>
      </c>
      <c r="Q1125">
        <v>0</v>
      </c>
      <c r="R1125">
        <v>0</v>
      </c>
      <c r="S1125">
        <v>3</v>
      </c>
      <c r="T1125">
        <v>1890</v>
      </c>
    </row>
    <row r="1126" spans="1:20">
      <c r="A1126" t="s">
        <v>1473</v>
      </c>
      <c r="B1126" s="1">
        <v>45591</v>
      </c>
      <c r="C1126">
        <v>43</v>
      </c>
      <c r="D1126">
        <v>10</v>
      </c>
      <c r="E1126" t="s">
        <v>1319</v>
      </c>
      <c r="F1126" t="s">
        <v>66</v>
      </c>
      <c r="G1126" t="s">
        <v>17</v>
      </c>
      <c r="H1126">
        <v>3</v>
      </c>
      <c r="I1126">
        <v>1470</v>
      </c>
      <c r="J1126">
        <v>0</v>
      </c>
      <c r="K1126" t="s">
        <v>1941</v>
      </c>
      <c r="L1126">
        <v>700</v>
      </c>
      <c r="M1126">
        <v>4410</v>
      </c>
      <c r="N1126">
        <v>2100</v>
      </c>
      <c r="O1126">
        <v>2310</v>
      </c>
      <c r="P1126">
        <v>0.52380952380952395</v>
      </c>
      <c r="Q1126">
        <v>0</v>
      </c>
      <c r="R1126">
        <v>0</v>
      </c>
      <c r="S1126">
        <v>3</v>
      </c>
      <c r="T1126">
        <v>4410</v>
      </c>
    </row>
    <row r="1127" spans="1:20">
      <c r="A1127" t="s">
        <v>1474</v>
      </c>
      <c r="B1127" s="1">
        <v>45591</v>
      </c>
      <c r="C1127">
        <v>43</v>
      </c>
      <c r="D1127">
        <v>10</v>
      </c>
      <c r="E1127" t="s">
        <v>1319</v>
      </c>
      <c r="F1127" t="s">
        <v>66</v>
      </c>
      <c r="G1127" t="s">
        <v>17</v>
      </c>
      <c r="H1127">
        <v>3</v>
      </c>
      <c r="I1127">
        <v>1470</v>
      </c>
      <c r="J1127">
        <v>0</v>
      </c>
      <c r="K1127" t="s">
        <v>1941</v>
      </c>
      <c r="L1127">
        <v>700</v>
      </c>
      <c r="M1127">
        <v>4410</v>
      </c>
      <c r="N1127">
        <v>2100</v>
      </c>
      <c r="O1127">
        <v>2310</v>
      </c>
      <c r="P1127">
        <v>0.52380952380952395</v>
      </c>
      <c r="Q1127">
        <v>0</v>
      </c>
      <c r="R1127">
        <v>0</v>
      </c>
      <c r="S1127">
        <v>3</v>
      </c>
      <c r="T1127">
        <v>4410</v>
      </c>
    </row>
    <row r="1128" spans="1:20">
      <c r="A1128" t="s">
        <v>1475</v>
      </c>
      <c r="B1128" s="1">
        <v>45591</v>
      </c>
      <c r="C1128">
        <v>43</v>
      </c>
      <c r="D1128">
        <v>10</v>
      </c>
      <c r="E1128" t="s">
        <v>1319</v>
      </c>
      <c r="F1128" t="s">
        <v>64</v>
      </c>
      <c r="G1128" t="s">
        <v>14</v>
      </c>
      <c r="H1128">
        <v>1</v>
      </c>
      <c r="I1128">
        <v>2376</v>
      </c>
      <c r="J1128">
        <v>10</v>
      </c>
      <c r="K1128" t="s">
        <v>1923</v>
      </c>
      <c r="L1128">
        <v>1200</v>
      </c>
      <c r="M1128">
        <v>2376</v>
      </c>
      <c r="N1128">
        <v>1200</v>
      </c>
      <c r="O1128">
        <v>1176</v>
      </c>
      <c r="P1128">
        <v>0.49494949494949497</v>
      </c>
      <c r="Q1128">
        <v>0</v>
      </c>
      <c r="R1128">
        <v>0</v>
      </c>
      <c r="S1128">
        <v>1</v>
      </c>
      <c r="T1128">
        <v>2376</v>
      </c>
    </row>
    <row r="1129" spans="1:20">
      <c r="A1129" t="s">
        <v>1476</v>
      </c>
      <c r="B1129" s="1">
        <v>45591</v>
      </c>
      <c r="C1129">
        <v>43</v>
      </c>
      <c r="D1129">
        <v>10</v>
      </c>
      <c r="E1129" t="s">
        <v>1319</v>
      </c>
      <c r="F1129" t="s">
        <v>39</v>
      </c>
      <c r="G1129" t="s">
        <v>14</v>
      </c>
      <c r="H1129">
        <v>1</v>
      </c>
      <c r="I1129">
        <v>880</v>
      </c>
      <c r="J1129">
        <v>0</v>
      </c>
      <c r="K1129" t="s">
        <v>1921</v>
      </c>
      <c r="L1129">
        <v>400</v>
      </c>
      <c r="M1129">
        <v>880</v>
      </c>
      <c r="N1129">
        <v>400</v>
      </c>
      <c r="O1129">
        <v>480</v>
      </c>
      <c r="P1129">
        <v>0.54545454545454497</v>
      </c>
      <c r="Q1129">
        <v>0</v>
      </c>
      <c r="R1129">
        <v>0</v>
      </c>
      <c r="S1129">
        <v>1</v>
      </c>
      <c r="T1129">
        <v>880</v>
      </c>
    </row>
    <row r="1130" spans="1:20">
      <c r="A1130" t="s">
        <v>1477</v>
      </c>
      <c r="B1130" s="1">
        <v>45591</v>
      </c>
      <c r="C1130">
        <v>43</v>
      </c>
      <c r="D1130">
        <v>10</v>
      </c>
      <c r="E1130" t="s">
        <v>1319</v>
      </c>
      <c r="F1130" t="s">
        <v>25</v>
      </c>
      <c r="G1130" t="s">
        <v>26</v>
      </c>
      <c r="H1130">
        <v>3</v>
      </c>
      <c r="I1130">
        <v>1000</v>
      </c>
      <c r="J1130">
        <v>0</v>
      </c>
      <c r="K1130" t="s">
        <v>1940</v>
      </c>
      <c r="L1130">
        <v>400</v>
      </c>
      <c r="M1130">
        <v>3000</v>
      </c>
      <c r="N1130">
        <v>1200</v>
      </c>
      <c r="O1130">
        <v>1800</v>
      </c>
      <c r="P1130">
        <v>0.6</v>
      </c>
      <c r="Q1130">
        <v>3</v>
      </c>
      <c r="R1130">
        <v>3</v>
      </c>
      <c r="S1130">
        <v>0</v>
      </c>
      <c r="T1130">
        <v>0</v>
      </c>
    </row>
    <row r="1131" spans="1:20">
      <c r="A1131" t="s">
        <v>1478</v>
      </c>
      <c r="B1131" s="1">
        <v>45591</v>
      </c>
      <c r="C1131">
        <v>43</v>
      </c>
      <c r="D1131">
        <v>10</v>
      </c>
      <c r="E1131" t="s">
        <v>1319</v>
      </c>
      <c r="F1131" t="s">
        <v>51</v>
      </c>
      <c r="G1131" t="s">
        <v>26</v>
      </c>
      <c r="H1131">
        <v>3</v>
      </c>
      <c r="I1131">
        <v>475</v>
      </c>
      <c r="J1131">
        <v>5</v>
      </c>
      <c r="K1131" t="s">
        <v>1936</v>
      </c>
      <c r="L1131">
        <v>200</v>
      </c>
      <c r="M1131">
        <v>1425</v>
      </c>
      <c r="N1131">
        <v>600</v>
      </c>
      <c r="O1131">
        <v>825</v>
      </c>
      <c r="P1131">
        <v>0.57894736842105299</v>
      </c>
      <c r="Q1131">
        <v>0</v>
      </c>
      <c r="R1131">
        <v>0</v>
      </c>
      <c r="S1131">
        <v>3</v>
      </c>
      <c r="T1131">
        <v>1425</v>
      </c>
    </row>
    <row r="1132" spans="1:20">
      <c r="A1132" t="s">
        <v>1479</v>
      </c>
      <c r="B1132" s="1">
        <v>45592</v>
      </c>
      <c r="C1132">
        <v>43</v>
      </c>
      <c r="D1132">
        <v>10</v>
      </c>
      <c r="E1132" t="s">
        <v>1319</v>
      </c>
      <c r="F1132" t="s">
        <v>82</v>
      </c>
      <c r="G1132" t="s">
        <v>20</v>
      </c>
      <c r="H1132">
        <v>5</v>
      </c>
      <c r="I1132">
        <v>900</v>
      </c>
      <c r="J1132">
        <v>0</v>
      </c>
      <c r="K1132" t="s">
        <v>1933</v>
      </c>
      <c r="L1132">
        <v>500</v>
      </c>
      <c r="M1132">
        <v>4500</v>
      </c>
      <c r="N1132">
        <v>2500</v>
      </c>
      <c r="O1132">
        <v>2000</v>
      </c>
      <c r="P1132">
        <v>0.44444444444444398</v>
      </c>
      <c r="Q1132">
        <v>0</v>
      </c>
      <c r="R1132">
        <v>0</v>
      </c>
      <c r="S1132">
        <v>5</v>
      </c>
      <c r="T1132">
        <v>4500</v>
      </c>
    </row>
    <row r="1133" spans="1:20">
      <c r="A1133" t="s">
        <v>1481</v>
      </c>
      <c r="B1133" s="1">
        <v>45592</v>
      </c>
      <c r="C1133">
        <v>43</v>
      </c>
      <c r="D1133">
        <v>10</v>
      </c>
      <c r="E1133" t="s">
        <v>1319</v>
      </c>
      <c r="F1133" t="s">
        <v>35</v>
      </c>
      <c r="G1133" t="s">
        <v>17</v>
      </c>
      <c r="H1133">
        <v>1</v>
      </c>
      <c r="I1133">
        <v>2992.5</v>
      </c>
      <c r="J1133">
        <v>5</v>
      </c>
      <c r="K1133" t="s">
        <v>1942</v>
      </c>
      <c r="L1133">
        <v>1500</v>
      </c>
      <c r="M1133">
        <v>2992.5</v>
      </c>
      <c r="N1133">
        <v>1500</v>
      </c>
      <c r="O1133">
        <v>1492.5</v>
      </c>
      <c r="P1133">
        <v>0.49874686716791999</v>
      </c>
      <c r="Q1133">
        <v>0</v>
      </c>
      <c r="R1133">
        <v>0</v>
      </c>
      <c r="S1133">
        <v>1</v>
      </c>
      <c r="T1133">
        <v>2992.5</v>
      </c>
    </row>
    <row r="1134" spans="1:20">
      <c r="A1134" t="s">
        <v>1482</v>
      </c>
      <c r="B1134" s="1">
        <v>45592</v>
      </c>
      <c r="C1134">
        <v>43</v>
      </c>
      <c r="D1134">
        <v>10</v>
      </c>
      <c r="E1134" t="s">
        <v>1319</v>
      </c>
      <c r="F1134" t="s">
        <v>22</v>
      </c>
      <c r="G1134" t="s">
        <v>23</v>
      </c>
      <c r="H1134">
        <v>2</v>
      </c>
      <c r="I1134">
        <v>500</v>
      </c>
      <c r="J1134">
        <v>0</v>
      </c>
      <c r="K1134" t="s">
        <v>1929</v>
      </c>
      <c r="L1134">
        <v>250</v>
      </c>
      <c r="M1134">
        <v>1000</v>
      </c>
      <c r="N1134">
        <v>500</v>
      </c>
      <c r="O1134">
        <v>500</v>
      </c>
      <c r="P1134">
        <v>0.5</v>
      </c>
      <c r="Q1134">
        <v>0</v>
      </c>
      <c r="R1134">
        <v>0</v>
      </c>
      <c r="S1134">
        <v>2</v>
      </c>
      <c r="T1134">
        <v>1000</v>
      </c>
    </row>
    <row r="1135" spans="1:20">
      <c r="A1135" t="s">
        <v>1483</v>
      </c>
      <c r="B1135" s="1">
        <v>45592</v>
      </c>
      <c r="C1135">
        <v>43</v>
      </c>
      <c r="D1135">
        <v>10</v>
      </c>
      <c r="E1135" t="s">
        <v>1319</v>
      </c>
      <c r="F1135" t="s">
        <v>97</v>
      </c>
      <c r="G1135" t="s">
        <v>20</v>
      </c>
      <c r="H1135">
        <v>3</v>
      </c>
      <c r="I1135">
        <v>1683</v>
      </c>
      <c r="J1135">
        <v>15</v>
      </c>
      <c r="K1135" t="s">
        <v>1932</v>
      </c>
      <c r="L1135">
        <v>1100</v>
      </c>
      <c r="M1135">
        <v>5049</v>
      </c>
      <c r="N1135">
        <v>3300</v>
      </c>
      <c r="O1135">
        <v>1749</v>
      </c>
      <c r="P1135">
        <v>0.34640522875816998</v>
      </c>
      <c r="Q1135">
        <v>0</v>
      </c>
      <c r="R1135">
        <v>0</v>
      </c>
      <c r="S1135">
        <v>3</v>
      </c>
      <c r="T1135">
        <v>5049</v>
      </c>
    </row>
    <row r="1136" spans="1:20">
      <c r="A1136" t="s">
        <v>1484</v>
      </c>
      <c r="B1136" s="1">
        <v>45592</v>
      </c>
      <c r="C1136">
        <v>43</v>
      </c>
      <c r="D1136">
        <v>10</v>
      </c>
      <c r="E1136" t="s">
        <v>1319</v>
      </c>
      <c r="F1136" t="s">
        <v>42</v>
      </c>
      <c r="G1136" t="s">
        <v>23</v>
      </c>
      <c r="H1136">
        <v>5</v>
      </c>
      <c r="I1136">
        <v>600</v>
      </c>
      <c r="J1136">
        <v>0</v>
      </c>
      <c r="K1136" t="s">
        <v>1928</v>
      </c>
      <c r="L1136">
        <v>300</v>
      </c>
      <c r="M1136">
        <v>3000</v>
      </c>
      <c r="N1136">
        <v>1500</v>
      </c>
      <c r="O1136">
        <v>1500</v>
      </c>
      <c r="P1136">
        <v>0.5</v>
      </c>
      <c r="Q1136">
        <v>4</v>
      </c>
      <c r="R1136">
        <v>4</v>
      </c>
      <c r="S1136">
        <v>1</v>
      </c>
      <c r="T1136">
        <v>600</v>
      </c>
    </row>
    <row r="1137" spans="1:20">
      <c r="A1137" t="s">
        <v>1485</v>
      </c>
      <c r="B1137" s="1">
        <v>45592</v>
      </c>
      <c r="C1137">
        <v>43</v>
      </c>
      <c r="D1137">
        <v>10</v>
      </c>
      <c r="E1137" t="s">
        <v>1319</v>
      </c>
      <c r="F1137" t="s">
        <v>94</v>
      </c>
      <c r="G1137" t="s">
        <v>17</v>
      </c>
      <c r="H1137">
        <v>2</v>
      </c>
      <c r="I1137">
        <v>1428</v>
      </c>
      <c r="J1137">
        <v>15</v>
      </c>
      <c r="K1137" t="s">
        <v>1943</v>
      </c>
      <c r="L1137">
        <v>800</v>
      </c>
      <c r="M1137">
        <v>2856</v>
      </c>
      <c r="N1137">
        <v>1600</v>
      </c>
      <c r="O1137">
        <v>1256</v>
      </c>
      <c r="P1137">
        <v>0.43977591036414598</v>
      </c>
      <c r="Q1137">
        <v>0</v>
      </c>
      <c r="R1137">
        <v>0</v>
      </c>
      <c r="S1137">
        <v>2</v>
      </c>
      <c r="T1137">
        <v>2856</v>
      </c>
    </row>
    <row r="1138" spans="1:20">
      <c r="A1138" t="s">
        <v>1486</v>
      </c>
      <c r="B1138" s="1">
        <v>45592</v>
      </c>
      <c r="C1138">
        <v>43</v>
      </c>
      <c r="D1138">
        <v>10</v>
      </c>
      <c r="E1138" t="s">
        <v>1319</v>
      </c>
      <c r="F1138" t="s">
        <v>42</v>
      </c>
      <c r="G1138" t="s">
        <v>23</v>
      </c>
      <c r="H1138">
        <v>3</v>
      </c>
      <c r="I1138">
        <v>510</v>
      </c>
      <c r="J1138">
        <v>15</v>
      </c>
      <c r="K1138" t="s">
        <v>1928</v>
      </c>
      <c r="L1138">
        <v>300</v>
      </c>
      <c r="M1138">
        <v>1530</v>
      </c>
      <c r="N1138">
        <v>900</v>
      </c>
      <c r="O1138">
        <v>630</v>
      </c>
      <c r="P1138">
        <v>0.41176470588235298</v>
      </c>
      <c r="Q1138">
        <v>0</v>
      </c>
      <c r="R1138">
        <v>0</v>
      </c>
      <c r="S1138">
        <v>3</v>
      </c>
      <c r="T1138">
        <v>1530</v>
      </c>
    </row>
    <row r="1139" spans="1:20">
      <c r="A1139" t="s">
        <v>1487</v>
      </c>
      <c r="B1139" s="1">
        <v>45593</v>
      </c>
      <c r="C1139">
        <v>44</v>
      </c>
      <c r="D1139">
        <v>10</v>
      </c>
      <c r="E1139" t="s">
        <v>1319</v>
      </c>
      <c r="F1139" t="s">
        <v>66</v>
      </c>
      <c r="G1139" t="s">
        <v>17</v>
      </c>
      <c r="H1139">
        <v>3</v>
      </c>
      <c r="I1139">
        <v>1249.5</v>
      </c>
      <c r="J1139">
        <v>15</v>
      </c>
      <c r="K1139" t="s">
        <v>1941</v>
      </c>
      <c r="L1139">
        <v>700</v>
      </c>
      <c r="M1139">
        <v>3748.5</v>
      </c>
      <c r="N1139">
        <v>2100</v>
      </c>
      <c r="O1139">
        <v>1648.5</v>
      </c>
      <c r="P1139">
        <v>0.43977591036414598</v>
      </c>
      <c r="Q1139">
        <v>0</v>
      </c>
      <c r="R1139">
        <v>0</v>
      </c>
      <c r="S1139">
        <v>3</v>
      </c>
      <c r="T1139">
        <v>3748.5</v>
      </c>
    </row>
    <row r="1140" spans="1:20">
      <c r="A1140" t="s">
        <v>1489</v>
      </c>
      <c r="B1140" s="1">
        <v>45593</v>
      </c>
      <c r="C1140">
        <v>44</v>
      </c>
      <c r="D1140">
        <v>10</v>
      </c>
      <c r="E1140" t="s">
        <v>1319</v>
      </c>
      <c r="F1140" t="s">
        <v>115</v>
      </c>
      <c r="G1140" t="s">
        <v>23</v>
      </c>
      <c r="H1140">
        <v>5</v>
      </c>
      <c r="I1140">
        <v>1020</v>
      </c>
      <c r="J1140">
        <v>15</v>
      </c>
      <c r="K1140" t="s">
        <v>1926</v>
      </c>
      <c r="L1140">
        <v>600</v>
      </c>
      <c r="M1140">
        <v>5100</v>
      </c>
      <c r="N1140">
        <v>3000</v>
      </c>
      <c r="O1140">
        <v>2100</v>
      </c>
      <c r="P1140">
        <v>0.41176470588235298</v>
      </c>
      <c r="Q1140">
        <v>0</v>
      </c>
      <c r="R1140">
        <v>0</v>
      </c>
      <c r="S1140">
        <v>5</v>
      </c>
      <c r="T1140">
        <v>5100</v>
      </c>
    </row>
    <row r="1141" spans="1:20">
      <c r="A1141" t="s">
        <v>1490</v>
      </c>
      <c r="B1141" s="1">
        <v>45593</v>
      </c>
      <c r="C1141">
        <v>44</v>
      </c>
      <c r="D1141">
        <v>10</v>
      </c>
      <c r="E1141" t="s">
        <v>1319</v>
      </c>
      <c r="F1141" t="s">
        <v>39</v>
      </c>
      <c r="G1141" t="s">
        <v>14</v>
      </c>
      <c r="H1141">
        <v>1</v>
      </c>
      <c r="I1141">
        <v>880</v>
      </c>
      <c r="J1141">
        <v>0</v>
      </c>
      <c r="K1141" t="s">
        <v>1921</v>
      </c>
      <c r="L1141">
        <v>400</v>
      </c>
      <c r="M1141">
        <v>880</v>
      </c>
      <c r="N1141">
        <v>400</v>
      </c>
      <c r="O1141">
        <v>480</v>
      </c>
      <c r="P1141">
        <v>0.54545454545454497</v>
      </c>
      <c r="Q1141">
        <v>0</v>
      </c>
      <c r="R1141">
        <v>0</v>
      </c>
      <c r="S1141">
        <v>1</v>
      </c>
      <c r="T1141">
        <v>880</v>
      </c>
    </row>
    <row r="1142" spans="1:20">
      <c r="A1142" t="s">
        <v>1491</v>
      </c>
      <c r="B1142" s="1">
        <v>45593</v>
      </c>
      <c r="C1142">
        <v>44</v>
      </c>
      <c r="D1142">
        <v>10</v>
      </c>
      <c r="E1142" t="s">
        <v>1319</v>
      </c>
      <c r="F1142" t="s">
        <v>97</v>
      </c>
      <c r="G1142" t="s">
        <v>20</v>
      </c>
      <c r="H1142">
        <v>5</v>
      </c>
      <c r="I1142">
        <v>1980</v>
      </c>
      <c r="J1142">
        <v>0</v>
      </c>
      <c r="K1142" t="s">
        <v>1932</v>
      </c>
      <c r="L1142">
        <v>1100</v>
      </c>
      <c r="M1142">
        <v>9900</v>
      </c>
      <c r="N1142">
        <v>5500</v>
      </c>
      <c r="O1142">
        <v>4400</v>
      </c>
      <c r="P1142">
        <v>0.44444444444444398</v>
      </c>
      <c r="Q1142">
        <v>2</v>
      </c>
      <c r="R1142">
        <v>2</v>
      </c>
      <c r="S1142">
        <v>3</v>
      </c>
      <c r="T1142">
        <v>5940</v>
      </c>
    </row>
    <row r="1143" spans="1:20">
      <c r="A1143" t="s">
        <v>1492</v>
      </c>
      <c r="B1143" s="1">
        <v>45593</v>
      </c>
      <c r="C1143">
        <v>44</v>
      </c>
      <c r="D1143">
        <v>10</v>
      </c>
      <c r="E1143" t="s">
        <v>1319</v>
      </c>
      <c r="F1143" t="s">
        <v>31</v>
      </c>
      <c r="G1143" t="s">
        <v>23</v>
      </c>
      <c r="H1143">
        <v>2</v>
      </c>
      <c r="I1143">
        <v>1400</v>
      </c>
      <c r="J1143">
        <v>0</v>
      </c>
      <c r="K1143" t="s">
        <v>1930</v>
      </c>
      <c r="L1143">
        <v>700</v>
      </c>
      <c r="M1143">
        <v>2800</v>
      </c>
      <c r="N1143">
        <v>1400</v>
      </c>
      <c r="O1143">
        <v>1400</v>
      </c>
      <c r="P1143">
        <v>0.5</v>
      </c>
      <c r="Q1143">
        <v>0</v>
      </c>
      <c r="R1143">
        <v>0</v>
      </c>
      <c r="S1143">
        <v>2</v>
      </c>
      <c r="T1143">
        <v>2800</v>
      </c>
    </row>
    <row r="1144" spans="1:20">
      <c r="A1144" t="s">
        <v>1493</v>
      </c>
      <c r="B1144" s="1">
        <v>45593</v>
      </c>
      <c r="C1144">
        <v>44</v>
      </c>
      <c r="D1144">
        <v>10</v>
      </c>
      <c r="E1144" t="s">
        <v>1319</v>
      </c>
      <c r="F1144" t="s">
        <v>35</v>
      </c>
      <c r="G1144" t="s">
        <v>17</v>
      </c>
      <c r="H1144">
        <v>1</v>
      </c>
      <c r="I1144">
        <v>3150</v>
      </c>
      <c r="J1144">
        <v>0</v>
      </c>
      <c r="K1144" t="s">
        <v>1942</v>
      </c>
      <c r="L1144">
        <v>1500</v>
      </c>
      <c r="M1144">
        <v>3150</v>
      </c>
      <c r="N1144">
        <v>1500</v>
      </c>
      <c r="O1144">
        <v>1650</v>
      </c>
      <c r="P1144">
        <v>0.52380952380952395</v>
      </c>
      <c r="Q1144">
        <v>0</v>
      </c>
      <c r="R1144">
        <v>0</v>
      </c>
      <c r="S1144">
        <v>1</v>
      </c>
      <c r="T1144">
        <v>3150</v>
      </c>
    </row>
    <row r="1145" spans="1:20">
      <c r="A1145" t="s">
        <v>1494</v>
      </c>
      <c r="B1145" s="1">
        <v>45593</v>
      </c>
      <c r="C1145">
        <v>44</v>
      </c>
      <c r="D1145">
        <v>10</v>
      </c>
      <c r="E1145" t="s">
        <v>1319</v>
      </c>
      <c r="F1145" t="s">
        <v>39</v>
      </c>
      <c r="G1145" t="s">
        <v>14</v>
      </c>
      <c r="H1145">
        <v>4</v>
      </c>
      <c r="I1145">
        <v>880</v>
      </c>
      <c r="J1145">
        <v>0</v>
      </c>
      <c r="K1145" t="s">
        <v>1921</v>
      </c>
      <c r="L1145">
        <v>400</v>
      </c>
      <c r="M1145">
        <v>3520</v>
      </c>
      <c r="N1145">
        <v>1600</v>
      </c>
      <c r="O1145">
        <v>1920</v>
      </c>
      <c r="P1145">
        <v>0.54545454545454497</v>
      </c>
      <c r="Q1145">
        <v>0</v>
      </c>
      <c r="R1145">
        <v>0</v>
      </c>
      <c r="S1145">
        <v>4</v>
      </c>
      <c r="T1145">
        <v>3520</v>
      </c>
    </row>
    <row r="1146" spans="1:20">
      <c r="A1146" t="s">
        <v>1495</v>
      </c>
      <c r="B1146" s="1">
        <v>45593</v>
      </c>
      <c r="C1146">
        <v>44</v>
      </c>
      <c r="D1146">
        <v>10</v>
      </c>
      <c r="E1146" t="s">
        <v>1319</v>
      </c>
      <c r="F1146" t="s">
        <v>28</v>
      </c>
      <c r="G1146" t="s">
        <v>26</v>
      </c>
      <c r="H1146">
        <v>1</v>
      </c>
      <c r="I1146">
        <v>1500</v>
      </c>
      <c r="J1146">
        <v>0</v>
      </c>
      <c r="K1146" t="s">
        <v>1939</v>
      </c>
      <c r="L1146">
        <v>600</v>
      </c>
      <c r="M1146">
        <v>1500</v>
      </c>
      <c r="N1146">
        <v>600</v>
      </c>
      <c r="O1146">
        <v>900</v>
      </c>
      <c r="P1146">
        <v>0.6</v>
      </c>
      <c r="Q1146">
        <v>0</v>
      </c>
      <c r="R1146">
        <v>0</v>
      </c>
      <c r="S1146">
        <v>1</v>
      </c>
      <c r="T1146">
        <v>1500</v>
      </c>
    </row>
    <row r="1147" spans="1:20">
      <c r="A1147" t="s">
        <v>1496</v>
      </c>
      <c r="B1147" s="1">
        <v>45594</v>
      </c>
      <c r="C1147">
        <v>44</v>
      </c>
      <c r="D1147">
        <v>10</v>
      </c>
      <c r="E1147" t="s">
        <v>1319</v>
      </c>
      <c r="F1147" t="s">
        <v>58</v>
      </c>
      <c r="G1147" t="s">
        <v>23</v>
      </c>
      <c r="H1147">
        <v>2</v>
      </c>
      <c r="I1147">
        <v>900</v>
      </c>
      <c r="J1147">
        <v>10</v>
      </c>
      <c r="K1147" t="s">
        <v>1927</v>
      </c>
      <c r="L1147">
        <v>500</v>
      </c>
      <c r="M1147">
        <v>1800</v>
      </c>
      <c r="N1147">
        <v>1000</v>
      </c>
      <c r="O1147">
        <v>800</v>
      </c>
      <c r="P1147">
        <v>0.44444444444444398</v>
      </c>
      <c r="Q1147">
        <v>0</v>
      </c>
      <c r="R1147">
        <v>0</v>
      </c>
      <c r="S1147">
        <v>2</v>
      </c>
      <c r="T1147">
        <v>1800</v>
      </c>
    </row>
    <row r="1148" spans="1:20">
      <c r="A1148" t="s">
        <v>1498</v>
      </c>
      <c r="B1148" s="1">
        <v>45594</v>
      </c>
      <c r="C1148">
        <v>44</v>
      </c>
      <c r="D1148">
        <v>10</v>
      </c>
      <c r="E1148" t="s">
        <v>1319</v>
      </c>
      <c r="F1148" t="s">
        <v>35</v>
      </c>
      <c r="G1148" t="s">
        <v>17</v>
      </c>
      <c r="H1148">
        <v>4</v>
      </c>
      <c r="I1148">
        <v>3150</v>
      </c>
      <c r="J1148">
        <v>0</v>
      </c>
      <c r="K1148" t="s">
        <v>1942</v>
      </c>
      <c r="L1148">
        <v>1500</v>
      </c>
      <c r="M1148">
        <v>12600</v>
      </c>
      <c r="N1148">
        <v>6000</v>
      </c>
      <c r="O1148">
        <v>6600</v>
      </c>
      <c r="P1148">
        <v>0.52380952380952395</v>
      </c>
      <c r="Q1148">
        <v>0</v>
      </c>
      <c r="R1148">
        <v>0</v>
      </c>
      <c r="S1148">
        <v>4</v>
      </c>
      <c r="T1148">
        <v>12600</v>
      </c>
    </row>
    <row r="1149" spans="1:20">
      <c r="A1149" t="s">
        <v>1499</v>
      </c>
      <c r="B1149" s="1">
        <v>45594</v>
      </c>
      <c r="C1149">
        <v>44</v>
      </c>
      <c r="D1149">
        <v>10</v>
      </c>
      <c r="E1149" t="s">
        <v>1319</v>
      </c>
      <c r="F1149" t="s">
        <v>28</v>
      </c>
      <c r="G1149" t="s">
        <v>26</v>
      </c>
      <c r="H1149">
        <v>4</v>
      </c>
      <c r="I1149">
        <v>1350</v>
      </c>
      <c r="J1149">
        <v>10</v>
      </c>
      <c r="K1149" t="s">
        <v>1939</v>
      </c>
      <c r="L1149">
        <v>600</v>
      </c>
      <c r="M1149">
        <v>5400</v>
      </c>
      <c r="N1149">
        <v>2400</v>
      </c>
      <c r="O1149">
        <v>3000</v>
      </c>
      <c r="P1149">
        <v>0.55555555555555602</v>
      </c>
      <c r="Q1149">
        <v>0</v>
      </c>
      <c r="R1149">
        <v>0</v>
      </c>
      <c r="S1149">
        <v>4</v>
      </c>
      <c r="T1149">
        <v>5400</v>
      </c>
    </row>
    <row r="1150" spans="1:20">
      <c r="A1150" t="s">
        <v>1500</v>
      </c>
      <c r="B1150" s="1">
        <v>45594</v>
      </c>
      <c r="C1150">
        <v>44</v>
      </c>
      <c r="D1150">
        <v>10</v>
      </c>
      <c r="E1150" t="s">
        <v>1319</v>
      </c>
      <c r="F1150" t="s">
        <v>64</v>
      </c>
      <c r="G1150" t="s">
        <v>14</v>
      </c>
      <c r="H1150">
        <v>4</v>
      </c>
      <c r="I1150">
        <v>2640</v>
      </c>
      <c r="J1150">
        <v>0</v>
      </c>
      <c r="K1150" t="s">
        <v>1923</v>
      </c>
      <c r="L1150">
        <v>1200</v>
      </c>
      <c r="M1150">
        <v>10560</v>
      </c>
      <c r="N1150">
        <v>4800</v>
      </c>
      <c r="O1150">
        <v>5760</v>
      </c>
      <c r="P1150">
        <v>0.54545454545454497</v>
      </c>
      <c r="Q1150">
        <v>0</v>
      </c>
      <c r="R1150">
        <v>0</v>
      </c>
      <c r="S1150">
        <v>4</v>
      </c>
      <c r="T1150">
        <v>10560</v>
      </c>
    </row>
    <row r="1151" spans="1:20">
      <c r="A1151" t="s">
        <v>1501</v>
      </c>
      <c r="B1151" s="1">
        <v>45595</v>
      </c>
      <c r="C1151">
        <v>44</v>
      </c>
      <c r="D1151">
        <v>10</v>
      </c>
      <c r="E1151" t="s">
        <v>1319</v>
      </c>
      <c r="F1151" t="s">
        <v>68</v>
      </c>
      <c r="G1151" t="s">
        <v>26</v>
      </c>
      <c r="H1151">
        <v>4</v>
      </c>
      <c r="I1151">
        <v>380</v>
      </c>
      <c r="J1151">
        <v>0</v>
      </c>
      <c r="K1151" t="s">
        <v>1937</v>
      </c>
      <c r="L1151">
        <v>150</v>
      </c>
      <c r="M1151">
        <v>1520</v>
      </c>
      <c r="N1151">
        <v>600</v>
      </c>
      <c r="O1151">
        <v>920</v>
      </c>
      <c r="P1151">
        <v>0.60526315789473695</v>
      </c>
      <c r="Q1151">
        <v>0</v>
      </c>
      <c r="R1151">
        <v>0</v>
      </c>
      <c r="S1151">
        <v>4</v>
      </c>
      <c r="T1151">
        <v>1520</v>
      </c>
    </row>
    <row r="1152" spans="1:20">
      <c r="A1152" t="s">
        <v>1503</v>
      </c>
      <c r="B1152" s="1">
        <v>45595</v>
      </c>
      <c r="C1152">
        <v>44</v>
      </c>
      <c r="D1152">
        <v>10</v>
      </c>
      <c r="E1152" t="s">
        <v>1319</v>
      </c>
      <c r="F1152" t="s">
        <v>39</v>
      </c>
      <c r="G1152" t="s">
        <v>14</v>
      </c>
      <c r="H1152">
        <v>2</v>
      </c>
      <c r="I1152">
        <v>880</v>
      </c>
      <c r="J1152">
        <v>0</v>
      </c>
      <c r="K1152" t="s">
        <v>1921</v>
      </c>
      <c r="L1152">
        <v>400</v>
      </c>
      <c r="M1152">
        <v>1760</v>
      </c>
      <c r="N1152">
        <v>800</v>
      </c>
      <c r="O1152">
        <v>960</v>
      </c>
      <c r="P1152">
        <v>0.54545454545454497</v>
      </c>
      <c r="Q1152">
        <v>0</v>
      </c>
      <c r="R1152">
        <v>0</v>
      </c>
      <c r="S1152">
        <v>2</v>
      </c>
      <c r="T1152">
        <v>1760</v>
      </c>
    </row>
    <row r="1153" spans="1:20">
      <c r="A1153" t="s">
        <v>1504</v>
      </c>
      <c r="B1153" s="1">
        <v>45595</v>
      </c>
      <c r="C1153">
        <v>44</v>
      </c>
      <c r="D1153">
        <v>10</v>
      </c>
      <c r="E1153" t="s">
        <v>1319</v>
      </c>
      <c r="F1153" t="s">
        <v>58</v>
      </c>
      <c r="G1153" t="s">
        <v>23</v>
      </c>
      <c r="H1153">
        <v>4</v>
      </c>
      <c r="I1153">
        <v>900</v>
      </c>
      <c r="J1153">
        <v>10</v>
      </c>
      <c r="K1153" t="s">
        <v>1927</v>
      </c>
      <c r="L1153">
        <v>500</v>
      </c>
      <c r="M1153">
        <v>3600</v>
      </c>
      <c r="N1153">
        <v>2000</v>
      </c>
      <c r="O1153">
        <v>1600</v>
      </c>
      <c r="P1153">
        <v>0.44444444444444398</v>
      </c>
      <c r="Q1153">
        <v>0</v>
      </c>
      <c r="R1153">
        <v>0</v>
      </c>
      <c r="S1153">
        <v>4</v>
      </c>
      <c r="T1153">
        <v>3600</v>
      </c>
    </row>
    <row r="1154" spans="1:20">
      <c r="A1154" t="s">
        <v>1505</v>
      </c>
      <c r="B1154" s="1">
        <v>45595</v>
      </c>
      <c r="C1154">
        <v>44</v>
      </c>
      <c r="D1154">
        <v>10</v>
      </c>
      <c r="E1154" t="s">
        <v>1319</v>
      </c>
      <c r="F1154" t="s">
        <v>22</v>
      </c>
      <c r="G1154" t="s">
        <v>23</v>
      </c>
      <c r="H1154">
        <v>3</v>
      </c>
      <c r="I1154">
        <v>500</v>
      </c>
      <c r="J1154">
        <v>0</v>
      </c>
      <c r="K1154" t="s">
        <v>1929</v>
      </c>
      <c r="L1154">
        <v>250</v>
      </c>
      <c r="M1154">
        <v>1500</v>
      </c>
      <c r="N1154">
        <v>750</v>
      </c>
      <c r="O1154">
        <v>750</v>
      </c>
      <c r="P1154">
        <v>0.5</v>
      </c>
      <c r="Q1154">
        <v>0</v>
      </c>
      <c r="R1154">
        <v>0</v>
      </c>
      <c r="S1154">
        <v>3</v>
      </c>
      <c r="T1154">
        <v>1500</v>
      </c>
    </row>
    <row r="1155" spans="1:20">
      <c r="A1155" t="s">
        <v>1506</v>
      </c>
      <c r="B1155" s="1">
        <v>45596</v>
      </c>
      <c r="C1155">
        <v>44</v>
      </c>
      <c r="D1155">
        <v>10</v>
      </c>
      <c r="E1155" t="s">
        <v>1319</v>
      </c>
      <c r="F1155" t="s">
        <v>187</v>
      </c>
      <c r="G1155" t="s">
        <v>14</v>
      </c>
      <c r="H1155">
        <v>1</v>
      </c>
      <c r="I1155">
        <v>4180</v>
      </c>
      <c r="J1155">
        <v>5</v>
      </c>
      <c r="K1155" t="s">
        <v>1924</v>
      </c>
      <c r="L1155">
        <v>2000</v>
      </c>
      <c r="M1155">
        <v>4180</v>
      </c>
      <c r="N1155">
        <v>2000</v>
      </c>
      <c r="O1155">
        <v>2180</v>
      </c>
      <c r="P1155">
        <v>0.52153110047846896</v>
      </c>
      <c r="Q1155">
        <v>0</v>
      </c>
      <c r="R1155">
        <v>0</v>
      </c>
      <c r="S1155">
        <v>1</v>
      </c>
      <c r="T1155">
        <v>4180</v>
      </c>
    </row>
    <row r="1156" spans="1:20">
      <c r="A1156" t="s">
        <v>1508</v>
      </c>
      <c r="B1156" s="1">
        <v>45596</v>
      </c>
      <c r="C1156">
        <v>44</v>
      </c>
      <c r="D1156">
        <v>10</v>
      </c>
      <c r="E1156" t="s">
        <v>1319</v>
      </c>
      <c r="F1156" t="s">
        <v>64</v>
      </c>
      <c r="G1156" t="s">
        <v>14</v>
      </c>
      <c r="H1156">
        <v>2</v>
      </c>
      <c r="I1156">
        <v>2244</v>
      </c>
      <c r="J1156">
        <v>15</v>
      </c>
      <c r="K1156" t="s">
        <v>1923</v>
      </c>
      <c r="L1156">
        <v>1200</v>
      </c>
      <c r="M1156">
        <v>4488</v>
      </c>
      <c r="N1156">
        <v>2400</v>
      </c>
      <c r="O1156">
        <v>2088</v>
      </c>
      <c r="P1156">
        <v>0.46524064171122997</v>
      </c>
      <c r="Q1156">
        <v>0</v>
      </c>
      <c r="R1156">
        <v>0</v>
      </c>
      <c r="S1156">
        <v>2</v>
      </c>
      <c r="T1156">
        <v>4488</v>
      </c>
    </row>
    <row r="1157" spans="1:20">
      <c r="A1157" t="s">
        <v>1509</v>
      </c>
      <c r="B1157" s="1">
        <v>45596</v>
      </c>
      <c r="C1157">
        <v>44</v>
      </c>
      <c r="D1157">
        <v>10</v>
      </c>
      <c r="E1157" t="s">
        <v>1319</v>
      </c>
      <c r="F1157" t="s">
        <v>119</v>
      </c>
      <c r="G1157" t="s">
        <v>14</v>
      </c>
      <c r="H1157">
        <v>1</v>
      </c>
      <c r="I1157">
        <v>770</v>
      </c>
      <c r="J1157">
        <v>0</v>
      </c>
      <c r="K1157" t="s">
        <v>1920</v>
      </c>
      <c r="L1157">
        <v>350</v>
      </c>
      <c r="M1157">
        <v>770</v>
      </c>
      <c r="N1157">
        <v>350</v>
      </c>
      <c r="O1157">
        <v>420</v>
      </c>
      <c r="P1157">
        <v>0.54545454545454497</v>
      </c>
      <c r="Q1157">
        <v>0</v>
      </c>
      <c r="R1157">
        <v>0</v>
      </c>
      <c r="S1157">
        <v>1</v>
      </c>
      <c r="T1157">
        <v>770</v>
      </c>
    </row>
    <row r="1158" spans="1:20">
      <c r="A1158" t="s">
        <v>1510</v>
      </c>
      <c r="B1158" s="1">
        <v>45596</v>
      </c>
      <c r="C1158">
        <v>44</v>
      </c>
      <c r="D1158">
        <v>10</v>
      </c>
      <c r="E1158" t="s">
        <v>1319</v>
      </c>
      <c r="F1158" t="s">
        <v>58</v>
      </c>
      <c r="G1158" t="s">
        <v>23</v>
      </c>
      <c r="H1158">
        <v>1</v>
      </c>
      <c r="I1158">
        <v>850</v>
      </c>
      <c r="J1158">
        <v>15</v>
      </c>
      <c r="K1158" t="s">
        <v>1927</v>
      </c>
      <c r="L1158">
        <v>500</v>
      </c>
      <c r="M1158">
        <v>850</v>
      </c>
      <c r="N1158">
        <v>500</v>
      </c>
      <c r="O1158">
        <v>350</v>
      </c>
      <c r="P1158">
        <v>0.41176470588235298</v>
      </c>
      <c r="Q1158">
        <v>0</v>
      </c>
      <c r="R1158">
        <v>0</v>
      </c>
      <c r="S1158">
        <v>1</v>
      </c>
      <c r="T1158">
        <v>850</v>
      </c>
    </row>
    <row r="1159" spans="1:20">
      <c r="A1159" t="s">
        <v>1511</v>
      </c>
      <c r="B1159" s="1">
        <v>45596</v>
      </c>
      <c r="C1159">
        <v>44</v>
      </c>
      <c r="D1159">
        <v>10</v>
      </c>
      <c r="E1159" t="s">
        <v>1319</v>
      </c>
      <c r="F1159" t="s">
        <v>16</v>
      </c>
      <c r="G1159" t="s">
        <v>17</v>
      </c>
      <c r="H1159">
        <v>1</v>
      </c>
      <c r="I1159">
        <v>468</v>
      </c>
      <c r="J1159">
        <v>10</v>
      </c>
      <c r="K1159" t="s">
        <v>1945</v>
      </c>
      <c r="L1159">
        <v>250</v>
      </c>
      <c r="M1159">
        <v>468</v>
      </c>
      <c r="N1159">
        <v>250</v>
      </c>
      <c r="O1159">
        <v>218</v>
      </c>
      <c r="P1159">
        <v>0.46581196581196599</v>
      </c>
      <c r="Q1159">
        <v>0</v>
      </c>
      <c r="R1159">
        <v>0</v>
      </c>
      <c r="S1159">
        <v>1</v>
      </c>
      <c r="T1159">
        <v>468</v>
      </c>
    </row>
    <row r="1160" spans="1:20">
      <c r="A1160" t="s">
        <v>1512</v>
      </c>
      <c r="B1160" s="1">
        <v>45596</v>
      </c>
      <c r="C1160">
        <v>44</v>
      </c>
      <c r="D1160">
        <v>10</v>
      </c>
      <c r="E1160" t="s">
        <v>1319</v>
      </c>
      <c r="F1160" t="s">
        <v>369</v>
      </c>
      <c r="G1160" t="s">
        <v>221</v>
      </c>
      <c r="H1160">
        <v>3</v>
      </c>
      <c r="I1160">
        <v>700</v>
      </c>
      <c r="J1160">
        <v>0</v>
      </c>
      <c r="K1160" t="s">
        <v>1949</v>
      </c>
      <c r="L1160">
        <v>350</v>
      </c>
      <c r="M1160">
        <v>2100</v>
      </c>
      <c r="N1160">
        <v>1050</v>
      </c>
      <c r="O1160">
        <v>1050</v>
      </c>
      <c r="P1160">
        <v>0.5</v>
      </c>
      <c r="Q1160">
        <v>0</v>
      </c>
      <c r="R1160">
        <v>0</v>
      </c>
      <c r="S1160">
        <v>3</v>
      </c>
      <c r="T1160">
        <v>2100</v>
      </c>
    </row>
    <row r="1161" spans="1:20">
      <c r="A1161" t="s">
        <v>1513</v>
      </c>
      <c r="B1161" s="1">
        <v>45596</v>
      </c>
      <c r="C1161">
        <v>44</v>
      </c>
      <c r="D1161">
        <v>10</v>
      </c>
      <c r="E1161" t="s">
        <v>1319</v>
      </c>
      <c r="F1161" t="s">
        <v>68</v>
      </c>
      <c r="G1161" t="s">
        <v>26</v>
      </c>
      <c r="H1161">
        <v>3</v>
      </c>
      <c r="I1161">
        <v>342</v>
      </c>
      <c r="J1161">
        <v>10</v>
      </c>
      <c r="K1161" t="s">
        <v>1937</v>
      </c>
      <c r="L1161">
        <v>150</v>
      </c>
      <c r="M1161">
        <v>1026</v>
      </c>
      <c r="N1161">
        <v>450</v>
      </c>
      <c r="O1161">
        <v>576</v>
      </c>
      <c r="P1161">
        <v>0.56140350877193002</v>
      </c>
      <c r="Q1161">
        <v>0</v>
      </c>
      <c r="R1161">
        <v>0</v>
      </c>
      <c r="S1161">
        <v>3</v>
      </c>
      <c r="T1161">
        <v>1026</v>
      </c>
    </row>
    <row r="1162" spans="1:20">
      <c r="A1162" t="s">
        <v>1514</v>
      </c>
      <c r="B1162" s="1">
        <v>45597</v>
      </c>
      <c r="C1162">
        <v>44</v>
      </c>
      <c r="D1162">
        <v>11</v>
      </c>
      <c r="E1162" t="s">
        <v>1516</v>
      </c>
      <c r="F1162" t="s">
        <v>25</v>
      </c>
      <c r="G1162" t="s">
        <v>26</v>
      </c>
      <c r="H1162">
        <v>1</v>
      </c>
      <c r="I1162">
        <v>1000</v>
      </c>
      <c r="J1162">
        <v>0</v>
      </c>
      <c r="K1162" t="s">
        <v>1940</v>
      </c>
      <c r="L1162">
        <v>400</v>
      </c>
      <c r="M1162">
        <v>1000</v>
      </c>
      <c r="N1162">
        <v>400</v>
      </c>
      <c r="O1162">
        <v>600</v>
      </c>
      <c r="P1162">
        <v>0.6</v>
      </c>
      <c r="Q1162">
        <v>0</v>
      </c>
      <c r="R1162">
        <v>0</v>
      </c>
      <c r="S1162">
        <v>1</v>
      </c>
      <c r="T1162">
        <v>1000</v>
      </c>
    </row>
    <row r="1163" spans="1:20">
      <c r="A1163" t="s">
        <v>1517</v>
      </c>
      <c r="B1163" s="1">
        <v>45597</v>
      </c>
      <c r="C1163">
        <v>44</v>
      </c>
      <c r="D1163">
        <v>11</v>
      </c>
      <c r="E1163" t="s">
        <v>1516</v>
      </c>
      <c r="F1163" t="s">
        <v>22</v>
      </c>
      <c r="G1163" t="s">
        <v>23</v>
      </c>
      <c r="H1163">
        <v>4</v>
      </c>
      <c r="I1163">
        <v>500</v>
      </c>
      <c r="J1163">
        <v>0</v>
      </c>
      <c r="K1163" t="s">
        <v>1929</v>
      </c>
      <c r="L1163">
        <v>250</v>
      </c>
      <c r="M1163">
        <v>2000</v>
      </c>
      <c r="N1163">
        <v>1000</v>
      </c>
      <c r="O1163">
        <v>1000</v>
      </c>
      <c r="P1163">
        <v>0.5</v>
      </c>
      <c r="Q1163">
        <v>0</v>
      </c>
      <c r="R1163">
        <v>0</v>
      </c>
      <c r="S1163">
        <v>4</v>
      </c>
      <c r="T1163">
        <v>2000</v>
      </c>
    </row>
    <row r="1164" spans="1:20">
      <c r="A1164" t="s">
        <v>1518</v>
      </c>
      <c r="B1164" s="1">
        <v>45597</v>
      </c>
      <c r="C1164">
        <v>44</v>
      </c>
      <c r="D1164">
        <v>11</v>
      </c>
      <c r="E1164" t="s">
        <v>1516</v>
      </c>
      <c r="F1164" t="s">
        <v>82</v>
      </c>
      <c r="G1164" t="s">
        <v>20</v>
      </c>
      <c r="H1164">
        <v>3</v>
      </c>
      <c r="I1164">
        <v>900</v>
      </c>
      <c r="J1164">
        <v>0</v>
      </c>
      <c r="K1164" t="s">
        <v>1933</v>
      </c>
      <c r="L1164">
        <v>500</v>
      </c>
      <c r="M1164">
        <v>2700</v>
      </c>
      <c r="N1164">
        <v>1500</v>
      </c>
      <c r="O1164">
        <v>1200</v>
      </c>
      <c r="P1164">
        <v>0.44444444444444398</v>
      </c>
      <c r="Q1164">
        <v>0</v>
      </c>
      <c r="R1164">
        <v>0</v>
      </c>
      <c r="S1164">
        <v>3</v>
      </c>
      <c r="T1164">
        <v>2700</v>
      </c>
    </row>
    <row r="1165" spans="1:20">
      <c r="A1165" t="s">
        <v>1519</v>
      </c>
      <c r="B1165" s="1">
        <v>45597</v>
      </c>
      <c r="C1165">
        <v>44</v>
      </c>
      <c r="D1165">
        <v>11</v>
      </c>
      <c r="E1165" t="s">
        <v>1516</v>
      </c>
      <c r="F1165" t="s">
        <v>16</v>
      </c>
      <c r="G1165" t="s">
        <v>17</v>
      </c>
      <c r="H1165">
        <v>4</v>
      </c>
      <c r="I1165">
        <v>442</v>
      </c>
      <c r="J1165">
        <v>15</v>
      </c>
      <c r="K1165" t="s">
        <v>1945</v>
      </c>
      <c r="L1165">
        <v>250</v>
      </c>
      <c r="M1165">
        <v>1768</v>
      </c>
      <c r="N1165">
        <v>1000</v>
      </c>
      <c r="O1165">
        <v>768</v>
      </c>
      <c r="P1165">
        <v>0.434389140271493</v>
      </c>
      <c r="Q1165">
        <v>0</v>
      </c>
      <c r="R1165">
        <v>0</v>
      </c>
      <c r="S1165">
        <v>4</v>
      </c>
      <c r="T1165">
        <v>1768</v>
      </c>
    </row>
    <row r="1166" spans="1:20">
      <c r="A1166" t="s">
        <v>1520</v>
      </c>
      <c r="B1166" s="1">
        <v>45597</v>
      </c>
      <c r="C1166">
        <v>44</v>
      </c>
      <c r="D1166">
        <v>11</v>
      </c>
      <c r="E1166" t="s">
        <v>1516</v>
      </c>
      <c r="F1166" t="s">
        <v>25</v>
      </c>
      <c r="G1166" t="s">
        <v>26</v>
      </c>
      <c r="H1166">
        <v>3</v>
      </c>
      <c r="I1166">
        <v>1000</v>
      </c>
      <c r="J1166">
        <v>0</v>
      </c>
      <c r="K1166" t="s">
        <v>1940</v>
      </c>
      <c r="L1166">
        <v>400</v>
      </c>
      <c r="M1166">
        <v>3000</v>
      </c>
      <c r="N1166">
        <v>1200</v>
      </c>
      <c r="O1166">
        <v>1800</v>
      </c>
      <c r="P1166">
        <v>0.6</v>
      </c>
      <c r="Q1166">
        <v>0</v>
      </c>
      <c r="R1166">
        <v>0</v>
      </c>
      <c r="S1166">
        <v>3</v>
      </c>
      <c r="T1166">
        <v>3000</v>
      </c>
    </row>
    <row r="1167" spans="1:20">
      <c r="A1167" t="s">
        <v>1521</v>
      </c>
      <c r="B1167" s="1">
        <v>45597</v>
      </c>
      <c r="C1167">
        <v>44</v>
      </c>
      <c r="D1167">
        <v>11</v>
      </c>
      <c r="E1167" t="s">
        <v>1516</v>
      </c>
      <c r="F1167" t="s">
        <v>64</v>
      </c>
      <c r="G1167" t="s">
        <v>14</v>
      </c>
      <c r="H1167">
        <v>5</v>
      </c>
      <c r="I1167">
        <v>2244</v>
      </c>
      <c r="J1167">
        <v>15</v>
      </c>
      <c r="K1167" t="s">
        <v>1923</v>
      </c>
      <c r="L1167">
        <v>1200</v>
      </c>
      <c r="M1167">
        <v>11220</v>
      </c>
      <c r="N1167">
        <v>6000</v>
      </c>
      <c r="O1167">
        <v>5220</v>
      </c>
      <c r="P1167">
        <v>0.46524064171122997</v>
      </c>
      <c r="Q1167">
        <v>0</v>
      </c>
      <c r="R1167">
        <v>0</v>
      </c>
      <c r="S1167">
        <v>5</v>
      </c>
      <c r="T1167">
        <v>11220</v>
      </c>
    </row>
    <row r="1168" spans="1:20">
      <c r="A1168" t="s">
        <v>1522</v>
      </c>
      <c r="B1168" s="1">
        <v>45597</v>
      </c>
      <c r="C1168">
        <v>44</v>
      </c>
      <c r="D1168">
        <v>11</v>
      </c>
      <c r="E1168" t="s">
        <v>1516</v>
      </c>
      <c r="F1168" t="s">
        <v>86</v>
      </c>
      <c r="G1168" t="s">
        <v>17</v>
      </c>
      <c r="H1168">
        <v>3</v>
      </c>
      <c r="I1168">
        <v>940</v>
      </c>
      <c r="J1168">
        <v>0</v>
      </c>
      <c r="K1168" t="s">
        <v>1944</v>
      </c>
      <c r="L1168">
        <v>450</v>
      </c>
      <c r="M1168">
        <v>2820</v>
      </c>
      <c r="N1168">
        <v>1350</v>
      </c>
      <c r="O1168">
        <v>1470</v>
      </c>
      <c r="P1168">
        <v>0.52127659574468099</v>
      </c>
      <c r="Q1168">
        <v>0</v>
      </c>
      <c r="R1168">
        <v>0</v>
      </c>
      <c r="S1168">
        <v>3</v>
      </c>
      <c r="T1168">
        <v>2820</v>
      </c>
    </row>
    <row r="1169" spans="1:20">
      <c r="A1169" t="s">
        <v>1523</v>
      </c>
      <c r="B1169" s="1">
        <v>45598</v>
      </c>
      <c r="C1169">
        <v>44</v>
      </c>
      <c r="D1169">
        <v>11</v>
      </c>
      <c r="E1169" t="s">
        <v>1516</v>
      </c>
      <c r="F1169" t="s">
        <v>146</v>
      </c>
      <c r="G1169" t="s">
        <v>20</v>
      </c>
      <c r="H1169">
        <v>3</v>
      </c>
      <c r="I1169">
        <v>630</v>
      </c>
      <c r="J1169">
        <v>0</v>
      </c>
      <c r="K1169" t="s">
        <v>1934</v>
      </c>
      <c r="L1169">
        <v>350</v>
      </c>
      <c r="M1169">
        <v>1890</v>
      </c>
      <c r="N1169">
        <v>1050</v>
      </c>
      <c r="O1169">
        <v>840</v>
      </c>
      <c r="P1169">
        <v>0.44444444444444398</v>
      </c>
      <c r="Q1169">
        <v>0</v>
      </c>
      <c r="R1169">
        <v>0</v>
      </c>
      <c r="S1169">
        <v>3</v>
      </c>
      <c r="T1169">
        <v>1890</v>
      </c>
    </row>
    <row r="1170" spans="1:20">
      <c r="A1170" t="s">
        <v>1525</v>
      </c>
      <c r="B1170" s="1">
        <v>45598</v>
      </c>
      <c r="C1170">
        <v>44</v>
      </c>
      <c r="D1170">
        <v>11</v>
      </c>
      <c r="E1170" t="s">
        <v>1516</v>
      </c>
      <c r="F1170" t="s">
        <v>94</v>
      </c>
      <c r="G1170" t="s">
        <v>17</v>
      </c>
      <c r="H1170">
        <v>3</v>
      </c>
      <c r="I1170">
        <v>1428</v>
      </c>
      <c r="J1170">
        <v>15</v>
      </c>
      <c r="K1170" t="s">
        <v>1943</v>
      </c>
      <c r="L1170">
        <v>800</v>
      </c>
      <c r="M1170">
        <v>4284</v>
      </c>
      <c r="N1170">
        <v>2400</v>
      </c>
      <c r="O1170">
        <v>1884</v>
      </c>
      <c r="P1170">
        <v>0.43977591036414598</v>
      </c>
      <c r="Q1170">
        <v>0</v>
      </c>
      <c r="R1170">
        <v>0</v>
      </c>
      <c r="S1170">
        <v>3</v>
      </c>
      <c r="T1170">
        <v>4284</v>
      </c>
    </row>
    <row r="1171" spans="1:20">
      <c r="A1171" t="s">
        <v>1526</v>
      </c>
      <c r="B1171" s="1">
        <v>45598</v>
      </c>
      <c r="C1171">
        <v>44</v>
      </c>
      <c r="D1171">
        <v>11</v>
      </c>
      <c r="E1171" t="s">
        <v>1516</v>
      </c>
      <c r="F1171" t="s">
        <v>45</v>
      </c>
      <c r="G1171" t="s">
        <v>26</v>
      </c>
      <c r="H1171">
        <v>4</v>
      </c>
      <c r="I1171">
        <v>3825</v>
      </c>
      <c r="J1171">
        <v>15</v>
      </c>
      <c r="K1171" t="s">
        <v>1938</v>
      </c>
      <c r="L1171">
        <v>1800</v>
      </c>
      <c r="M1171">
        <v>15300</v>
      </c>
      <c r="N1171">
        <v>7200</v>
      </c>
      <c r="O1171">
        <v>8100</v>
      </c>
      <c r="P1171">
        <v>0.52941176470588203</v>
      </c>
      <c r="Q1171">
        <v>3</v>
      </c>
      <c r="R1171">
        <v>3</v>
      </c>
      <c r="S1171">
        <v>1</v>
      </c>
      <c r="T1171">
        <v>3825</v>
      </c>
    </row>
    <row r="1172" spans="1:20">
      <c r="A1172" t="s">
        <v>1527</v>
      </c>
      <c r="B1172" s="1">
        <v>45598</v>
      </c>
      <c r="C1172">
        <v>44</v>
      </c>
      <c r="D1172">
        <v>11</v>
      </c>
      <c r="E1172" t="s">
        <v>1516</v>
      </c>
      <c r="F1172" t="s">
        <v>94</v>
      </c>
      <c r="G1172" t="s">
        <v>17</v>
      </c>
      <c r="H1172">
        <v>1</v>
      </c>
      <c r="I1172">
        <v>1512</v>
      </c>
      <c r="J1172">
        <v>10</v>
      </c>
      <c r="K1172" t="s">
        <v>1943</v>
      </c>
      <c r="L1172">
        <v>800</v>
      </c>
      <c r="M1172">
        <v>1512</v>
      </c>
      <c r="N1172">
        <v>800</v>
      </c>
      <c r="O1172">
        <v>712</v>
      </c>
      <c r="P1172">
        <v>0.47089947089947098</v>
      </c>
      <c r="Q1172">
        <v>0</v>
      </c>
      <c r="R1172">
        <v>0</v>
      </c>
      <c r="S1172">
        <v>1</v>
      </c>
      <c r="T1172">
        <v>1512</v>
      </c>
    </row>
    <row r="1173" spans="1:20">
      <c r="A1173" t="s">
        <v>1528</v>
      </c>
      <c r="B1173" s="1">
        <v>45598</v>
      </c>
      <c r="C1173">
        <v>44</v>
      </c>
      <c r="D1173">
        <v>11</v>
      </c>
      <c r="E1173" t="s">
        <v>1516</v>
      </c>
      <c r="F1173" t="s">
        <v>22</v>
      </c>
      <c r="G1173" t="s">
        <v>23</v>
      </c>
      <c r="H1173">
        <v>1</v>
      </c>
      <c r="I1173">
        <v>425</v>
      </c>
      <c r="J1173">
        <v>15</v>
      </c>
      <c r="K1173" t="s">
        <v>1929</v>
      </c>
      <c r="L1173">
        <v>250</v>
      </c>
      <c r="M1173">
        <v>425</v>
      </c>
      <c r="N1173">
        <v>250</v>
      </c>
      <c r="O1173">
        <v>175</v>
      </c>
      <c r="P1173">
        <v>0.41176470588235298</v>
      </c>
      <c r="Q1173">
        <v>0</v>
      </c>
      <c r="R1173">
        <v>0</v>
      </c>
      <c r="S1173">
        <v>1</v>
      </c>
      <c r="T1173">
        <v>425</v>
      </c>
    </row>
    <row r="1174" spans="1:20">
      <c r="A1174" t="s">
        <v>1529</v>
      </c>
      <c r="B1174" s="1">
        <v>45598</v>
      </c>
      <c r="C1174">
        <v>44</v>
      </c>
      <c r="D1174">
        <v>11</v>
      </c>
      <c r="E1174" t="s">
        <v>1516</v>
      </c>
      <c r="F1174" t="s">
        <v>97</v>
      </c>
      <c r="G1174" t="s">
        <v>20</v>
      </c>
      <c r="H1174">
        <v>3</v>
      </c>
      <c r="I1174">
        <v>1980</v>
      </c>
      <c r="J1174">
        <v>0</v>
      </c>
      <c r="K1174" t="s">
        <v>1932</v>
      </c>
      <c r="L1174">
        <v>1100</v>
      </c>
      <c r="M1174">
        <v>5940</v>
      </c>
      <c r="N1174">
        <v>3300</v>
      </c>
      <c r="O1174">
        <v>2640</v>
      </c>
      <c r="P1174">
        <v>0.44444444444444398</v>
      </c>
      <c r="Q1174">
        <v>0</v>
      </c>
      <c r="R1174">
        <v>0</v>
      </c>
      <c r="S1174">
        <v>3</v>
      </c>
      <c r="T1174">
        <v>5940</v>
      </c>
    </row>
    <row r="1175" spans="1:20">
      <c r="A1175" t="s">
        <v>1530</v>
      </c>
      <c r="B1175" s="1">
        <v>45599</v>
      </c>
      <c r="C1175">
        <v>44</v>
      </c>
      <c r="D1175">
        <v>11</v>
      </c>
      <c r="E1175" t="s">
        <v>1516</v>
      </c>
      <c r="F1175" t="s">
        <v>86</v>
      </c>
      <c r="G1175" t="s">
        <v>17</v>
      </c>
      <c r="H1175">
        <v>1</v>
      </c>
      <c r="I1175">
        <v>893</v>
      </c>
      <c r="J1175">
        <v>5</v>
      </c>
      <c r="K1175" t="s">
        <v>1944</v>
      </c>
      <c r="L1175">
        <v>450</v>
      </c>
      <c r="M1175">
        <v>893</v>
      </c>
      <c r="N1175">
        <v>450</v>
      </c>
      <c r="O1175">
        <v>443</v>
      </c>
      <c r="P1175">
        <v>0.496080627099664</v>
      </c>
      <c r="Q1175">
        <v>0</v>
      </c>
      <c r="R1175">
        <v>0</v>
      </c>
      <c r="S1175">
        <v>1</v>
      </c>
      <c r="T1175">
        <v>893</v>
      </c>
    </row>
    <row r="1176" spans="1:20">
      <c r="A1176" t="s">
        <v>1532</v>
      </c>
      <c r="B1176" s="1">
        <v>45599</v>
      </c>
      <c r="C1176">
        <v>44</v>
      </c>
      <c r="D1176">
        <v>11</v>
      </c>
      <c r="E1176" t="s">
        <v>1516</v>
      </c>
      <c r="F1176" t="s">
        <v>187</v>
      </c>
      <c r="G1176" t="s">
        <v>14</v>
      </c>
      <c r="H1176">
        <v>5</v>
      </c>
      <c r="I1176">
        <v>4400</v>
      </c>
      <c r="J1176">
        <v>0</v>
      </c>
      <c r="K1176" t="s">
        <v>1924</v>
      </c>
      <c r="L1176">
        <v>2000</v>
      </c>
      <c r="M1176">
        <v>22000</v>
      </c>
      <c r="N1176">
        <v>10000</v>
      </c>
      <c r="O1176">
        <v>12000</v>
      </c>
      <c r="P1176">
        <v>0.54545454545454497</v>
      </c>
      <c r="Q1176">
        <v>0</v>
      </c>
      <c r="R1176">
        <v>0</v>
      </c>
      <c r="S1176">
        <v>5</v>
      </c>
      <c r="T1176">
        <v>22000</v>
      </c>
    </row>
    <row r="1177" spans="1:20">
      <c r="A1177" t="s">
        <v>1533</v>
      </c>
      <c r="B1177" s="1">
        <v>45599</v>
      </c>
      <c r="C1177">
        <v>44</v>
      </c>
      <c r="D1177">
        <v>11</v>
      </c>
      <c r="E1177" t="s">
        <v>1516</v>
      </c>
      <c r="F1177" t="s">
        <v>16</v>
      </c>
      <c r="G1177" t="s">
        <v>17</v>
      </c>
      <c r="H1177">
        <v>2</v>
      </c>
      <c r="I1177">
        <v>442</v>
      </c>
      <c r="J1177">
        <v>15</v>
      </c>
      <c r="K1177" t="s">
        <v>1945</v>
      </c>
      <c r="L1177">
        <v>250</v>
      </c>
      <c r="M1177">
        <v>884</v>
      </c>
      <c r="N1177">
        <v>500</v>
      </c>
      <c r="O1177">
        <v>384</v>
      </c>
      <c r="P1177">
        <v>0.434389140271493</v>
      </c>
      <c r="Q1177">
        <v>0</v>
      </c>
      <c r="R1177">
        <v>0</v>
      </c>
      <c r="S1177">
        <v>2</v>
      </c>
      <c r="T1177">
        <v>884</v>
      </c>
    </row>
    <row r="1178" spans="1:20">
      <c r="A1178" t="s">
        <v>1534</v>
      </c>
      <c r="B1178" s="1">
        <v>45599</v>
      </c>
      <c r="C1178">
        <v>44</v>
      </c>
      <c r="D1178">
        <v>11</v>
      </c>
      <c r="E1178" t="s">
        <v>1516</v>
      </c>
      <c r="F1178" t="s">
        <v>51</v>
      </c>
      <c r="G1178" t="s">
        <v>26</v>
      </c>
      <c r="H1178">
        <v>5</v>
      </c>
      <c r="I1178">
        <v>475</v>
      </c>
      <c r="J1178">
        <v>5</v>
      </c>
      <c r="K1178" t="s">
        <v>1936</v>
      </c>
      <c r="L1178">
        <v>200</v>
      </c>
      <c r="M1178">
        <v>2375</v>
      </c>
      <c r="N1178">
        <v>1000</v>
      </c>
      <c r="O1178">
        <v>1375</v>
      </c>
      <c r="P1178">
        <v>0.57894736842105299</v>
      </c>
      <c r="Q1178">
        <v>0</v>
      </c>
      <c r="R1178">
        <v>0</v>
      </c>
      <c r="S1178">
        <v>5</v>
      </c>
      <c r="T1178">
        <v>2375</v>
      </c>
    </row>
    <row r="1179" spans="1:20">
      <c r="A1179" t="s">
        <v>1535</v>
      </c>
      <c r="B1179" s="1">
        <v>45599</v>
      </c>
      <c r="C1179">
        <v>44</v>
      </c>
      <c r="D1179">
        <v>11</v>
      </c>
      <c r="E1179" t="s">
        <v>1516</v>
      </c>
      <c r="F1179" t="s">
        <v>37</v>
      </c>
      <c r="G1179" t="s">
        <v>20</v>
      </c>
      <c r="H1179">
        <v>1</v>
      </c>
      <c r="I1179">
        <v>2340</v>
      </c>
      <c r="J1179">
        <v>0</v>
      </c>
      <c r="K1179" t="s">
        <v>1935</v>
      </c>
      <c r="L1179">
        <v>1300</v>
      </c>
      <c r="M1179">
        <v>2340</v>
      </c>
      <c r="N1179">
        <v>1300</v>
      </c>
      <c r="O1179">
        <v>1040</v>
      </c>
      <c r="P1179">
        <v>0.44444444444444398</v>
      </c>
      <c r="Q1179">
        <v>0</v>
      </c>
      <c r="R1179">
        <v>0</v>
      </c>
      <c r="S1179">
        <v>1</v>
      </c>
      <c r="T1179">
        <v>2340</v>
      </c>
    </row>
    <row r="1180" spans="1:20">
      <c r="A1180" t="s">
        <v>1536</v>
      </c>
      <c r="B1180" s="1">
        <v>45599</v>
      </c>
      <c r="C1180">
        <v>44</v>
      </c>
      <c r="D1180">
        <v>11</v>
      </c>
      <c r="E1180" t="s">
        <v>1516</v>
      </c>
      <c r="F1180" t="s">
        <v>82</v>
      </c>
      <c r="G1180" t="s">
        <v>20</v>
      </c>
      <c r="H1180">
        <v>4</v>
      </c>
      <c r="I1180">
        <v>900</v>
      </c>
      <c r="J1180">
        <v>0</v>
      </c>
      <c r="K1180" t="s">
        <v>1933</v>
      </c>
      <c r="L1180">
        <v>500</v>
      </c>
      <c r="M1180">
        <v>3600</v>
      </c>
      <c r="N1180">
        <v>2000</v>
      </c>
      <c r="O1180">
        <v>1600</v>
      </c>
      <c r="P1180">
        <v>0.44444444444444398</v>
      </c>
      <c r="Q1180">
        <v>0</v>
      </c>
      <c r="R1180">
        <v>0</v>
      </c>
      <c r="S1180">
        <v>4</v>
      </c>
      <c r="T1180">
        <v>3600</v>
      </c>
    </row>
    <row r="1181" spans="1:20">
      <c r="A1181" t="s">
        <v>1537</v>
      </c>
      <c r="B1181" s="1">
        <v>45599</v>
      </c>
      <c r="C1181">
        <v>44</v>
      </c>
      <c r="D1181">
        <v>11</v>
      </c>
      <c r="E1181" t="s">
        <v>1516</v>
      </c>
      <c r="F1181" t="s">
        <v>80</v>
      </c>
      <c r="G1181" t="s">
        <v>14</v>
      </c>
      <c r="H1181">
        <v>4</v>
      </c>
      <c r="I1181">
        <v>340</v>
      </c>
      <c r="J1181">
        <v>15</v>
      </c>
      <c r="K1181" t="s">
        <v>1922</v>
      </c>
      <c r="L1181">
        <v>180</v>
      </c>
      <c r="M1181">
        <v>1360</v>
      </c>
      <c r="N1181">
        <v>720</v>
      </c>
      <c r="O1181">
        <v>640</v>
      </c>
      <c r="P1181">
        <v>0.47058823529411797</v>
      </c>
      <c r="Q1181">
        <v>0</v>
      </c>
      <c r="R1181">
        <v>0</v>
      </c>
      <c r="S1181">
        <v>4</v>
      </c>
      <c r="T1181">
        <v>1360</v>
      </c>
    </row>
    <row r="1182" spans="1:20">
      <c r="A1182" t="s">
        <v>1538</v>
      </c>
      <c r="B1182" s="1">
        <v>45599</v>
      </c>
      <c r="C1182">
        <v>44</v>
      </c>
      <c r="D1182">
        <v>11</v>
      </c>
      <c r="E1182" t="s">
        <v>1516</v>
      </c>
      <c r="F1182" t="s">
        <v>13</v>
      </c>
      <c r="G1182" t="s">
        <v>14</v>
      </c>
      <c r="H1182">
        <v>3</v>
      </c>
      <c r="I1182">
        <v>480</v>
      </c>
      <c r="J1182">
        <v>0</v>
      </c>
      <c r="K1182" t="s">
        <v>1925</v>
      </c>
      <c r="L1182">
        <v>220</v>
      </c>
      <c r="M1182">
        <v>1440</v>
      </c>
      <c r="N1182">
        <v>660</v>
      </c>
      <c r="O1182">
        <v>780</v>
      </c>
      <c r="P1182">
        <v>0.54166666666666696</v>
      </c>
      <c r="Q1182">
        <v>0</v>
      </c>
      <c r="R1182">
        <v>0</v>
      </c>
      <c r="S1182">
        <v>3</v>
      </c>
      <c r="T1182">
        <v>1440</v>
      </c>
    </row>
    <row r="1183" spans="1:20">
      <c r="A1183" t="s">
        <v>1539</v>
      </c>
      <c r="B1183" s="1">
        <v>45599</v>
      </c>
      <c r="C1183">
        <v>44</v>
      </c>
      <c r="D1183">
        <v>11</v>
      </c>
      <c r="E1183" t="s">
        <v>1516</v>
      </c>
      <c r="F1183" t="s">
        <v>35</v>
      </c>
      <c r="G1183" t="s">
        <v>17</v>
      </c>
      <c r="H1183">
        <v>1</v>
      </c>
      <c r="I1183">
        <v>2835</v>
      </c>
      <c r="J1183">
        <v>10</v>
      </c>
      <c r="K1183" t="s">
        <v>1942</v>
      </c>
      <c r="L1183">
        <v>1500</v>
      </c>
      <c r="M1183">
        <v>2835</v>
      </c>
      <c r="N1183">
        <v>1500</v>
      </c>
      <c r="O1183">
        <v>1335</v>
      </c>
      <c r="P1183">
        <v>0.47089947089947098</v>
      </c>
      <c r="Q1183">
        <v>0</v>
      </c>
      <c r="R1183">
        <v>0</v>
      </c>
      <c r="S1183">
        <v>1</v>
      </c>
      <c r="T1183">
        <v>2835</v>
      </c>
    </row>
    <row r="1184" spans="1:20">
      <c r="A1184" t="s">
        <v>1540</v>
      </c>
      <c r="B1184" s="1">
        <v>45600</v>
      </c>
      <c r="C1184">
        <v>45</v>
      </c>
      <c r="D1184">
        <v>11</v>
      </c>
      <c r="E1184" t="s">
        <v>1516</v>
      </c>
      <c r="F1184" t="s">
        <v>28</v>
      </c>
      <c r="G1184" t="s">
        <v>26</v>
      </c>
      <c r="H1184">
        <v>1</v>
      </c>
      <c r="I1184">
        <v>1500</v>
      </c>
      <c r="J1184">
        <v>0</v>
      </c>
      <c r="K1184" t="s">
        <v>1939</v>
      </c>
      <c r="L1184">
        <v>600</v>
      </c>
      <c r="M1184">
        <v>1500</v>
      </c>
      <c r="N1184">
        <v>600</v>
      </c>
      <c r="O1184">
        <v>900</v>
      </c>
      <c r="P1184">
        <v>0.6</v>
      </c>
      <c r="Q1184">
        <v>0</v>
      </c>
      <c r="R1184">
        <v>0</v>
      </c>
      <c r="S1184">
        <v>1</v>
      </c>
      <c r="T1184">
        <v>1500</v>
      </c>
    </row>
    <row r="1185" spans="1:20">
      <c r="A1185" t="s">
        <v>1542</v>
      </c>
      <c r="B1185" s="1">
        <v>45600</v>
      </c>
      <c r="C1185">
        <v>45</v>
      </c>
      <c r="D1185">
        <v>11</v>
      </c>
      <c r="E1185" t="s">
        <v>1516</v>
      </c>
      <c r="F1185" t="s">
        <v>146</v>
      </c>
      <c r="G1185" t="s">
        <v>20</v>
      </c>
      <c r="H1185">
        <v>1</v>
      </c>
      <c r="I1185">
        <v>630</v>
      </c>
      <c r="J1185">
        <v>0</v>
      </c>
      <c r="K1185" t="s">
        <v>1934</v>
      </c>
      <c r="L1185">
        <v>350</v>
      </c>
      <c r="M1185">
        <v>630</v>
      </c>
      <c r="N1185">
        <v>350</v>
      </c>
      <c r="O1185">
        <v>280</v>
      </c>
      <c r="P1185">
        <v>0.44444444444444398</v>
      </c>
      <c r="Q1185">
        <v>0</v>
      </c>
      <c r="R1185">
        <v>0</v>
      </c>
      <c r="S1185">
        <v>1</v>
      </c>
      <c r="T1185">
        <v>630</v>
      </c>
    </row>
    <row r="1186" spans="1:20">
      <c r="A1186" t="s">
        <v>1543</v>
      </c>
      <c r="B1186" s="1">
        <v>45600</v>
      </c>
      <c r="C1186">
        <v>45</v>
      </c>
      <c r="D1186">
        <v>11</v>
      </c>
      <c r="E1186" t="s">
        <v>1516</v>
      </c>
      <c r="F1186" t="s">
        <v>94</v>
      </c>
      <c r="G1186" t="s">
        <v>17</v>
      </c>
      <c r="H1186">
        <v>3</v>
      </c>
      <c r="I1186">
        <v>1680</v>
      </c>
      <c r="J1186">
        <v>0</v>
      </c>
      <c r="K1186" t="s">
        <v>1943</v>
      </c>
      <c r="L1186">
        <v>800</v>
      </c>
      <c r="M1186">
        <v>5040</v>
      </c>
      <c r="N1186">
        <v>2400</v>
      </c>
      <c r="O1186">
        <v>2640</v>
      </c>
      <c r="P1186">
        <v>0.52380952380952395</v>
      </c>
      <c r="Q1186">
        <v>0</v>
      </c>
      <c r="R1186">
        <v>0</v>
      </c>
      <c r="S1186">
        <v>3</v>
      </c>
      <c r="T1186">
        <v>5040</v>
      </c>
    </row>
    <row r="1187" spans="1:20">
      <c r="A1187" t="s">
        <v>1544</v>
      </c>
      <c r="B1187" s="1">
        <v>45600</v>
      </c>
      <c r="C1187">
        <v>45</v>
      </c>
      <c r="D1187">
        <v>11</v>
      </c>
      <c r="E1187" t="s">
        <v>1516</v>
      </c>
      <c r="F1187" t="s">
        <v>80</v>
      </c>
      <c r="G1187" t="s">
        <v>14</v>
      </c>
      <c r="H1187">
        <v>2</v>
      </c>
      <c r="I1187">
        <v>400</v>
      </c>
      <c r="J1187">
        <v>0</v>
      </c>
      <c r="K1187" t="s">
        <v>1922</v>
      </c>
      <c r="L1187">
        <v>180</v>
      </c>
      <c r="M1187">
        <v>800</v>
      </c>
      <c r="N1187">
        <v>360</v>
      </c>
      <c r="O1187">
        <v>440</v>
      </c>
      <c r="P1187">
        <v>0.55000000000000004</v>
      </c>
      <c r="Q1187">
        <v>0</v>
      </c>
      <c r="R1187">
        <v>0</v>
      </c>
      <c r="S1187">
        <v>2</v>
      </c>
      <c r="T1187">
        <v>800</v>
      </c>
    </row>
    <row r="1188" spans="1:20">
      <c r="A1188" t="s">
        <v>1545</v>
      </c>
      <c r="B1188" s="1">
        <v>45600</v>
      </c>
      <c r="C1188">
        <v>45</v>
      </c>
      <c r="D1188">
        <v>11</v>
      </c>
      <c r="E1188" t="s">
        <v>1516</v>
      </c>
      <c r="F1188" t="s">
        <v>35</v>
      </c>
      <c r="G1188" t="s">
        <v>17</v>
      </c>
      <c r="H1188">
        <v>2</v>
      </c>
      <c r="I1188">
        <v>2992.5</v>
      </c>
      <c r="J1188">
        <v>5</v>
      </c>
      <c r="K1188" t="s">
        <v>1942</v>
      </c>
      <c r="L1188">
        <v>1500</v>
      </c>
      <c r="M1188">
        <v>5985</v>
      </c>
      <c r="N1188">
        <v>3000</v>
      </c>
      <c r="O1188">
        <v>2985</v>
      </c>
      <c r="P1188">
        <v>0.49874686716791999</v>
      </c>
      <c r="Q1188">
        <v>0</v>
      </c>
      <c r="R1188">
        <v>0</v>
      </c>
      <c r="S1188">
        <v>2</v>
      </c>
      <c r="T1188">
        <v>5985</v>
      </c>
    </row>
    <row r="1189" spans="1:20">
      <c r="A1189" t="s">
        <v>1546</v>
      </c>
      <c r="B1189" s="1">
        <v>45601</v>
      </c>
      <c r="C1189">
        <v>45</v>
      </c>
      <c r="D1189">
        <v>11</v>
      </c>
      <c r="E1189" t="s">
        <v>1516</v>
      </c>
      <c r="F1189" t="s">
        <v>97</v>
      </c>
      <c r="G1189" t="s">
        <v>20</v>
      </c>
      <c r="H1189">
        <v>4</v>
      </c>
      <c r="I1189">
        <v>1980</v>
      </c>
      <c r="J1189">
        <v>0</v>
      </c>
      <c r="K1189" t="s">
        <v>1932</v>
      </c>
      <c r="L1189">
        <v>1100</v>
      </c>
      <c r="M1189">
        <v>7920</v>
      </c>
      <c r="N1189">
        <v>4400</v>
      </c>
      <c r="O1189">
        <v>3520</v>
      </c>
      <c r="P1189">
        <v>0.44444444444444398</v>
      </c>
      <c r="Q1189">
        <v>0</v>
      </c>
      <c r="R1189">
        <v>0</v>
      </c>
      <c r="S1189">
        <v>4</v>
      </c>
      <c r="T1189">
        <v>7920</v>
      </c>
    </row>
    <row r="1190" spans="1:20">
      <c r="A1190" t="s">
        <v>1548</v>
      </c>
      <c r="B1190" s="1">
        <v>45601</v>
      </c>
      <c r="C1190">
        <v>45</v>
      </c>
      <c r="D1190">
        <v>11</v>
      </c>
      <c r="E1190" t="s">
        <v>1516</v>
      </c>
      <c r="F1190" t="s">
        <v>19</v>
      </c>
      <c r="G1190" t="s">
        <v>20</v>
      </c>
      <c r="H1190">
        <v>3</v>
      </c>
      <c r="I1190">
        <v>1458</v>
      </c>
      <c r="J1190">
        <v>10</v>
      </c>
      <c r="K1190" t="s">
        <v>1931</v>
      </c>
      <c r="L1190">
        <v>900</v>
      </c>
      <c r="M1190">
        <v>4374</v>
      </c>
      <c r="N1190">
        <v>2700</v>
      </c>
      <c r="O1190">
        <v>1674</v>
      </c>
      <c r="P1190">
        <v>0.38271604938271597</v>
      </c>
      <c r="Q1190">
        <v>0</v>
      </c>
      <c r="R1190">
        <v>0</v>
      </c>
      <c r="S1190">
        <v>3</v>
      </c>
      <c r="T1190">
        <v>4374</v>
      </c>
    </row>
    <row r="1191" spans="1:20">
      <c r="A1191" t="s">
        <v>1549</v>
      </c>
      <c r="B1191" s="1">
        <v>45601</v>
      </c>
      <c r="C1191">
        <v>45</v>
      </c>
      <c r="D1191">
        <v>11</v>
      </c>
      <c r="E1191" t="s">
        <v>1516</v>
      </c>
      <c r="F1191" t="s">
        <v>58</v>
      </c>
      <c r="G1191" t="s">
        <v>23</v>
      </c>
      <c r="H1191">
        <v>5</v>
      </c>
      <c r="I1191">
        <v>900</v>
      </c>
      <c r="J1191">
        <v>10</v>
      </c>
      <c r="K1191" t="s">
        <v>1927</v>
      </c>
      <c r="L1191">
        <v>500</v>
      </c>
      <c r="M1191">
        <v>4500</v>
      </c>
      <c r="N1191">
        <v>2500</v>
      </c>
      <c r="O1191">
        <v>2000</v>
      </c>
      <c r="P1191">
        <v>0.44444444444444398</v>
      </c>
      <c r="Q1191">
        <v>0</v>
      </c>
      <c r="R1191">
        <v>0</v>
      </c>
      <c r="S1191">
        <v>5</v>
      </c>
      <c r="T1191">
        <v>4500</v>
      </c>
    </row>
    <row r="1192" spans="1:20">
      <c r="A1192" t="s">
        <v>1550</v>
      </c>
      <c r="B1192" s="1">
        <v>45601</v>
      </c>
      <c r="C1192">
        <v>45</v>
      </c>
      <c r="D1192">
        <v>11</v>
      </c>
      <c r="E1192" t="s">
        <v>1516</v>
      </c>
      <c r="F1192" t="s">
        <v>31</v>
      </c>
      <c r="G1192" t="s">
        <v>23</v>
      </c>
      <c r="H1192">
        <v>5</v>
      </c>
      <c r="I1192">
        <v>1190</v>
      </c>
      <c r="J1192">
        <v>15</v>
      </c>
      <c r="K1192" t="s">
        <v>1930</v>
      </c>
      <c r="L1192">
        <v>700</v>
      </c>
      <c r="M1192">
        <v>5950</v>
      </c>
      <c r="N1192">
        <v>3500</v>
      </c>
      <c r="O1192">
        <v>2450</v>
      </c>
      <c r="P1192">
        <v>0.41176470588235298</v>
      </c>
      <c r="Q1192">
        <v>4</v>
      </c>
      <c r="R1192">
        <v>4</v>
      </c>
      <c r="S1192">
        <v>1</v>
      </c>
      <c r="T1192">
        <v>1190</v>
      </c>
    </row>
    <row r="1193" spans="1:20">
      <c r="A1193" t="s">
        <v>1551</v>
      </c>
      <c r="B1193" s="1">
        <v>45601</v>
      </c>
      <c r="C1193">
        <v>45</v>
      </c>
      <c r="D1193">
        <v>11</v>
      </c>
      <c r="E1193" t="s">
        <v>1516</v>
      </c>
      <c r="F1193" t="s">
        <v>19</v>
      </c>
      <c r="G1193" t="s">
        <v>20</v>
      </c>
      <c r="H1193">
        <v>4</v>
      </c>
      <c r="I1193">
        <v>1620</v>
      </c>
      <c r="J1193">
        <v>0</v>
      </c>
      <c r="K1193" t="s">
        <v>1931</v>
      </c>
      <c r="L1193">
        <v>900</v>
      </c>
      <c r="M1193">
        <v>6480</v>
      </c>
      <c r="N1193">
        <v>3600</v>
      </c>
      <c r="O1193">
        <v>2880</v>
      </c>
      <c r="P1193">
        <v>0.44444444444444398</v>
      </c>
      <c r="Q1193">
        <v>0</v>
      </c>
      <c r="R1193">
        <v>0</v>
      </c>
      <c r="S1193">
        <v>4</v>
      </c>
      <c r="T1193">
        <v>6480</v>
      </c>
    </row>
    <row r="1194" spans="1:20">
      <c r="A1194" t="s">
        <v>1552</v>
      </c>
      <c r="B1194" s="1">
        <v>45601</v>
      </c>
      <c r="C1194">
        <v>45</v>
      </c>
      <c r="D1194">
        <v>11</v>
      </c>
      <c r="E1194" t="s">
        <v>1516</v>
      </c>
      <c r="F1194" t="s">
        <v>66</v>
      </c>
      <c r="G1194" t="s">
        <v>17</v>
      </c>
      <c r="H1194">
        <v>1</v>
      </c>
      <c r="I1194">
        <v>1470</v>
      </c>
      <c r="J1194">
        <v>0</v>
      </c>
      <c r="K1194" t="s">
        <v>1941</v>
      </c>
      <c r="L1194">
        <v>700</v>
      </c>
      <c r="M1194">
        <v>1470</v>
      </c>
      <c r="N1194">
        <v>700</v>
      </c>
      <c r="O1194">
        <v>770</v>
      </c>
      <c r="P1194">
        <v>0.52380952380952395</v>
      </c>
      <c r="Q1194">
        <v>0</v>
      </c>
      <c r="R1194">
        <v>0</v>
      </c>
      <c r="S1194">
        <v>1</v>
      </c>
      <c r="T1194">
        <v>1470</v>
      </c>
    </row>
    <row r="1195" spans="1:20">
      <c r="A1195" t="s">
        <v>1553</v>
      </c>
      <c r="B1195" s="1">
        <v>45601</v>
      </c>
      <c r="C1195">
        <v>45</v>
      </c>
      <c r="D1195">
        <v>11</v>
      </c>
      <c r="E1195" t="s">
        <v>1516</v>
      </c>
      <c r="F1195" t="s">
        <v>97</v>
      </c>
      <c r="G1195" t="s">
        <v>20</v>
      </c>
      <c r="H1195">
        <v>2</v>
      </c>
      <c r="I1195">
        <v>1980</v>
      </c>
      <c r="J1195">
        <v>0</v>
      </c>
      <c r="K1195" t="s">
        <v>1932</v>
      </c>
      <c r="L1195">
        <v>1100</v>
      </c>
      <c r="M1195">
        <v>3960</v>
      </c>
      <c r="N1195">
        <v>2200</v>
      </c>
      <c r="O1195">
        <v>1760</v>
      </c>
      <c r="P1195">
        <v>0.44444444444444398</v>
      </c>
      <c r="Q1195">
        <v>0</v>
      </c>
      <c r="R1195">
        <v>0</v>
      </c>
      <c r="S1195">
        <v>2</v>
      </c>
      <c r="T1195">
        <v>3960</v>
      </c>
    </row>
    <row r="1196" spans="1:20">
      <c r="A1196" t="s">
        <v>1554</v>
      </c>
      <c r="B1196" s="1">
        <v>45602</v>
      </c>
      <c r="C1196">
        <v>45</v>
      </c>
      <c r="D1196">
        <v>11</v>
      </c>
      <c r="E1196" t="s">
        <v>1516</v>
      </c>
      <c r="F1196" t="s">
        <v>35</v>
      </c>
      <c r="G1196" t="s">
        <v>17</v>
      </c>
      <c r="H1196">
        <v>5</v>
      </c>
      <c r="I1196">
        <v>2677.5</v>
      </c>
      <c r="J1196">
        <v>15</v>
      </c>
      <c r="K1196" t="s">
        <v>1942</v>
      </c>
      <c r="L1196">
        <v>1500</v>
      </c>
      <c r="M1196">
        <v>13387.5</v>
      </c>
      <c r="N1196">
        <v>7500</v>
      </c>
      <c r="O1196">
        <v>5887.5</v>
      </c>
      <c r="P1196">
        <v>0.43977591036414598</v>
      </c>
      <c r="Q1196">
        <v>0</v>
      </c>
      <c r="R1196">
        <v>0</v>
      </c>
      <c r="S1196">
        <v>5</v>
      </c>
      <c r="T1196">
        <v>13387.5</v>
      </c>
    </row>
    <row r="1197" spans="1:20">
      <c r="A1197" t="s">
        <v>1556</v>
      </c>
      <c r="B1197" s="1">
        <v>45602</v>
      </c>
      <c r="C1197">
        <v>45</v>
      </c>
      <c r="D1197">
        <v>11</v>
      </c>
      <c r="E1197" t="s">
        <v>1516</v>
      </c>
      <c r="F1197" t="s">
        <v>119</v>
      </c>
      <c r="G1197" t="s">
        <v>14</v>
      </c>
      <c r="H1197">
        <v>3</v>
      </c>
      <c r="I1197">
        <v>770</v>
      </c>
      <c r="J1197">
        <v>0</v>
      </c>
      <c r="K1197" t="s">
        <v>1920</v>
      </c>
      <c r="L1197">
        <v>350</v>
      </c>
      <c r="M1197">
        <v>2310</v>
      </c>
      <c r="N1197">
        <v>1050</v>
      </c>
      <c r="O1197">
        <v>1260</v>
      </c>
      <c r="P1197">
        <v>0.54545454545454497</v>
      </c>
      <c r="Q1197">
        <v>0</v>
      </c>
      <c r="R1197">
        <v>0</v>
      </c>
      <c r="S1197">
        <v>3</v>
      </c>
      <c r="T1197">
        <v>2310</v>
      </c>
    </row>
    <row r="1198" spans="1:20">
      <c r="A1198" t="s">
        <v>1557</v>
      </c>
      <c r="B1198" s="1">
        <v>45602</v>
      </c>
      <c r="C1198">
        <v>45</v>
      </c>
      <c r="D1198">
        <v>11</v>
      </c>
      <c r="E1198" t="s">
        <v>1516</v>
      </c>
      <c r="F1198" t="s">
        <v>115</v>
      </c>
      <c r="G1198" t="s">
        <v>23</v>
      </c>
      <c r="H1198">
        <v>3</v>
      </c>
      <c r="I1198">
        <v>1200</v>
      </c>
      <c r="J1198">
        <v>0</v>
      </c>
      <c r="K1198" t="s">
        <v>1926</v>
      </c>
      <c r="L1198">
        <v>600</v>
      </c>
      <c r="M1198">
        <v>3600</v>
      </c>
      <c r="N1198">
        <v>1800</v>
      </c>
      <c r="O1198">
        <v>1800</v>
      </c>
      <c r="P1198">
        <v>0.5</v>
      </c>
      <c r="Q1198">
        <v>0</v>
      </c>
      <c r="R1198">
        <v>0</v>
      </c>
      <c r="S1198">
        <v>3</v>
      </c>
      <c r="T1198">
        <v>3600</v>
      </c>
    </row>
    <row r="1199" spans="1:20">
      <c r="A1199" t="s">
        <v>1558</v>
      </c>
      <c r="B1199" s="1">
        <v>45602</v>
      </c>
      <c r="C1199">
        <v>45</v>
      </c>
      <c r="D1199">
        <v>11</v>
      </c>
      <c r="E1199" t="s">
        <v>1516</v>
      </c>
      <c r="F1199" t="s">
        <v>97</v>
      </c>
      <c r="G1199" t="s">
        <v>20</v>
      </c>
      <c r="H1199">
        <v>1</v>
      </c>
      <c r="I1199">
        <v>1980</v>
      </c>
      <c r="J1199">
        <v>0</v>
      </c>
      <c r="K1199" t="s">
        <v>1932</v>
      </c>
      <c r="L1199">
        <v>1100</v>
      </c>
      <c r="M1199">
        <v>1980</v>
      </c>
      <c r="N1199">
        <v>1100</v>
      </c>
      <c r="O1199">
        <v>880</v>
      </c>
      <c r="P1199">
        <v>0.44444444444444398</v>
      </c>
      <c r="Q1199">
        <v>0</v>
      </c>
      <c r="R1199">
        <v>0</v>
      </c>
      <c r="S1199">
        <v>1</v>
      </c>
      <c r="T1199">
        <v>1980</v>
      </c>
    </row>
    <row r="1200" spans="1:20">
      <c r="A1200" t="s">
        <v>1559</v>
      </c>
      <c r="B1200" s="1">
        <v>45602</v>
      </c>
      <c r="C1200">
        <v>45</v>
      </c>
      <c r="D1200">
        <v>11</v>
      </c>
      <c r="E1200" t="s">
        <v>1516</v>
      </c>
      <c r="F1200" t="s">
        <v>97</v>
      </c>
      <c r="G1200" t="s">
        <v>20</v>
      </c>
      <c r="H1200">
        <v>4</v>
      </c>
      <c r="I1200">
        <v>1881</v>
      </c>
      <c r="J1200">
        <v>5</v>
      </c>
      <c r="K1200" t="s">
        <v>1932</v>
      </c>
      <c r="L1200">
        <v>1100</v>
      </c>
      <c r="M1200">
        <v>7524</v>
      </c>
      <c r="N1200">
        <v>4400</v>
      </c>
      <c r="O1200">
        <v>3124</v>
      </c>
      <c r="P1200">
        <v>0.41520467836257302</v>
      </c>
      <c r="Q1200">
        <v>0</v>
      </c>
      <c r="R1200">
        <v>0</v>
      </c>
      <c r="S1200">
        <v>4</v>
      </c>
      <c r="T1200">
        <v>7524</v>
      </c>
    </row>
    <row r="1201" spans="1:20">
      <c r="A1201" t="s">
        <v>1560</v>
      </c>
      <c r="B1201" s="1">
        <v>45603</v>
      </c>
      <c r="C1201">
        <v>45</v>
      </c>
      <c r="D1201">
        <v>11</v>
      </c>
      <c r="E1201" t="s">
        <v>1516</v>
      </c>
      <c r="F1201" t="s">
        <v>58</v>
      </c>
      <c r="G1201" t="s">
        <v>23</v>
      </c>
      <c r="H1201">
        <v>4</v>
      </c>
      <c r="I1201">
        <v>1000</v>
      </c>
      <c r="J1201">
        <v>0</v>
      </c>
      <c r="K1201" t="s">
        <v>1927</v>
      </c>
      <c r="L1201">
        <v>500</v>
      </c>
      <c r="M1201">
        <v>4000</v>
      </c>
      <c r="N1201">
        <v>2000</v>
      </c>
      <c r="O1201">
        <v>2000</v>
      </c>
      <c r="P1201">
        <v>0.5</v>
      </c>
      <c r="Q1201">
        <v>1</v>
      </c>
      <c r="R1201">
        <v>1</v>
      </c>
      <c r="S1201">
        <v>3</v>
      </c>
      <c r="T1201">
        <v>3000</v>
      </c>
    </row>
    <row r="1202" spans="1:20">
      <c r="A1202" t="s">
        <v>1562</v>
      </c>
      <c r="B1202" s="1">
        <v>45603</v>
      </c>
      <c r="C1202">
        <v>45</v>
      </c>
      <c r="D1202">
        <v>11</v>
      </c>
      <c r="E1202" t="s">
        <v>1516</v>
      </c>
      <c r="F1202" t="s">
        <v>97</v>
      </c>
      <c r="G1202" t="s">
        <v>20</v>
      </c>
      <c r="H1202">
        <v>1</v>
      </c>
      <c r="I1202">
        <v>1980</v>
      </c>
      <c r="J1202">
        <v>0</v>
      </c>
      <c r="K1202" t="s">
        <v>1932</v>
      </c>
      <c r="L1202">
        <v>1100</v>
      </c>
      <c r="M1202">
        <v>1980</v>
      </c>
      <c r="N1202">
        <v>1100</v>
      </c>
      <c r="O1202">
        <v>880</v>
      </c>
      <c r="P1202">
        <v>0.44444444444444398</v>
      </c>
      <c r="Q1202">
        <v>0</v>
      </c>
      <c r="R1202">
        <v>0</v>
      </c>
      <c r="S1202">
        <v>1</v>
      </c>
      <c r="T1202">
        <v>1980</v>
      </c>
    </row>
    <row r="1203" spans="1:20">
      <c r="A1203" t="s">
        <v>1563</v>
      </c>
      <c r="B1203" s="1">
        <v>45603</v>
      </c>
      <c r="C1203">
        <v>45</v>
      </c>
      <c r="D1203">
        <v>11</v>
      </c>
      <c r="E1203" t="s">
        <v>1516</v>
      </c>
      <c r="F1203" t="s">
        <v>22</v>
      </c>
      <c r="G1203" t="s">
        <v>23</v>
      </c>
      <c r="H1203">
        <v>3</v>
      </c>
      <c r="I1203">
        <v>500</v>
      </c>
      <c r="J1203">
        <v>0</v>
      </c>
      <c r="K1203" t="s">
        <v>1929</v>
      </c>
      <c r="L1203">
        <v>250</v>
      </c>
      <c r="M1203">
        <v>1500</v>
      </c>
      <c r="N1203">
        <v>750</v>
      </c>
      <c r="O1203">
        <v>750</v>
      </c>
      <c r="P1203">
        <v>0.5</v>
      </c>
      <c r="Q1203">
        <v>0</v>
      </c>
      <c r="R1203">
        <v>0</v>
      </c>
      <c r="S1203">
        <v>3</v>
      </c>
      <c r="T1203">
        <v>1500</v>
      </c>
    </row>
    <row r="1204" spans="1:20">
      <c r="A1204" t="s">
        <v>1564</v>
      </c>
      <c r="B1204" s="1">
        <v>45603</v>
      </c>
      <c r="C1204">
        <v>45</v>
      </c>
      <c r="D1204">
        <v>11</v>
      </c>
      <c r="E1204" t="s">
        <v>1516</v>
      </c>
      <c r="F1204" t="s">
        <v>42</v>
      </c>
      <c r="G1204" t="s">
        <v>23</v>
      </c>
      <c r="H1204">
        <v>4</v>
      </c>
      <c r="I1204">
        <v>600</v>
      </c>
      <c r="J1204">
        <v>0</v>
      </c>
      <c r="K1204" t="s">
        <v>1928</v>
      </c>
      <c r="L1204">
        <v>300</v>
      </c>
      <c r="M1204">
        <v>2400</v>
      </c>
      <c r="N1204">
        <v>1200</v>
      </c>
      <c r="O1204">
        <v>1200</v>
      </c>
      <c r="P1204">
        <v>0.5</v>
      </c>
      <c r="Q1204">
        <v>0</v>
      </c>
      <c r="R1204">
        <v>0</v>
      </c>
      <c r="S1204">
        <v>4</v>
      </c>
      <c r="T1204">
        <v>2400</v>
      </c>
    </row>
    <row r="1205" spans="1:20">
      <c r="A1205" t="s">
        <v>1565</v>
      </c>
      <c r="B1205" s="1">
        <v>45603</v>
      </c>
      <c r="C1205">
        <v>45</v>
      </c>
      <c r="D1205">
        <v>11</v>
      </c>
      <c r="E1205" t="s">
        <v>1516</v>
      </c>
      <c r="F1205" t="s">
        <v>45</v>
      </c>
      <c r="G1205" t="s">
        <v>26</v>
      </c>
      <c r="H1205">
        <v>5</v>
      </c>
      <c r="I1205">
        <v>4050</v>
      </c>
      <c r="J1205">
        <v>10</v>
      </c>
      <c r="K1205" t="s">
        <v>1938</v>
      </c>
      <c r="L1205">
        <v>1800</v>
      </c>
      <c r="M1205">
        <v>20250</v>
      </c>
      <c r="N1205">
        <v>9000</v>
      </c>
      <c r="O1205">
        <v>11250</v>
      </c>
      <c r="P1205">
        <v>0.55555555555555602</v>
      </c>
      <c r="Q1205">
        <v>0</v>
      </c>
      <c r="R1205">
        <v>0</v>
      </c>
      <c r="S1205">
        <v>5</v>
      </c>
      <c r="T1205">
        <v>20250</v>
      </c>
    </row>
    <row r="1206" spans="1:20">
      <c r="A1206" t="s">
        <v>1566</v>
      </c>
      <c r="B1206" s="1">
        <v>45604</v>
      </c>
      <c r="C1206">
        <v>45</v>
      </c>
      <c r="D1206">
        <v>11</v>
      </c>
      <c r="E1206" t="s">
        <v>1516</v>
      </c>
      <c r="F1206" t="s">
        <v>58</v>
      </c>
      <c r="G1206" t="s">
        <v>23</v>
      </c>
      <c r="H1206">
        <v>3</v>
      </c>
      <c r="I1206">
        <v>900</v>
      </c>
      <c r="J1206">
        <v>10</v>
      </c>
      <c r="K1206" t="s">
        <v>1927</v>
      </c>
      <c r="L1206">
        <v>500</v>
      </c>
      <c r="M1206">
        <v>2700</v>
      </c>
      <c r="N1206">
        <v>1500</v>
      </c>
      <c r="O1206">
        <v>1200</v>
      </c>
      <c r="P1206">
        <v>0.44444444444444398</v>
      </c>
      <c r="Q1206">
        <v>0</v>
      </c>
      <c r="R1206">
        <v>0</v>
      </c>
      <c r="S1206">
        <v>3</v>
      </c>
      <c r="T1206">
        <v>2700</v>
      </c>
    </row>
    <row r="1207" spans="1:20">
      <c r="A1207" t="s">
        <v>1568</v>
      </c>
      <c r="B1207" s="1">
        <v>45604</v>
      </c>
      <c r="C1207">
        <v>45</v>
      </c>
      <c r="D1207">
        <v>11</v>
      </c>
      <c r="E1207" t="s">
        <v>1516</v>
      </c>
      <c r="F1207" t="s">
        <v>86</v>
      </c>
      <c r="G1207" t="s">
        <v>17</v>
      </c>
      <c r="H1207">
        <v>3</v>
      </c>
      <c r="I1207">
        <v>799</v>
      </c>
      <c r="J1207">
        <v>15</v>
      </c>
      <c r="K1207" t="s">
        <v>1944</v>
      </c>
      <c r="L1207">
        <v>450</v>
      </c>
      <c r="M1207">
        <v>2397</v>
      </c>
      <c r="N1207">
        <v>1350</v>
      </c>
      <c r="O1207">
        <v>1047</v>
      </c>
      <c r="P1207">
        <v>0.436795994993742</v>
      </c>
      <c r="Q1207">
        <v>0</v>
      </c>
      <c r="R1207">
        <v>0</v>
      </c>
      <c r="S1207">
        <v>3</v>
      </c>
      <c r="T1207">
        <v>2397</v>
      </c>
    </row>
    <row r="1208" spans="1:20">
      <c r="A1208" t="s">
        <v>1569</v>
      </c>
      <c r="B1208" s="1">
        <v>45604</v>
      </c>
      <c r="C1208">
        <v>45</v>
      </c>
      <c r="D1208">
        <v>11</v>
      </c>
      <c r="E1208" t="s">
        <v>1516</v>
      </c>
      <c r="F1208" t="s">
        <v>19</v>
      </c>
      <c r="G1208" t="s">
        <v>20</v>
      </c>
      <c r="H1208">
        <v>3</v>
      </c>
      <c r="I1208">
        <v>1620</v>
      </c>
      <c r="J1208">
        <v>0</v>
      </c>
      <c r="K1208" t="s">
        <v>1931</v>
      </c>
      <c r="L1208">
        <v>900</v>
      </c>
      <c r="M1208">
        <v>4860</v>
      </c>
      <c r="N1208">
        <v>2700</v>
      </c>
      <c r="O1208">
        <v>2160</v>
      </c>
      <c r="P1208">
        <v>0.44444444444444398</v>
      </c>
      <c r="Q1208">
        <v>0</v>
      </c>
      <c r="R1208">
        <v>0</v>
      </c>
      <c r="S1208">
        <v>3</v>
      </c>
      <c r="T1208">
        <v>4860</v>
      </c>
    </row>
    <row r="1209" spans="1:20">
      <c r="A1209" t="s">
        <v>1570</v>
      </c>
      <c r="B1209" s="1">
        <v>45604</v>
      </c>
      <c r="C1209">
        <v>45</v>
      </c>
      <c r="D1209">
        <v>11</v>
      </c>
      <c r="E1209" t="s">
        <v>1516</v>
      </c>
      <c r="F1209" t="s">
        <v>39</v>
      </c>
      <c r="G1209" t="s">
        <v>14</v>
      </c>
      <c r="H1209">
        <v>3</v>
      </c>
      <c r="I1209">
        <v>880</v>
      </c>
      <c r="J1209">
        <v>0</v>
      </c>
      <c r="K1209" t="s">
        <v>1921</v>
      </c>
      <c r="L1209">
        <v>400</v>
      </c>
      <c r="M1209">
        <v>2640</v>
      </c>
      <c r="N1209">
        <v>1200</v>
      </c>
      <c r="O1209">
        <v>1440</v>
      </c>
      <c r="P1209">
        <v>0.54545454545454497</v>
      </c>
      <c r="Q1209">
        <v>0</v>
      </c>
      <c r="R1209">
        <v>0</v>
      </c>
      <c r="S1209">
        <v>3</v>
      </c>
      <c r="T1209">
        <v>2640</v>
      </c>
    </row>
    <row r="1210" spans="1:20">
      <c r="A1210" t="s">
        <v>1571</v>
      </c>
      <c r="B1210" s="1">
        <v>45604</v>
      </c>
      <c r="C1210">
        <v>45</v>
      </c>
      <c r="D1210">
        <v>11</v>
      </c>
      <c r="E1210" t="s">
        <v>1516</v>
      </c>
      <c r="F1210" t="s">
        <v>13</v>
      </c>
      <c r="G1210" t="s">
        <v>14</v>
      </c>
      <c r="H1210">
        <v>1</v>
      </c>
      <c r="I1210">
        <v>456</v>
      </c>
      <c r="J1210">
        <v>5</v>
      </c>
      <c r="K1210" t="s">
        <v>1925</v>
      </c>
      <c r="L1210">
        <v>220</v>
      </c>
      <c r="M1210">
        <v>456</v>
      </c>
      <c r="N1210">
        <v>220</v>
      </c>
      <c r="O1210">
        <v>236</v>
      </c>
      <c r="P1210">
        <v>0.51754385964912297</v>
      </c>
      <c r="Q1210">
        <v>0</v>
      </c>
      <c r="R1210">
        <v>0</v>
      </c>
      <c r="S1210">
        <v>1</v>
      </c>
      <c r="T1210">
        <v>456</v>
      </c>
    </row>
    <row r="1211" spans="1:20">
      <c r="A1211" t="s">
        <v>1572</v>
      </c>
      <c r="B1211" s="1">
        <v>45604</v>
      </c>
      <c r="C1211">
        <v>45</v>
      </c>
      <c r="D1211">
        <v>11</v>
      </c>
      <c r="E1211" t="s">
        <v>1516</v>
      </c>
      <c r="F1211" t="s">
        <v>22</v>
      </c>
      <c r="G1211" t="s">
        <v>23</v>
      </c>
      <c r="H1211">
        <v>4</v>
      </c>
      <c r="I1211">
        <v>500</v>
      </c>
      <c r="J1211">
        <v>0</v>
      </c>
      <c r="K1211" t="s">
        <v>1929</v>
      </c>
      <c r="L1211">
        <v>250</v>
      </c>
      <c r="M1211">
        <v>2000</v>
      </c>
      <c r="N1211">
        <v>1000</v>
      </c>
      <c r="O1211">
        <v>1000</v>
      </c>
      <c r="P1211">
        <v>0.5</v>
      </c>
      <c r="Q1211">
        <v>0</v>
      </c>
      <c r="R1211">
        <v>0</v>
      </c>
      <c r="S1211">
        <v>4</v>
      </c>
      <c r="T1211">
        <v>2000</v>
      </c>
    </row>
    <row r="1212" spans="1:20">
      <c r="A1212" t="s">
        <v>1573</v>
      </c>
      <c r="B1212" s="1">
        <v>45604</v>
      </c>
      <c r="C1212">
        <v>45</v>
      </c>
      <c r="D1212">
        <v>11</v>
      </c>
      <c r="E1212" t="s">
        <v>1516</v>
      </c>
      <c r="F1212" t="s">
        <v>187</v>
      </c>
      <c r="G1212" t="s">
        <v>14</v>
      </c>
      <c r="H1212">
        <v>3</v>
      </c>
      <c r="I1212">
        <v>4180</v>
      </c>
      <c r="J1212">
        <v>5</v>
      </c>
      <c r="K1212" t="s">
        <v>1924</v>
      </c>
      <c r="L1212">
        <v>2000</v>
      </c>
      <c r="M1212">
        <v>12540</v>
      </c>
      <c r="N1212">
        <v>6000</v>
      </c>
      <c r="O1212">
        <v>6540</v>
      </c>
      <c r="P1212">
        <v>0.52153110047846896</v>
      </c>
      <c r="Q1212">
        <v>0</v>
      </c>
      <c r="R1212">
        <v>0</v>
      </c>
      <c r="S1212">
        <v>3</v>
      </c>
      <c r="T1212">
        <v>12540</v>
      </c>
    </row>
    <row r="1213" spans="1:20">
      <c r="A1213" t="s">
        <v>1574</v>
      </c>
      <c r="B1213" s="1">
        <v>45605</v>
      </c>
      <c r="C1213">
        <v>45</v>
      </c>
      <c r="D1213">
        <v>11</v>
      </c>
      <c r="E1213" t="s">
        <v>1516</v>
      </c>
      <c r="F1213" t="s">
        <v>80</v>
      </c>
      <c r="G1213" t="s">
        <v>14</v>
      </c>
      <c r="H1213">
        <v>4</v>
      </c>
      <c r="I1213">
        <v>340</v>
      </c>
      <c r="J1213">
        <v>15</v>
      </c>
      <c r="K1213" t="s">
        <v>1922</v>
      </c>
      <c r="L1213">
        <v>180</v>
      </c>
      <c r="M1213">
        <v>1360</v>
      </c>
      <c r="N1213">
        <v>720</v>
      </c>
      <c r="O1213">
        <v>640</v>
      </c>
      <c r="P1213">
        <v>0.47058823529411797</v>
      </c>
      <c r="Q1213">
        <v>0</v>
      </c>
      <c r="R1213">
        <v>0</v>
      </c>
      <c r="S1213">
        <v>4</v>
      </c>
      <c r="T1213">
        <v>1360</v>
      </c>
    </row>
    <row r="1214" spans="1:20">
      <c r="A1214" t="s">
        <v>1576</v>
      </c>
      <c r="B1214" s="1">
        <v>45605</v>
      </c>
      <c r="C1214">
        <v>45</v>
      </c>
      <c r="D1214">
        <v>11</v>
      </c>
      <c r="E1214" t="s">
        <v>1516</v>
      </c>
      <c r="F1214" t="s">
        <v>66</v>
      </c>
      <c r="G1214" t="s">
        <v>17</v>
      </c>
      <c r="H1214">
        <v>2</v>
      </c>
      <c r="I1214">
        <v>1249.5</v>
      </c>
      <c r="J1214">
        <v>15</v>
      </c>
      <c r="K1214" t="s">
        <v>1941</v>
      </c>
      <c r="L1214">
        <v>700</v>
      </c>
      <c r="M1214">
        <v>2499</v>
      </c>
      <c r="N1214">
        <v>1400</v>
      </c>
      <c r="O1214">
        <v>1099</v>
      </c>
      <c r="P1214">
        <v>0.43977591036414598</v>
      </c>
      <c r="Q1214">
        <v>0</v>
      </c>
      <c r="R1214">
        <v>0</v>
      </c>
      <c r="S1214">
        <v>2</v>
      </c>
      <c r="T1214">
        <v>2499</v>
      </c>
    </row>
    <row r="1215" spans="1:20">
      <c r="A1215" t="s">
        <v>1577</v>
      </c>
      <c r="B1215" s="1">
        <v>45605</v>
      </c>
      <c r="C1215">
        <v>45</v>
      </c>
      <c r="D1215">
        <v>11</v>
      </c>
      <c r="E1215" t="s">
        <v>1516</v>
      </c>
      <c r="F1215" t="s">
        <v>94</v>
      </c>
      <c r="G1215" t="s">
        <v>17</v>
      </c>
      <c r="H1215">
        <v>4</v>
      </c>
      <c r="I1215">
        <v>1680</v>
      </c>
      <c r="J1215">
        <v>0</v>
      </c>
      <c r="K1215" t="s">
        <v>1943</v>
      </c>
      <c r="L1215">
        <v>800</v>
      </c>
      <c r="M1215">
        <v>6720</v>
      </c>
      <c r="N1215">
        <v>3200</v>
      </c>
      <c r="O1215">
        <v>3520</v>
      </c>
      <c r="P1215">
        <v>0.52380952380952395</v>
      </c>
      <c r="Q1215">
        <v>0</v>
      </c>
      <c r="R1215">
        <v>0</v>
      </c>
      <c r="S1215">
        <v>4</v>
      </c>
      <c r="T1215">
        <v>6720</v>
      </c>
    </row>
    <row r="1216" spans="1:20">
      <c r="A1216" t="s">
        <v>1578</v>
      </c>
      <c r="B1216" s="1">
        <v>45606</v>
      </c>
      <c r="C1216">
        <v>45</v>
      </c>
      <c r="D1216">
        <v>11</v>
      </c>
      <c r="E1216" t="s">
        <v>1516</v>
      </c>
      <c r="F1216" t="s">
        <v>64</v>
      </c>
      <c r="G1216" t="s">
        <v>14</v>
      </c>
      <c r="H1216">
        <v>5</v>
      </c>
      <c r="I1216">
        <v>2640</v>
      </c>
      <c r="J1216">
        <v>0</v>
      </c>
      <c r="K1216" t="s">
        <v>1923</v>
      </c>
      <c r="L1216">
        <v>1200</v>
      </c>
      <c r="M1216">
        <v>13200</v>
      </c>
      <c r="N1216">
        <v>6000</v>
      </c>
      <c r="O1216">
        <v>7200</v>
      </c>
      <c r="P1216">
        <v>0.54545454545454497</v>
      </c>
      <c r="Q1216">
        <v>0</v>
      </c>
      <c r="R1216">
        <v>0</v>
      </c>
      <c r="S1216">
        <v>5</v>
      </c>
      <c r="T1216">
        <v>13200</v>
      </c>
    </row>
    <row r="1217" spans="1:20">
      <c r="A1217" t="s">
        <v>1580</v>
      </c>
      <c r="B1217" s="1">
        <v>45606</v>
      </c>
      <c r="C1217">
        <v>45</v>
      </c>
      <c r="D1217">
        <v>11</v>
      </c>
      <c r="E1217" t="s">
        <v>1516</v>
      </c>
      <c r="F1217" t="s">
        <v>35</v>
      </c>
      <c r="G1217" t="s">
        <v>17</v>
      </c>
      <c r="H1217">
        <v>1</v>
      </c>
      <c r="I1217">
        <v>2677.5</v>
      </c>
      <c r="J1217">
        <v>15</v>
      </c>
      <c r="K1217" t="s">
        <v>1942</v>
      </c>
      <c r="L1217">
        <v>1500</v>
      </c>
      <c r="M1217">
        <v>2677.5</v>
      </c>
      <c r="N1217">
        <v>1500</v>
      </c>
      <c r="O1217">
        <v>1177.5</v>
      </c>
      <c r="P1217">
        <v>0.43977591036414598</v>
      </c>
      <c r="Q1217">
        <v>0</v>
      </c>
      <c r="R1217">
        <v>0</v>
      </c>
      <c r="S1217">
        <v>1</v>
      </c>
      <c r="T1217">
        <v>2677.5</v>
      </c>
    </row>
    <row r="1218" spans="1:20">
      <c r="A1218" t="s">
        <v>1581</v>
      </c>
      <c r="B1218" s="1">
        <v>45606</v>
      </c>
      <c r="C1218">
        <v>45</v>
      </c>
      <c r="D1218">
        <v>11</v>
      </c>
      <c r="E1218" t="s">
        <v>1516</v>
      </c>
      <c r="F1218" t="s">
        <v>39</v>
      </c>
      <c r="G1218" t="s">
        <v>14</v>
      </c>
      <c r="H1218">
        <v>1</v>
      </c>
      <c r="I1218">
        <v>836</v>
      </c>
      <c r="J1218">
        <v>5</v>
      </c>
      <c r="K1218" t="s">
        <v>1921</v>
      </c>
      <c r="L1218">
        <v>400</v>
      </c>
      <c r="M1218">
        <v>836</v>
      </c>
      <c r="N1218">
        <v>400</v>
      </c>
      <c r="O1218">
        <v>436</v>
      </c>
      <c r="P1218">
        <v>0.52153110047846896</v>
      </c>
      <c r="Q1218">
        <v>0</v>
      </c>
      <c r="R1218">
        <v>0</v>
      </c>
      <c r="S1218">
        <v>1</v>
      </c>
      <c r="T1218">
        <v>836</v>
      </c>
    </row>
    <row r="1219" spans="1:20">
      <c r="A1219" t="s">
        <v>1582</v>
      </c>
      <c r="B1219" s="1">
        <v>45606</v>
      </c>
      <c r="C1219">
        <v>45</v>
      </c>
      <c r="D1219">
        <v>11</v>
      </c>
      <c r="E1219" t="s">
        <v>1516</v>
      </c>
      <c r="F1219" t="s">
        <v>64</v>
      </c>
      <c r="G1219" t="s">
        <v>14</v>
      </c>
      <c r="H1219">
        <v>1</v>
      </c>
      <c r="I1219">
        <v>2640</v>
      </c>
      <c r="J1219">
        <v>0</v>
      </c>
      <c r="K1219" t="s">
        <v>1923</v>
      </c>
      <c r="L1219">
        <v>1200</v>
      </c>
      <c r="M1219">
        <v>2640</v>
      </c>
      <c r="N1219">
        <v>1200</v>
      </c>
      <c r="O1219">
        <v>1440</v>
      </c>
      <c r="P1219">
        <v>0.54545454545454497</v>
      </c>
      <c r="Q1219">
        <v>0</v>
      </c>
      <c r="R1219">
        <v>0</v>
      </c>
      <c r="S1219">
        <v>1</v>
      </c>
      <c r="T1219">
        <v>2640</v>
      </c>
    </row>
    <row r="1220" spans="1:20">
      <c r="A1220" t="s">
        <v>1583</v>
      </c>
      <c r="B1220" s="1">
        <v>45606</v>
      </c>
      <c r="C1220">
        <v>45</v>
      </c>
      <c r="D1220">
        <v>11</v>
      </c>
      <c r="E1220" t="s">
        <v>1516</v>
      </c>
      <c r="F1220" t="s">
        <v>187</v>
      </c>
      <c r="G1220" t="s">
        <v>14</v>
      </c>
      <c r="H1220">
        <v>4</v>
      </c>
      <c r="I1220">
        <v>4180</v>
      </c>
      <c r="J1220">
        <v>5</v>
      </c>
      <c r="K1220" t="s">
        <v>1924</v>
      </c>
      <c r="L1220">
        <v>2000</v>
      </c>
      <c r="M1220">
        <v>16720</v>
      </c>
      <c r="N1220">
        <v>8000</v>
      </c>
      <c r="O1220">
        <v>8720</v>
      </c>
      <c r="P1220">
        <v>0.52153110047846896</v>
      </c>
      <c r="Q1220">
        <v>0</v>
      </c>
      <c r="R1220">
        <v>0</v>
      </c>
      <c r="S1220">
        <v>4</v>
      </c>
      <c r="T1220">
        <v>16720</v>
      </c>
    </row>
    <row r="1221" spans="1:20">
      <c r="A1221" t="s">
        <v>1584</v>
      </c>
      <c r="B1221" s="1">
        <v>45607</v>
      </c>
      <c r="C1221">
        <v>46</v>
      </c>
      <c r="D1221">
        <v>11</v>
      </c>
      <c r="E1221" t="s">
        <v>1516</v>
      </c>
      <c r="F1221" t="s">
        <v>64</v>
      </c>
      <c r="G1221" t="s">
        <v>14</v>
      </c>
      <c r="H1221">
        <v>5</v>
      </c>
      <c r="I1221">
        <v>2640</v>
      </c>
      <c r="J1221">
        <v>0</v>
      </c>
      <c r="K1221" t="s">
        <v>1923</v>
      </c>
      <c r="L1221">
        <v>1200</v>
      </c>
      <c r="M1221">
        <v>13200</v>
      </c>
      <c r="N1221">
        <v>6000</v>
      </c>
      <c r="O1221">
        <v>7200</v>
      </c>
      <c r="P1221">
        <v>0.54545454545454497</v>
      </c>
      <c r="Q1221">
        <v>0</v>
      </c>
      <c r="R1221">
        <v>0</v>
      </c>
      <c r="S1221">
        <v>5</v>
      </c>
      <c r="T1221">
        <v>13200</v>
      </c>
    </row>
    <row r="1222" spans="1:20">
      <c r="A1222" t="s">
        <v>1586</v>
      </c>
      <c r="B1222" s="1">
        <v>45607</v>
      </c>
      <c r="C1222">
        <v>46</v>
      </c>
      <c r="D1222">
        <v>11</v>
      </c>
      <c r="E1222" t="s">
        <v>1516</v>
      </c>
      <c r="F1222" t="s">
        <v>39</v>
      </c>
      <c r="G1222" t="s">
        <v>14</v>
      </c>
      <c r="H1222">
        <v>4</v>
      </c>
      <c r="I1222">
        <v>880</v>
      </c>
      <c r="J1222">
        <v>0</v>
      </c>
      <c r="K1222" t="s">
        <v>1921</v>
      </c>
      <c r="L1222">
        <v>400</v>
      </c>
      <c r="M1222">
        <v>3520</v>
      </c>
      <c r="N1222">
        <v>1600</v>
      </c>
      <c r="O1222">
        <v>1920</v>
      </c>
      <c r="P1222">
        <v>0.54545454545454497</v>
      </c>
      <c r="Q1222">
        <v>0</v>
      </c>
      <c r="R1222">
        <v>0</v>
      </c>
      <c r="S1222">
        <v>4</v>
      </c>
      <c r="T1222">
        <v>3520</v>
      </c>
    </row>
    <row r="1223" spans="1:20">
      <c r="A1223" t="s">
        <v>1587</v>
      </c>
      <c r="B1223" s="1">
        <v>45607</v>
      </c>
      <c r="C1223">
        <v>46</v>
      </c>
      <c r="D1223">
        <v>11</v>
      </c>
      <c r="E1223" t="s">
        <v>1516</v>
      </c>
      <c r="F1223" t="s">
        <v>115</v>
      </c>
      <c r="G1223" t="s">
        <v>23</v>
      </c>
      <c r="H1223">
        <v>1</v>
      </c>
      <c r="I1223">
        <v>1020</v>
      </c>
      <c r="J1223">
        <v>15</v>
      </c>
      <c r="K1223" t="s">
        <v>1926</v>
      </c>
      <c r="L1223">
        <v>600</v>
      </c>
      <c r="M1223">
        <v>1020</v>
      </c>
      <c r="N1223">
        <v>600</v>
      </c>
      <c r="O1223">
        <v>420</v>
      </c>
      <c r="P1223">
        <v>0.41176470588235298</v>
      </c>
      <c r="Q1223">
        <v>0</v>
      </c>
      <c r="R1223">
        <v>0</v>
      </c>
      <c r="S1223">
        <v>1</v>
      </c>
      <c r="T1223">
        <v>1020</v>
      </c>
    </row>
    <row r="1224" spans="1:20">
      <c r="A1224" t="s">
        <v>1588</v>
      </c>
      <c r="B1224" s="1">
        <v>45607</v>
      </c>
      <c r="C1224">
        <v>46</v>
      </c>
      <c r="D1224">
        <v>11</v>
      </c>
      <c r="E1224" t="s">
        <v>1516</v>
      </c>
      <c r="F1224" t="s">
        <v>42</v>
      </c>
      <c r="G1224" t="s">
        <v>23</v>
      </c>
      <c r="H1224">
        <v>3</v>
      </c>
      <c r="I1224">
        <v>600</v>
      </c>
      <c r="J1224">
        <v>0</v>
      </c>
      <c r="K1224" t="s">
        <v>1928</v>
      </c>
      <c r="L1224">
        <v>300</v>
      </c>
      <c r="M1224">
        <v>1800</v>
      </c>
      <c r="N1224">
        <v>900</v>
      </c>
      <c r="O1224">
        <v>900</v>
      </c>
      <c r="P1224">
        <v>0.5</v>
      </c>
      <c r="Q1224">
        <v>0</v>
      </c>
      <c r="R1224">
        <v>0</v>
      </c>
      <c r="S1224">
        <v>3</v>
      </c>
      <c r="T1224">
        <v>1800</v>
      </c>
    </row>
    <row r="1225" spans="1:20">
      <c r="A1225" t="s">
        <v>1589</v>
      </c>
      <c r="B1225" s="1">
        <v>45607</v>
      </c>
      <c r="C1225">
        <v>46</v>
      </c>
      <c r="D1225">
        <v>11</v>
      </c>
      <c r="E1225" t="s">
        <v>1516</v>
      </c>
      <c r="F1225" t="s">
        <v>115</v>
      </c>
      <c r="G1225" t="s">
        <v>23</v>
      </c>
      <c r="H1225">
        <v>1</v>
      </c>
      <c r="I1225">
        <v>1200</v>
      </c>
      <c r="J1225">
        <v>0</v>
      </c>
      <c r="K1225" t="s">
        <v>1926</v>
      </c>
      <c r="L1225">
        <v>600</v>
      </c>
      <c r="M1225">
        <v>1200</v>
      </c>
      <c r="N1225">
        <v>600</v>
      </c>
      <c r="O1225">
        <v>600</v>
      </c>
      <c r="P1225">
        <v>0.5</v>
      </c>
      <c r="Q1225">
        <v>0</v>
      </c>
      <c r="R1225">
        <v>0</v>
      </c>
      <c r="S1225">
        <v>1</v>
      </c>
      <c r="T1225">
        <v>1200</v>
      </c>
    </row>
    <row r="1226" spans="1:20">
      <c r="A1226" t="s">
        <v>1590</v>
      </c>
      <c r="B1226" s="1">
        <v>45607</v>
      </c>
      <c r="C1226">
        <v>46</v>
      </c>
      <c r="D1226">
        <v>11</v>
      </c>
      <c r="E1226" t="s">
        <v>1516</v>
      </c>
      <c r="F1226" t="s">
        <v>45</v>
      </c>
      <c r="G1226" t="s">
        <v>26</v>
      </c>
      <c r="H1226">
        <v>5</v>
      </c>
      <c r="I1226">
        <v>3825</v>
      </c>
      <c r="J1226">
        <v>15</v>
      </c>
      <c r="K1226" t="s">
        <v>1938</v>
      </c>
      <c r="L1226">
        <v>1800</v>
      </c>
      <c r="M1226">
        <v>19125</v>
      </c>
      <c r="N1226">
        <v>9000</v>
      </c>
      <c r="O1226">
        <v>10125</v>
      </c>
      <c r="P1226">
        <v>0.52941176470588203</v>
      </c>
      <c r="Q1226">
        <v>0</v>
      </c>
      <c r="R1226">
        <v>0</v>
      </c>
      <c r="S1226">
        <v>5</v>
      </c>
      <c r="T1226">
        <v>19125</v>
      </c>
    </row>
    <row r="1227" spans="1:20">
      <c r="A1227" t="s">
        <v>1591</v>
      </c>
      <c r="B1227" s="1">
        <v>45608</v>
      </c>
      <c r="C1227">
        <v>46</v>
      </c>
      <c r="D1227">
        <v>11</v>
      </c>
      <c r="E1227" t="s">
        <v>1516</v>
      </c>
      <c r="F1227" t="s">
        <v>82</v>
      </c>
      <c r="G1227" t="s">
        <v>20</v>
      </c>
      <c r="H1227">
        <v>5</v>
      </c>
      <c r="I1227">
        <v>855</v>
      </c>
      <c r="J1227">
        <v>5</v>
      </c>
      <c r="K1227" t="s">
        <v>1933</v>
      </c>
      <c r="L1227">
        <v>500</v>
      </c>
      <c r="M1227">
        <v>4275</v>
      </c>
      <c r="N1227">
        <v>2500</v>
      </c>
      <c r="O1227">
        <v>1775</v>
      </c>
      <c r="P1227">
        <v>0.41520467836257302</v>
      </c>
      <c r="Q1227">
        <v>0</v>
      </c>
      <c r="R1227">
        <v>0</v>
      </c>
      <c r="S1227">
        <v>5</v>
      </c>
      <c r="T1227">
        <v>4275</v>
      </c>
    </row>
    <row r="1228" spans="1:20">
      <c r="A1228" t="s">
        <v>1593</v>
      </c>
      <c r="B1228" s="1">
        <v>45608</v>
      </c>
      <c r="C1228">
        <v>46</v>
      </c>
      <c r="D1228">
        <v>11</v>
      </c>
      <c r="E1228" t="s">
        <v>1516</v>
      </c>
      <c r="F1228" t="s">
        <v>80</v>
      </c>
      <c r="G1228" t="s">
        <v>14</v>
      </c>
      <c r="H1228">
        <v>4</v>
      </c>
      <c r="I1228">
        <v>400</v>
      </c>
      <c r="J1228">
        <v>0</v>
      </c>
      <c r="K1228" t="s">
        <v>1922</v>
      </c>
      <c r="L1228">
        <v>180</v>
      </c>
      <c r="M1228">
        <v>1600</v>
      </c>
      <c r="N1228">
        <v>720</v>
      </c>
      <c r="O1228">
        <v>880</v>
      </c>
      <c r="P1228">
        <v>0.55000000000000004</v>
      </c>
      <c r="Q1228">
        <v>0</v>
      </c>
      <c r="R1228">
        <v>0</v>
      </c>
      <c r="S1228">
        <v>4</v>
      </c>
      <c r="T1228">
        <v>1600</v>
      </c>
    </row>
    <row r="1229" spans="1:20">
      <c r="A1229" t="s">
        <v>1594</v>
      </c>
      <c r="B1229" s="1">
        <v>45608</v>
      </c>
      <c r="C1229">
        <v>46</v>
      </c>
      <c r="D1229">
        <v>11</v>
      </c>
      <c r="E1229" t="s">
        <v>1516</v>
      </c>
      <c r="F1229" t="s">
        <v>37</v>
      </c>
      <c r="G1229" t="s">
        <v>20</v>
      </c>
      <c r="H1229">
        <v>1</v>
      </c>
      <c r="I1229">
        <v>2106</v>
      </c>
      <c r="J1229">
        <v>10</v>
      </c>
      <c r="K1229" t="s">
        <v>1935</v>
      </c>
      <c r="L1229">
        <v>1300</v>
      </c>
      <c r="M1229">
        <v>2106</v>
      </c>
      <c r="N1229">
        <v>1300</v>
      </c>
      <c r="O1229">
        <v>806</v>
      </c>
      <c r="P1229">
        <v>0.38271604938271597</v>
      </c>
      <c r="Q1229">
        <v>0</v>
      </c>
      <c r="R1229">
        <v>0</v>
      </c>
      <c r="S1229">
        <v>1</v>
      </c>
      <c r="T1229">
        <v>2106</v>
      </c>
    </row>
    <row r="1230" spans="1:20">
      <c r="A1230" t="s">
        <v>1595</v>
      </c>
      <c r="B1230" s="1">
        <v>45608</v>
      </c>
      <c r="C1230">
        <v>46</v>
      </c>
      <c r="D1230">
        <v>11</v>
      </c>
      <c r="E1230" t="s">
        <v>1516</v>
      </c>
      <c r="F1230" t="s">
        <v>51</v>
      </c>
      <c r="G1230" t="s">
        <v>26</v>
      </c>
      <c r="H1230">
        <v>1</v>
      </c>
      <c r="I1230">
        <v>500</v>
      </c>
      <c r="J1230">
        <v>0</v>
      </c>
      <c r="K1230" t="s">
        <v>1936</v>
      </c>
      <c r="L1230">
        <v>200</v>
      </c>
      <c r="M1230">
        <v>500</v>
      </c>
      <c r="N1230">
        <v>200</v>
      </c>
      <c r="O1230">
        <v>300</v>
      </c>
      <c r="P1230">
        <v>0.6</v>
      </c>
      <c r="Q1230">
        <v>0</v>
      </c>
      <c r="R1230">
        <v>0</v>
      </c>
      <c r="S1230">
        <v>1</v>
      </c>
      <c r="T1230">
        <v>500</v>
      </c>
    </row>
    <row r="1231" spans="1:20">
      <c r="A1231" t="s">
        <v>1596</v>
      </c>
      <c r="B1231" s="1">
        <v>45608</v>
      </c>
      <c r="C1231">
        <v>46</v>
      </c>
      <c r="D1231">
        <v>11</v>
      </c>
      <c r="E1231" t="s">
        <v>1516</v>
      </c>
      <c r="F1231" t="s">
        <v>42</v>
      </c>
      <c r="G1231" t="s">
        <v>23</v>
      </c>
      <c r="H1231">
        <v>1</v>
      </c>
      <c r="I1231">
        <v>570</v>
      </c>
      <c r="J1231">
        <v>5</v>
      </c>
      <c r="K1231" t="s">
        <v>1928</v>
      </c>
      <c r="L1231">
        <v>300</v>
      </c>
      <c r="M1231">
        <v>570</v>
      </c>
      <c r="N1231">
        <v>300</v>
      </c>
      <c r="O1231">
        <v>270</v>
      </c>
      <c r="P1231">
        <v>0.47368421052631599</v>
      </c>
      <c r="Q1231">
        <v>0</v>
      </c>
      <c r="R1231">
        <v>0</v>
      </c>
      <c r="S1231">
        <v>1</v>
      </c>
      <c r="T1231">
        <v>570</v>
      </c>
    </row>
    <row r="1232" spans="1:20">
      <c r="A1232" t="s">
        <v>1597</v>
      </c>
      <c r="B1232" s="1">
        <v>45608</v>
      </c>
      <c r="C1232">
        <v>46</v>
      </c>
      <c r="D1232">
        <v>11</v>
      </c>
      <c r="E1232" t="s">
        <v>1516</v>
      </c>
      <c r="F1232" t="s">
        <v>19</v>
      </c>
      <c r="G1232" t="s">
        <v>20</v>
      </c>
      <c r="H1232">
        <v>3</v>
      </c>
      <c r="I1232">
        <v>1620</v>
      </c>
      <c r="J1232">
        <v>0</v>
      </c>
      <c r="K1232" t="s">
        <v>1931</v>
      </c>
      <c r="L1232">
        <v>900</v>
      </c>
      <c r="M1232">
        <v>4860</v>
      </c>
      <c r="N1232">
        <v>2700</v>
      </c>
      <c r="O1232">
        <v>2160</v>
      </c>
      <c r="P1232">
        <v>0.44444444444444398</v>
      </c>
      <c r="Q1232">
        <v>0</v>
      </c>
      <c r="R1232">
        <v>0</v>
      </c>
      <c r="S1232">
        <v>3</v>
      </c>
      <c r="T1232">
        <v>4860</v>
      </c>
    </row>
    <row r="1233" spans="1:20">
      <c r="A1233" t="s">
        <v>1598</v>
      </c>
      <c r="B1233" s="1">
        <v>45608</v>
      </c>
      <c r="C1233">
        <v>46</v>
      </c>
      <c r="D1233">
        <v>11</v>
      </c>
      <c r="E1233" t="s">
        <v>1516</v>
      </c>
      <c r="F1233" t="s">
        <v>28</v>
      </c>
      <c r="G1233" t="s">
        <v>26</v>
      </c>
      <c r="H1233">
        <v>2</v>
      </c>
      <c r="I1233">
        <v>1425</v>
      </c>
      <c r="J1233">
        <v>5</v>
      </c>
      <c r="K1233" t="s">
        <v>1939</v>
      </c>
      <c r="L1233">
        <v>600</v>
      </c>
      <c r="M1233">
        <v>2850</v>
      </c>
      <c r="N1233">
        <v>1200</v>
      </c>
      <c r="O1233">
        <v>1650</v>
      </c>
      <c r="P1233">
        <v>0.57894736842105299</v>
      </c>
      <c r="Q1233">
        <v>0</v>
      </c>
      <c r="R1233">
        <v>0</v>
      </c>
      <c r="S1233">
        <v>2</v>
      </c>
      <c r="T1233">
        <v>2850</v>
      </c>
    </row>
    <row r="1234" spans="1:20">
      <c r="A1234" t="s">
        <v>1599</v>
      </c>
      <c r="B1234" s="1">
        <v>45608</v>
      </c>
      <c r="C1234">
        <v>46</v>
      </c>
      <c r="D1234">
        <v>11</v>
      </c>
      <c r="E1234" t="s">
        <v>1516</v>
      </c>
      <c r="F1234" t="s">
        <v>80</v>
      </c>
      <c r="G1234" t="s">
        <v>14</v>
      </c>
      <c r="H1234">
        <v>5</v>
      </c>
      <c r="I1234">
        <v>400</v>
      </c>
      <c r="J1234">
        <v>0</v>
      </c>
      <c r="K1234" t="s">
        <v>1922</v>
      </c>
      <c r="L1234">
        <v>180</v>
      </c>
      <c r="M1234">
        <v>2000</v>
      </c>
      <c r="N1234">
        <v>900</v>
      </c>
      <c r="O1234">
        <v>1100</v>
      </c>
      <c r="P1234">
        <v>0.55000000000000004</v>
      </c>
      <c r="Q1234">
        <v>0</v>
      </c>
      <c r="R1234">
        <v>0</v>
      </c>
      <c r="S1234">
        <v>5</v>
      </c>
      <c r="T1234">
        <v>2000</v>
      </c>
    </row>
    <row r="1235" spans="1:20">
      <c r="A1235" t="s">
        <v>1600</v>
      </c>
      <c r="B1235" s="1">
        <v>45608</v>
      </c>
      <c r="C1235">
        <v>46</v>
      </c>
      <c r="D1235">
        <v>11</v>
      </c>
      <c r="E1235" t="s">
        <v>1516</v>
      </c>
      <c r="F1235" t="s">
        <v>28</v>
      </c>
      <c r="G1235" t="s">
        <v>26</v>
      </c>
      <c r="H1235">
        <v>1</v>
      </c>
      <c r="I1235">
        <v>1500</v>
      </c>
      <c r="J1235">
        <v>0</v>
      </c>
      <c r="K1235" t="s">
        <v>1939</v>
      </c>
      <c r="L1235">
        <v>600</v>
      </c>
      <c r="M1235">
        <v>1500</v>
      </c>
      <c r="N1235">
        <v>600</v>
      </c>
      <c r="O1235">
        <v>900</v>
      </c>
      <c r="P1235">
        <v>0.6</v>
      </c>
      <c r="Q1235">
        <v>0</v>
      </c>
      <c r="R1235">
        <v>0</v>
      </c>
      <c r="S1235">
        <v>1</v>
      </c>
      <c r="T1235">
        <v>1500</v>
      </c>
    </row>
    <row r="1236" spans="1:20">
      <c r="A1236" t="s">
        <v>1601</v>
      </c>
      <c r="B1236" s="1">
        <v>45608</v>
      </c>
      <c r="C1236">
        <v>46</v>
      </c>
      <c r="D1236">
        <v>11</v>
      </c>
      <c r="E1236" t="s">
        <v>1516</v>
      </c>
      <c r="F1236" t="s">
        <v>115</v>
      </c>
      <c r="G1236" t="s">
        <v>23</v>
      </c>
      <c r="H1236">
        <v>4</v>
      </c>
      <c r="I1236">
        <v>1200</v>
      </c>
      <c r="J1236">
        <v>0</v>
      </c>
      <c r="K1236" t="s">
        <v>1926</v>
      </c>
      <c r="L1236">
        <v>600</v>
      </c>
      <c r="M1236">
        <v>4800</v>
      </c>
      <c r="N1236">
        <v>2400</v>
      </c>
      <c r="O1236">
        <v>2400</v>
      </c>
      <c r="P1236">
        <v>0.5</v>
      </c>
      <c r="Q1236">
        <v>4</v>
      </c>
      <c r="R1236">
        <v>4</v>
      </c>
      <c r="S1236">
        <v>0</v>
      </c>
      <c r="T1236">
        <v>0</v>
      </c>
    </row>
    <row r="1237" spans="1:20">
      <c r="A1237" t="s">
        <v>1602</v>
      </c>
      <c r="B1237" s="1">
        <v>45608</v>
      </c>
      <c r="C1237">
        <v>46</v>
      </c>
      <c r="D1237">
        <v>11</v>
      </c>
      <c r="E1237" t="s">
        <v>1516</v>
      </c>
      <c r="F1237" t="s">
        <v>86</v>
      </c>
      <c r="G1237" t="s">
        <v>17</v>
      </c>
      <c r="H1237">
        <v>4</v>
      </c>
      <c r="I1237">
        <v>846</v>
      </c>
      <c r="J1237">
        <v>10</v>
      </c>
      <c r="K1237" t="s">
        <v>1944</v>
      </c>
      <c r="L1237">
        <v>450</v>
      </c>
      <c r="M1237">
        <v>3384</v>
      </c>
      <c r="N1237">
        <v>1800</v>
      </c>
      <c r="O1237">
        <v>1584</v>
      </c>
      <c r="P1237">
        <v>0.46808510638297901</v>
      </c>
      <c r="Q1237">
        <v>0</v>
      </c>
      <c r="R1237">
        <v>0</v>
      </c>
      <c r="S1237">
        <v>4</v>
      </c>
      <c r="T1237">
        <v>3384</v>
      </c>
    </row>
    <row r="1238" spans="1:20">
      <c r="A1238" t="s">
        <v>1603</v>
      </c>
      <c r="B1238" s="1">
        <v>45609</v>
      </c>
      <c r="C1238">
        <v>46</v>
      </c>
      <c r="D1238">
        <v>11</v>
      </c>
      <c r="E1238" t="s">
        <v>1516</v>
      </c>
      <c r="F1238" t="s">
        <v>82</v>
      </c>
      <c r="G1238" t="s">
        <v>20</v>
      </c>
      <c r="H1238">
        <v>3</v>
      </c>
      <c r="I1238">
        <v>900</v>
      </c>
      <c r="J1238">
        <v>0</v>
      </c>
      <c r="K1238" t="s">
        <v>1933</v>
      </c>
      <c r="L1238">
        <v>500</v>
      </c>
      <c r="M1238">
        <v>2700</v>
      </c>
      <c r="N1238">
        <v>1500</v>
      </c>
      <c r="O1238">
        <v>1200</v>
      </c>
      <c r="P1238">
        <v>0.44444444444444398</v>
      </c>
      <c r="Q1238">
        <v>0</v>
      </c>
      <c r="R1238">
        <v>0</v>
      </c>
      <c r="S1238">
        <v>3</v>
      </c>
      <c r="T1238">
        <v>2700</v>
      </c>
    </row>
    <row r="1239" spans="1:20">
      <c r="A1239" t="s">
        <v>1605</v>
      </c>
      <c r="B1239" s="1">
        <v>45609</v>
      </c>
      <c r="C1239">
        <v>46</v>
      </c>
      <c r="D1239">
        <v>11</v>
      </c>
      <c r="E1239" t="s">
        <v>1516</v>
      </c>
      <c r="F1239" t="s">
        <v>94</v>
      </c>
      <c r="G1239" t="s">
        <v>17</v>
      </c>
      <c r="H1239">
        <v>1</v>
      </c>
      <c r="I1239">
        <v>1680</v>
      </c>
      <c r="J1239">
        <v>0</v>
      </c>
      <c r="K1239" t="s">
        <v>1943</v>
      </c>
      <c r="L1239">
        <v>800</v>
      </c>
      <c r="M1239">
        <v>1680</v>
      </c>
      <c r="N1239">
        <v>800</v>
      </c>
      <c r="O1239">
        <v>880</v>
      </c>
      <c r="P1239">
        <v>0.52380952380952395</v>
      </c>
      <c r="Q1239">
        <v>0</v>
      </c>
      <c r="R1239">
        <v>0</v>
      </c>
      <c r="S1239">
        <v>1</v>
      </c>
      <c r="T1239">
        <v>1680</v>
      </c>
    </row>
    <row r="1240" spans="1:20">
      <c r="A1240" t="s">
        <v>1606</v>
      </c>
      <c r="B1240" s="1">
        <v>45609</v>
      </c>
      <c r="C1240">
        <v>46</v>
      </c>
      <c r="D1240">
        <v>11</v>
      </c>
      <c r="E1240" t="s">
        <v>1516</v>
      </c>
      <c r="F1240" t="s">
        <v>19</v>
      </c>
      <c r="G1240" t="s">
        <v>20</v>
      </c>
      <c r="H1240">
        <v>3</v>
      </c>
      <c r="I1240">
        <v>1458</v>
      </c>
      <c r="J1240">
        <v>10</v>
      </c>
      <c r="K1240" t="s">
        <v>1931</v>
      </c>
      <c r="L1240">
        <v>900</v>
      </c>
      <c r="M1240">
        <v>4374</v>
      </c>
      <c r="N1240">
        <v>2700</v>
      </c>
      <c r="O1240">
        <v>1674</v>
      </c>
      <c r="P1240">
        <v>0.38271604938271597</v>
      </c>
      <c r="Q1240">
        <v>0</v>
      </c>
      <c r="R1240">
        <v>0</v>
      </c>
      <c r="S1240">
        <v>3</v>
      </c>
      <c r="T1240">
        <v>4374</v>
      </c>
    </row>
    <row r="1241" spans="1:20">
      <c r="A1241" t="s">
        <v>1607</v>
      </c>
      <c r="B1241" s="1">
        <v>45609</v>
      </c>
      <c r="C1241">
        <v>46</v>
      </c>
      <c r="D1241">
        <v>11</v>
      </c>
      <c r="E1241" t="s">
        <v>1516</v>
      </c>
      <c r="F1241" t="s">
        <v>45</v>
      </c>
      <c r="G1241" t="s">
        <v>26</v>
      </c>
      <c r="H1241">
        <v>4</v>
      </c>
      <c r="I1241">
        <v>4500</v>
      </c>
      <c r="J1241">
        <v>0</v>
      </c>
      <c r="K1241" t="s">
        <v>1938</v>
      </c>
      <c r="L1241">
        <v>1800</v>
      </c>
      <c r="M1241">
        <v>18000</v>
      </c>
      <c r="N1241">
        <v>7200</v>
      </c>
      <c r="O1241">
        <v>10800</v>
      </c>
      <c r="P1241">
        <v>0.6</v>
      </c>
      <c r="Q1241">
        <v>0</v>
      </c>
      <c r="R1241">
        <v>0</v>
      </c>
      <c r="S1241">
        <v>4</v>
      </c>
      <c r="T1241">
        <v>18000</v>
      </c>
    </row>
    <row r="1242" spans="1:20">
      <c r="A1242" t="s">
        <v>1608</v>
      </c>
      <c r="B1242" s="1">
        <v>45609</v>
      </c>
      <c r="C1242">
        <v>46</v>
      </c>
      <c r="D1242">
        <v>11</v>
      </c>
      <c r="E1242" t="s">
        <v>1516</v>
      </c>
      <c r="F1242" t="s">
        <v>94</v>
      </c>
      <c r="G1242" t="s">
        <v>17</v>
      </c>
      <c r="H1242">
        <v>3</v>
      </c>
      <c r="I1242">
        <v>1596</v>
      </c>
      <c r="J1242">
        <v>5</v>
      </c>
      <c r="K1242" t="s">
        <v>1943</v>
      </c>
      <c r="L1242">
        <v>800</v>
      </c>
      <c r="M1242">
        <v>4788</v>
      </c>
      <c r="N1242">
        <v>2400</v>
      </c>
      <c r="O1242">
        <v>2388</v>
      </c>
      <c r="P1242">
        <v>0.49874686716791999</v>
      </c>
      <c r="Q1242">
        <v>0</v>
      </c>
      <c r="R1242">
        <v>0</v>
      </c>
      <c r="S1242">
        <v>3</v>
      </c>
      <c r="T1242">
        <v>4788</v>
      </c>
    </row>
    <row r="1243" spans="1:20">
      <c r="A1243" t="s">
        <v>1609</v>
      </c>
      <c r="B1243" s="1">
        <v>45609</v>
      </c>
      <c r="C1243">
        <v>46</v>
      </c>
      <c r="D1243">
        <v>11</v>
      </c>
      <c r="E1243" t="s">
        <v>1516</v>
      </c>
      <c r="F1243" t="s">
        <v>82</v>
      </c>
      <c r="G1243" t="s">
        <v>20</v>
      </c>
      <c r="H1243">
        <v>4</v>
      </c>
      <c r="I1243">
        <v>765</v>
      </c>
      <c r="J1243">
        <v>15</v>
      </c>
      <c r="K1243" t="s">
        <v>1933</v>
      </c>
      <c r="L1243">
        <v>500</v>
      </c>
      <c r="M1243">
        <v>3060</v>
      </c>
      <c r="N1243">
        <v>2000</v>
      </c>
      <c r="O1243">
        <v>1060</v>
      </c>
      <c r="P1243">
        <v>0.34640522875816998</v>
      </c>
      <c r="Q1243">
        <v>0</v>
      </c>
      <c r="R1243">
        <v>0</v>
      </c>
      <c r="S1243">
        <v>4</v>
      </c>
      <c r="T1243">
        <v>3060</v>
      </c>
    </row>
    <row r="1244" spans="1:20">
      <c r="A1244" t="s">
        <v>1610</v>
      </c>
      <c r="B1244" s="1">
        <v>45609</v>
      </c>
      <c r="C1244">
        <v>46</v>
      </c>
      <c r="D1244">
        <v>11</v>
      </c>
      <c r="E1244" t="s">
        <v>1516</v>
      </c>
      <c r="F1244" t="s">
        <v>119</v>
      </c>
      <c r="G1244" t="s">
        <v>14</v>
      </c>
      <c r="H1244">
        <v>3</v>
      </c>
      <c r="I1244">
        <v>693</v>
      </c>
      <c r="J1244">
        <v>10</v>
      </c>
      <c r="K1244" t="s">
        <v>1920</v>
      </c>
      <c r="L1244">
        <v>350</v>
      </c>
      <c r="M1244">
        <v>2079</v>
      </c>
      <c r="N1244">
        <v>1050</v>
      </c>
      <c r="O1244">
        <v>1029</v>
      </c>
      <c r="P1244">
        <v>0.49494949494949497</v>
      </c>
      <c r="Q1244">
        <v>0</v>
      </c>
      <c r="R1244">
        <v>0</v>
      </c>
      <c r="S1244">
        <v>3</v>
      </c>
      <c r="T1244">
        <v>2079</v>
      </c>
    </row>
    <row r="1245" spans="1:20">
      <c r="A1245" t="s">
        <v>1611</v>
      </c>
      <c r="B1245" s="1">
        <v>45610</v>
      </c>
      <c r="C1245">
        <v>46</v>
      </c>
      <c r="D1245">
        <v>11</v>
      </c>
      <c r="E1245" t="s">
        <v>1516</v>
      </c>
      <c r="F1245" t="s">
        <v>97</v>
      </c>
      <c r="G1245" t="s">
        <v>20</v>
      </c>
      <c r="H1245">
        <v>5</v>
      </c>
      <c r="I1245">
        <v>1980</v>
      </c>
      <c r="J1245">
        <v>0</v>
      </c>
      <c r="K1245" t="s">
        <v>1932</v>
      </c>
      <c r="L1245">
        <v>1100</v>
      </c>
      <c r="M1245">
        <v>9900</v>
      </c>
      <c r="N1245">
        <v>5500</v>
      </c>
      <c r="O1245">
        <v>4400</v>
      </c>
      <c r="P1245">
        <v>0.44444444444444398</v>
      </c>
      <c r="Q1245">
        <v>0</v>
      </c>
      <c r="R1245">
        <v>0</v>
      </c>
      <c r="S1245">
        <v>5</v>
      </c>
      <c r="T1245">
        <v>9900</v>
      </c>
    </row>
    <row r="1246" spans="1:20">
      <c r="A1246" t="s">
        <v>1613</v>
      </c>
      <c r="B1246" s="1">
        <v>45610</v>
      </c>
      <c r="C1246">
        <v>46</v>
      </c>
      <c r="D1246">
        <v>11</v>
      </c>
      <c r="E1246" t="s">
        <v>1516</v>
      </c>
      <c r="F1246" t="s">
        <v>86</v>
      </c>
      <c r="G1246" t="s">
        <v>17</v>
      </c>
      <c r="H1246">
        <v>1</v>
      </c>
      <c r="I1246">
        <v>940</v>
      </c>
      <c r="J1246">
        <v>0</v>
      </c>
      <c r="K1246" t="s">
        <v>1944</v>
      </c>
      <c r="L1246">
        <v>450</v>
      </c>
      <c r="M1246">
        <v>940</v>
      </c>
      <c r="N1246">
        <v>450</v>
      </c>
      <c r="O1246">
        <v>490</v>
      </c>
      <c r="P1246">
        <v>0.52127659574468099</v>
      </c>
      <c r="Q1246">
        <v>0</v>
      </c>
      <c r="R1246">
        <v>0</v>
      </c>
      <c r="S1246">
        <v>1</v>
      </c>
      <c r="T1246">
        <v>940</v>
      </c>
    </row>
    <row r="1247" spans="1:20">
      <c r="A1247" t="s">
        <v>1614</v>
      </c>
      <c r="B1247" s="1">
        <v>45610</v>
      </c>
      <c r="C1247">
        <v>46</v>
      </c>
      <c r="D1247">
        <v>11</v>
      </c>
      <c r="E1247" t="s">
        <v>1516</v>
      </c>
      <c r="F1247" t="s">
        <v>94</v>
      </c>
      <c r="G1247" t="s">
        <v>17</v>
      </c>
      <c r="H1247">
        <v>2</v>
      </c>
      <c r="I1247">
        <v>1680</v>
      </c>
      <c r="J1247">
        <v>0</v>
      </c>
      <c r="K1247" t="s">
        <v>1943</v>
      </c>
      <c r="L1247">
        <v>800</v>
      </c>
      <c r="M1247">
        <v>3360</v>
      </c>
      <c r="N1247">
        <v>1600</v>
      </c>
      <c r="O1247">
        <v>1760</v>
      </c>
      <c r="P1247">
        <v>0.52380952380952395</v>
      </c>
      <c r="Q1247">
        <v>0</v>
      </c>
      <c r="R1247">
        <v>0</v>
      </c>
      <c r="S1247">
        <v>2</v>
      </c>
      <c r="T1247">
        <v>3360</v>
      </c>
    </row>
    <row r="1248" spans="1:20">
      <c r="A1248" t="s">
        <v>1615</v>
      </c>
      <c r="B1248" s="1">
        <v>45610</v>
      </c>
      <c r="C1248">
        <v>46</v>
      </c>
      <c r="D1248">
        <v>11</v>
      </c>
      <c r="E1248" t="s">
        <v>1516</v>
      </c>
      <c r="F1248" t="s">
        <v>86</v>
      </c>
      <c r="G1248" t="s">
        <v>17</v>
      </c>
      <c r="H1248">
        <v>1</v>
      </c>
      <c r="I1248">
        <v>940</v>
      </c>
      <c r="J1248">
        <v>0</v>
      </c>
      <c r="K1248" t="s">
        <v>1944</v>
      </c>
      <c r="L1248">
        <v>450</v>
      </c>
      <c r="M1248">
        <v>940</v>
      </c>
      <c r="N1248">
        <v>450</v>
      </c>
      <c r="O1248">
        <v>490</v>
      </c>
      <c r="P1248">
        <v>0.52127659574468099</v>
      </c>
      <c r="Q1248">
        <v>0</v>
      </c>
      <c r="R1248">
        <v>0</v>
      </c>
      <c r="S1248">
        <v>1</v>
      </c>
      <c r="T1248">
        <v>940</v>
      </c>
    </row>
    <row r="1249" spans="1:20">
      <c r="A1249" t="s">
        <v>1616</v>
      </c>
      <c r="B1249" s="1">
        <v>45610</v>
      </c>
      <c r="C1249">
        <v>46</v>
      </c>
      <c r="D1249">
        <v>11</v>
      </c>
      <c r="E1249" t="s">
        <v>1516</v>
      </c>
      <c r="F1249" t="s">
        <v>146</v>
      </c>
      <c r="G1249" t="s">
        <v>20</v>
      </c>
      <c r="H1249">
        <v>4</v>
      </c>
      <c r="I1249">
        <v>630</v>
      </c>
      <c r="J1249">
        <v>0</v>
      </c>
      <c r="K1249" t="s">
        <v>1934</v>
      </c>
      <c r="L1249">
        <v>350</v>
      </c>
      <c r="M1249">
        <v>2520</v>
      </c>
      <c r="N1249">
        <v>1400</v>
      </c>
      <c r="O1249">
        <v>1120</v>
      </c>
      <c r="P1249">
        <v>0.44444444444444398</v>
      </c>
      <c r="Q1249">
        <v>1</v>
      </c>
      <c r="R1249">
        <v>1</v>
      </c>
      <c r="S1249">
        <v>3</v>
      </c>
      <c r="T1249">
        <v>1890</v>
      </c>
    </row>
    <row r="1250" spans="1:20">
      <c r="A1250" t="s">
        <v>1617</v>
      </c>
      <c r="B1250" s="1">
        <v>45610</v>
      </c>
      <c r="C1250">
        <v>46</v>
      </c>
      <c r="D1250">
        <v>11</v>
      </c>
      <c r="E1250" t="s">
        <v>1516</v>
      </c>
      <c r="F1250" t="s">
        <v>80</v>
      </c>
      <c r="G1250" t="s">
        <v>14</v>
      </c>
      <c r="H1250">
        <v>5</v>
      </c>
      <c r="I1250">
        <v>360</v>
      </c>
      <c r="J1250">
        <v>10</v>
      </c>
      <c r="K1250" t="s">
        <v>1922</v>
      </c>
      <c r="L1250">
        <v>180</v>
      </c>
      <c r="M1250">
        <v>1800</v>
      </c>
      <c r="N1250">
        <v>900</v>
      </c>
      <c r="O1250">
        <v>900</v>
      </c>
      <c r="P1250">
        <v>0.5</v>
      </c>
      <c r="Q1250">
        <v>0</v>
      </c>
      <c r="R1250">
        <v>0</v>
      </c>
      <c r="S1250">
        <v>5</v>
      </c>
      <c r="T1250">
        <v>1800</v>
      </c>
    </row>
    <row r="1251" spans="1:20">
      <c r="A1251" t="s">
        <v>1618</v>
      </c>
      <c r="B1251" s="1">
        <v>45610</v>
      </c>
      <c r="C1251">
        <v>46</v>
      </c>
      <c r="D1251">
        <v>11</v>
      </c>
      <c r="E1251" t="s">
        <v>1516</v>
      </c>
      <c r="F1251" t="s">
        <v>35</v>
      </c>
      <c r="G1251" t="s">
        <v>17</v>
      </c>
      <c r="H1251">
        <v>5</v>
      </c>
      <c r="I1251">
        <v>2992.5</v>
      </c>
      <c r="J1251">
        <v>5</v>
      </c>
      <c r="K1251" t="s">
        <v>1942</v>
      </c>
      <c r="L1251">
        <v>1500</v>
      </c>
      <c r="M1251">
        <v>14962.5</v>
      </c>
      <c r="N1251">
        <v>7500</v>
      </c>
      <c r="O1251">
        <v>7462.5</v>
      </c>
      <c r="P1251">
        <v>0.49874686716791999</v>
      </c>
      <c r="Q1251">
        <v>4</v>
      </c>
      <c r="R1251">
        <v>4</v>
      </c>
      <c r="S1251">
        <v>1</v>
      </c>
      <c r="T1251">
        <v>2992.5</v>
      </c>
    </row>
    <row r="1252" spans="1:20">
      <c r="A1252" t="s">
        <v>1619</v>
      </c>
      <c r="B1252" s="1">
        <v>45611</v>
      </c>
      <c r="C1252">
        <v>46</v>
      </c>
      <c r="D1252">
        <v>11</v>
      </c>
      <c r="E1252" t="s">
        <v>1516</v>
      </c>
      <c r="F1252" t="s">
        <v>86</v>
      </c>
      <c r="G1252" t="s">
        <v>17</v>
      </c>
      <c r="H1252">
        <v>3</v>
      </c>
      <c r="I1252">
        <v>799</v>
      </c>
      <c r="J1252">
        <v>15</v>
      </c>
      <c r="K1252" t="s">
        <v>1944</v>
      </c>
      <c r="L1252">
        <v>450</v>
      </c>
      <c r="M1252">
        <v>2397</v>
      </c>
      <c r="N1252">
        <v>1350</v>
      </c>
      <c r="O1252">
        <v>1047</v>
      </c>
      <c r="P1252">
        <v>0.436795994993742</v>
      </c>
      <c r="Q1252">
        <v>0</v>
      </c>
      <c r="R1252">
        <v>0</v>
      </c>
      <c r="S1252">
        <v>3</v>
      </c>
      <c r="T1252">
        <v>2397</v>
      </c>
    </row>
    <row r="1253" spans="1:20">
      <c r="A1253" t="s">
        <v>1621</v>
      </c>
      <c r="B1253" s="1">
        <v>45611</v>
      </c>
      <c r="C1253">
        <v>46</v>
      </c>
      <c r="D1253">
        <v>11</v>
      </c>
      <c r="E1253" t="s">
        <v>1516</v>
      </c>
      <c r="F1253" t="s">
        <v>82</v>
      </c>
      <c r="G1253" t="s">
        <v>20</v>
      </c>
      <c r="H1253">
        <v>2</v>
      </c>
      <c r="I1253">
        <v>900</v>
      </c>
      <c r="J1253">
        <v>0</v>
      </c>
      <c r="K1253" t="s">
        <v>1933</v>
      </c>
      <c r="L1253">
        <v>500</v>
      </c>
      <c r="M1253">
        <v>1800</v>
      </c>
      <c r="N1253">
        <v>1000</v>
      </c>
      <c r="O1253">
        <v>800</v>
      </c>
      <c r="P1253">
        <v>0.44444444444444398</v>
      </c>
      <c r="Q1253">
        <v>0</v>
      </c>
      <c r="R1253">
        <v>0</v>
      </c>
      <c r="S1253">
        <v>2</v>
      </c>
      <c r="T1253">
        <v>1800</v>
      </c>
    </row>
    <row r="1254" spans="1:20">
      <c r="A1254" t="s">
        <v>1622</v>
      </c>
      <c r="B1254" s="1">
        <v>45611</v>
      </c>
      <c r="C1254">
        <v>46</v>
      </c>
      <c r="D1254">
        <v>11</v>
      </c>
      <c r="E1254" t="s">
        <v>1516</v>
      </c>
      <c r="F1254" t="s">
        <v>16</v>
      </c>
      <c r="G1254" t="s">
        <v>17</v>
      </c>
      <c r="H1254">
        <v>3</v>
      </c>
      <c r="I1254">
        <v>442</v>
      </c>
      <c r="J1254">
        <v>15</v>
      </c>
      <c r="K1254" t="s">
        <v>1945</v>
      </c>
      <c r="L1254">
        <v>250</v>
      </c>
      <c r="M1254">
        <v>1326</v>
      </c>
      <c r="N1254">
        <v>750</v>
      </c>
      <c r="O1254">
        <v>576</v>
      </c>
      <c r="P1254">
        <v>0.434389140271493</v>
      </c>
      <c r="Q1254">
        <v>0</v>
      </c>
      <c r="R1254">
        <v>0</v>
      </c>
      <c r="S1254">
        <v>3</v>
      </c>
      <c r="T1254">
        <v>1326</v>
      </c>
    </row>
    <row r="1255" spans="1:20">
      <c r="A1255" t="s">
        <v>1623</v>
      </c>
      <c r="B1255" s="1">
        <v>45611</v>
      </c>
      <c r="C1255">
        <v>46</v>
      </c>
      <c r="D1255">
        <v>11</v>
      </c>
      <c r="E1255" t="s">
        <v>1516</v>
      </c>
      <c r="F1255" t="s">
        <v>19</v>
      </c>
      <c r="G1255" t="s">
        <v>20</v>
      </c>
      <c r="H1255">
        <v>3</v>
      </c>
      <c r="I1255">
        <v>1620</v>
      </c>
      <c r="J1255">
        <v>0</v>
      </c>
      <c r="K1255" t="s">
        <v>1931</v>
      </c>
      <c r="L1255">
        <v>900</v>
      </c>
      <c r="M1255">
        <v>4860</v>
      </c>
      <c r="N1255">
        <v>2700</v>
      </c>
      <c r="O1255">
        <v>2160</v>
      </c>
      <c r="P1255">
        <v>0.44444444444444398</v>
      </c>
      <c r="Q1255">
        <v>0</v>
      </c>
      <c r="R1255">
        <v>0</v>
      </c>
      <c r="S1255">
        <v>3</v>
      </c>
      <c r="T1255">
        <v>4860</v>
      </c>
    </row>
    <row r="1256" spans="1:20">
      <c r="A1256" t="s">
        <v>1624</v>
      </c>
      <c r="B1256" s="1">
        <v>45611</v>
      </c>
      <c r="C1256">
        <v>46</v>
      </c>
      <c r="D1256">
        <v>11</v>
      </c>
      <c r="E1256" t="s">
        <v>1516</v>
      </c>
      <c r="F1256" t="s">
        <v>86</v>
      </c>
      <c r="G1256" t="s">
        <v>17</v>
      </c>
      <c r="H1256">
        <v>4</v>
      </c>
      <c r="I1256">
        <v>940</v>
      </c>
      <c r="J1256">
        <v>0</v>
      </c>
      <c r="K1256" t="s">
        <v>1944</v>
      </c>
      <c r="L1256">
        <v>450</v>
      </c>
      <c r="M1256">
        <v>3760</v>
      </c>
      <c r="N1256">
        <v>1800</v>
      </c>
      <c r="O1256">
        <v>1960</v>
      </c>
      <c r="P1256">
        <v>0.52127659574468099</v>
      </c>
      <c r="Q1256">
        <v>0</v>
      </c>
      <c r="R1256">
        <v>0</v>
      </c>
      <c r="S1256">
        <v>4</v>
      </c>
      <c r="T1256">
        <v>3760</v>
      </c>
    </row>
    <row r="1257" spans="1:20">
      <c r="A1257" t="s">
        <v>1625</v>
      </c>
      <c r="B1257" s="1">
        <v>45611</v>
      </c>
      <c r="C1257">
        <v>46</v>
      </c>
      <c r="D1257">
        <v>11</v>
      </c>
      <c r="E1257" t="s">
        <v>1516</v>
      </c>
      <c r="F1257" t="s">
        <v>37</v>
      </c>
      <c r="G1257" t="s">
        <v>20</v>
      </c>
      <c r="H1257">
        <v>1</v>
      </c>
      <c r="I1257">
        <v>2340</v>
      </c>
      <c r="J1257">
        <v>0</v>
      </c>
      <c r="K1257" t="s">
        <v>1935</v>
      </c>
      <c r="L1257">
        <v>1300</v>
      </c>
      <c r="M1257">
        <v>2340</v>
      </c>
      <c r="N1257">
        <v>1300</v>
      </c>
      <c r="O1257">
        <v>1040</v>
      </c>
      <c r="P1257">
        <v>0.44444444444444398</v>
      </c>
      <c r="Q1257">
        <v>0</v>
      </c>
      <c r="R1257">
        <v>0</v>
      </c>
      <c r="S1257">
        <v>1</v>
      </c>
      <c r="T1257">
        <v>2340</v>
      </c>
    </row>
    <row r="1258" spans="1:20">
      <c r="A1258" t="s">
        <v>1626</v>
      </c>
      <c r="B1258" s="1">
        <v>45612</v>
      </c>
      <c r="C1258">
        <v>46</v>
      </c>
      <c r="D1258">
        <v>11</v>
      </c>
      <c r="E1258" t="s">
        <v>1516</v>
      </c>
      <c r="F1258" t="s">
        <v>16</v>
      </c>
      <c r="G1258" t="s">
        <v>17</v>
      </c>
      <c r="H1258">
        <v>1</v>
      </c>
      <c r="I1258">
        <v>520</v>
      </c>
      <c r="J1258">
        <v>0</v>
      </c>
      <c r="K1258" t="s">
        <v>1945</v>
      </c>
      <c r="L1258">
        <v>250</v>
      </c>
      <c r="M1258">
        <v>520</v>
      </c>
      <c r="N1258">
        <v>250</v>
      </c>
      <c r="O1258">
        <v>270</v>
      </c>
      <c r="P1258">
        <v>0.51923076923076905</v>
      </c>
      <c r="Q1258">
        <v>0</v>
      </c>
      <c r="R1258">
        <v>0</v>
      </c>
      <c r="S1258">
        <v>1</v>
      </c>
      <c r="T1258">
        <v>520</v>
      </c>
    </row>
    <row r="1259" spans="1:20">
      <c r="A1259" t="s">
        <v>1628</v>
      </c>
      <c r="B1259" s="1">
        <v>45612</v>
      </c>
      <c r="C1259">
        <v>46</v>
      </c>
      <c r="D1259">
        <v>11</v>
      </c>
      <c r="E1259" t="s">
        <v>1516</v>
      </c>
      <c r="F1259" t="s">
        <v>28</v>
      </c>
      <c r="G1259" t="s">
        <v>26</v>
      </c>
      <c r="H1259">
        <v>1</v>
      </c>
      <c r="I1259">
        <v>1500</v>
      </c>
      <c r="J1259">
        <v>0</v>
      </c>
      <c r="K1259" t="s">
        <v>1939</v>
      </c>
      <c r="L1259">
        <v>600</v>
      </c>
      <c r="M1259">
        <v>1500</v>
      </c>
      <c r="N1259">
        <v>600</v>
      </c>
      <c r="O1259">
        <v>900</v>
      </c>
      <c r="P1259">
        <v>0.6</v>
      </c>
      <c r="Q1259">
        <v>0</v>
      </c>
      <c r="R1259">
        <v>0</v>
      </c>
      <c r="S1259">
        <v>1</v>
      </c>
      <c r="T1259">
        <v>1500</v>
      </c>
    </row>
    <row r="1260" spans="1:20">
      <c r="A1260" t="s">
        <v>1629</v>
      </c>
      <c r="B1260" s="1">
        <v>45612</v>
      </c>
      <c r="C1260">
        <v>46</v>
      </c>
      <c r="D1260">
        <v>11</v>
      </c>
      <c r="E1260" t="s">
        <v>1516</v>
      </c>
      <c r="F1260" t="s">
        <v>94</v>
      </c>
      <c r="G1260" t="s">
        <v>17</v>
      </c>
      <c r="H1260">
        <v>2</v>
      </c>
      <c r="I1260">
        <v>1428</v>
      </c>
      <c r="J1260">
        <v>15</v>
      </c>
      <c r="K1260" t="s">
        <v>1943</v>
      </c>
      <c r="L1260">
        <v>800</v>
      </c>
      <c r="M1260">
        <v>2856</v>
      </c>
      <c r="N1260">
        <v>1600</v>
      </c>
      <c r="O1260">
        <v>1256</v>
      </c>
      <c r="P1260">
        <v>0.43977591036414598</v>
      </c>
      <c r="Q1260">
        <v>0</v>
      </c>
      <c r="R1260">
        <v>0</v>
      </c>
      <c r="S1260">
        <v>2</v>
      </c>
      <c r="T1260">
        <v>2856</v>
      </c>
    </row>
    <row r="1261" spans="1:20">
      <c r="A1261" t="s">
        <v>1630</v>
      </c>
      <c r="B1261" s="1">
        <v>45612</v>
      </c>
      <c r="C1261">
        <v>46</v>
      </c>
      <c r="D1261">
        <v>11</v>
      </c>
      <c r="E1261" t="s">
        <v>1516</v>
      </c>
      <c r="F1261" t="s">
        <v>86</v>
      </c>
      <c r="G1261" t="s">
        <v>17</v>
      </c>
      <c r="H1261">
        <v>3</v>
      </c>
      <c r="I1261">
        <v>799</v>
      </c>
      <c r="J1261">
        <v>15</v>
      </c>
      <c r="K1261" t="s">
        <v>1944</v>
      </c>
      <c r="L1261">
        <v>450</v>
      </c>
      <c r="M1261">
        <v>2397</v>
      </c>
      <c r="N1261">
        <v>1350</v>
      </c>
      <c r="O1261">
        <v>1047</v>
      </c>
      <c r="P1261">
        <v>0.436795994993742</v>
      </c>
      <c r="Q1261">
        <v>0</v>
      </c>
      <c r="R1261">
        <v>0</v>
      </c>
      <c r="S1261">
        <v>3</v>
      </c>
      <c r="T1261">
        <v>2397</v>
      </c>
    </row>
    <row r="1262" spans="1:20">
      <c r="A1262" t="s">
        <v>1631</v>
      </c>
      <c r="B1262" s="1">
        <v>45612</v>
      </c>
      <c r="C1262">
        <v>46</v>
      </c>
      <c r="D1262">
        <v>11</v>
      </c>
      <c r="E1262" t="s">
        <v>1516</v>
      </c>
      <c r="F1262" t="s">
        <v>19</v>
      </c>
      <c r="G1262" t="s">
        <v>20</v>
      </c>
      <c r="H1262">
        <v>3</v>
      </c>
      <c r="I1262">
        <v>1539</v>
      </c>
      <c r="J1262">
        <v>5</v>
      </c>
      <c r="K1262" t="s">
        <v>1931</v>
      </c>
      <c r="L1262">
        <v>900</v>
      </c>
      <c r="M1262">
        <v>4617</v>
      </c>
      <c r="N1262">
        <v>2700</v>
      </c>
      <c r="O1262">
        <v>1917</v>
      </c>
      <c r="P1262">
        <v>0.41520467836257302</v>
      </c>
      <c r="Q1262">
        <v>0</v>
      </c>
      <c r="R1262">
        <v>0</v>
      </c>
      <c r="S1262">
        <v>3</v>
      </c>
      <c r="T1262">
        <v>4617</v>
      </c>
    </row>
    <row r="1263" spans="1:20">
      <c r="A1263" t="s">
        <v>1632</v>
      </c>
      <c r="B1263" s="1">
        <v>45613</v>
      </c>
      <c r="C1263">
        <v>46</v>
      </c>
      <c r="D1263">
        <v>11</v>
      </c>
      <c r="E1263" t="s">
        <v>1516</v>
      </c>
      <c r="F1263" t="s">
        <v>86</v>
      </c>
      <c r="G1263" t="s">
        <v>17</v>
      </c>
      <c r="H1263">
        <v>3</v>
      </c>
      <c r="I1263">
        <v>846</v>
      </c>
      <c r="J1263">
        <v>10</v>
      </c>
      <c r="K1263" t="s">
        <v>1944</v>
      </c>
      <c r="L1263">
        <v>450</v>
      </c>
      <c r="M1263">
        <v>2538</v>
      </c>
      <c r="N1263">
        <v>1350</v>
      </c>
      <c r="O1263">
        <v>1188</v>
      </c>
      <c r="P1263">
        <v>0.46808510638297901</v>
      </c>
      <c r="Q1263">
        <v>0</v>
      </c>
      <c r="R1263">
        <v>0</v>
      </c>
      <c r="S1263">
        <v>3</v>
      </c>
      <c r="T1263">
        <v>2538</v>
      </c>
    </row>
    <row r="1264" spans="1:20">
      <c r="A1264" t="s">
        <v>1634</v>
      </c>
      <c r="B1264" s="1">
        <v>45613</v>
      </c>
      <c r="C1264">
        <v>46</v>
      </c>
      <c r="D1264">
        <v>11</v>
      </c>
      <c r="E1264" t="s">
        <v>1516</v>
      </c>
      <c r="F1264" t="s">
        <v>25</v>
      </c>
      <c r="G1264" t="s">
        <v>26</v>
      </c>
      <c r="H1264">
        <v>5</v>
      </c>
      <c r="I1264">
        <v>950</v>
      </c>
      <c r="J1264">
        <v>5</v>
      </c>
      <c r="K1264" t="s">
        <v>1940</v>
      </c>
      <c r="L1264">
        <v>400</v>
      </c>
      <c r="M1264">
        <v>4750</v>
      </c>
      <c r="N1264">
        <v>2000</v>
      </c>
      <c r="O1264">
        <v>2750</v>
      </c>
      <c r="P1264">
        <v>0.57894736842105299</v>
      </c>
      <c r="Q1264">
        <v>0</v>
      </c>
      <c r="R1264">
        <v>0</v>
      </c>
      <c r="S1264">
        <v>5</v>
      </c>
      <c r="T1264">
        <v>4750</v>
      </c>
    </row>
    <row r="1265" spans="1:20">
      <c r="A1265" t="s">
        <v>1635</v>
      </c>
      <c r="B1265" s="1">
        <v>45613</v>
      </c>
      <c r="C1265">
        <v>46</v>
      </c>
      <c r="D1265">
        <v>11</v>
      </c>
      <c r="E1265" t="s">
        <v>1516</v>
      </c>
      <c r="F1265" t="s">
        <v>94</v>
      </c>
      <c r="G1265" t="s">
        <v>17</v>
      </c>
      <c r="H1265">
        <v>4</v>
      </c>
      <c r="I1265">
        <v>1512</v>
      </c>
      <c r="J1265">
        <v>10</v>
      </c>
      <c r="K1265" t="s">
        <v>1943</v>
      </c>
      <c r="L1265">
        <v>800</v>
      </c>
      <c r="M1265">
        <v>6048</v>
      </c>
      <c r="N1265">
        <v>3200</v>
      </c>
      <c r="O1265">
        <v>2848</v>
      </c>
      <c r="P1265">
        <v>0.47089947089947098</v>
      </c>
      <c r="Q1265">
        <v>0</v>
      </c>
      <c r="R1265">
        <v>0</v>
      </c>
      <c r="S1265">
        <v>4</v>
      </c>
      <c r="T1265">
        <v>6048</v>
      </c>
    </row>
    <row r="1266" spans="1:20">
      <c r="A1266" t="s">
        <v>1636</v>
      </c>
      <c r="B1266" s="1">
        <v>45613</v>
      </c>
      <c r="C1266">
        <v>46</v>
      </c>
      <c r="D1266">
        <v>11</v>
      </c>
      <c r="E1266" t="s">
        <v>1516</v>
      </c>
      <c r="F1266" t="s">
        <v>35</v>
      </c>
      <c r="G1266" t="s">
        <v>17</v>
      </c>
      <c r="H1266">
        <v>3</v>
      </c>
      <c r="I1266">
        <v>2992.5</v>
      </c>
      <c r="J1266">
        <v>5</v>
      </c>
      <c r="K1266" t="s">
        <v>1942</v>
      </c>
      <c r="L1266">
        <v>1500</v>
      </c>
      <c r="M1266">
        <v>8977.5</v>
      </c>
      <c r="N1266">
        <v>4500</v>
      </c>
      <c r="O1266">
        <v>4477.5</v>
      </c>
      <c r="P1266">
        <v>0.49874686716791999</v>
      </c>
      <c r="Q1266">
        <v>0</v>
      </c>
      <c r="R1266">
        <v>0</v>
      </c>
      <c r="S1266">
        <v>3</v>
      </c>
      <c r="T1266">
        <v>8977.5</v>
      </c>
    </row>
    <row r="1267" spans="1:20">
      <c r="A1267" t="s">
        <v>1637</v>
      </c>
      <c r="B1267" s="1">
        <v>45613</v>
      </c>
      <c r="C1267">
        <v>46</v>
      </c>
      <c r="D1267">
        <v>11</v>
      </c>
      <c r="E1267" t="s">
        <v>1516</v>
      </c>
      <c r="F1267" t="s">
        <v>80</v>
      </c>
      <c r="G1267" t="s">
        <v>14</v>
      </c>
      <c r="H1267">
        <v>3</v>
      </c>
      <c r="I1267">
        <v>400</v>
      </c>
      <c r="J1267">
        <v>0</v>
      </c>
      <c r="K1267" t="s">
        <v>1922</v>
      </c>
      <c r="L1267">
        <v>180</v>
      </c>
      <c r="M1267">
        <v>1200</v>
      </c>
      <c r="N1267">
        <v>540</v>
      </c>
      <c r="O1267">
        <v>660</v>
      </c>
      <c r="P1267">
        <v>0.55000000000000004</v>
      </c>
      <c r="Q1267">
        <v>0</v>
      </c>
      <c r="R1267">
        <v>0</v>
      </c>
      <c r="S1267">
        <v>3</v>
      </c>
      <c r="T1267">
        <v>1200</v>
      </c>
    </row>
    <row r="1268" spans="1:20">
      <c r="A1268" t="s">
        <v>1638</v>
      </c>
      <c r="B1268" s="1">
        <v>45613</v>
      </c>
      <c r="C1268">
        <v>46</v>
      </c>
      <c r="D1268">
        <v>11</v>
      </c>
      <c r="E1268" t="s">
        <v>1516</v>
      </c>
      <c r="F1268" t="s">
        <v>80</v>
      </c>
      <c r="G1268" t="s">
        <v>14</v>
      </c>
      <c r="H1268">
        <v>1</v>
      </c>
      <c r="I1268">
        <v>400</v>
      </c>
      <c r="J1268">
        <v>0</v>
      </c>
      <c r="K1268" t="s">
        <v>1922</v>
      </c>
      <c r="L1268">
        <v>180</v>
      </c>
      <c r="M1268">
        <v>400</v>
      </c>
      <c r="N1268">
        <v>180</v>
      </c>
      <c r="O1268">
        <v>220</v>
      </c>
      <c r="P1268">
        <v>0.55000000000000004</v>
      </c>
      <c r="Q1268">
        <v>0</v>
      </c>
      <c r="R1268">
        <v>0</v>
      </c>
      <c r="S1268">
        <v>1</v>
      </c>
      <c r="T1268">
        <v>400</v>
      </c>
    </row>
    <row r="1269" spans="1:20">
      <c r="A1269" t="s">
        <v>1639</v>
      </c>
      <c r="B1269" s="1">
        <v>45613</v>
      </c>
      <c r="C1269">
        <v>46</v>
      </c>
      <c r="D1269">
        <v>11</v>
      </c>
      <c r="E1269" t="s">
        <v>1516</v>
      </c>
      <c r="F1269" t="s">
        <v>42</v>
      </c>
      <c r="G1269" t="s">
        <v>23</v>
      </c>
      <c r="H1269">
        <v>1</v>
      </c>
      <c r="I1269">
        <v>600</v>
      </c>
      <c r="J1269">
        <v>0</v>
      </c>
      <c r="K1269" t="s">
        <v>1928</v>
      </c>
      <c r="L1269">
        <v>300</v>
      </c>
      <c r="M1269">
        <v>600</v>
      </c>
      <c r="N1269">
        <v>300</v>
      </c>
      <c r="O1269">
        <v>300</v>
      </c>
      <c r="P1269">
        <v>0.5</v>
      </c>
      <c r="Q1269">
        <v>0</v>
      </c>
      <c r="R1269">
        <v>0</v>
      </c>
      <c r="S1269">
        <v>1</v>
      </c>
      <c r="T1269">
        <v>600</v>
      </c>
    </row>
    <row r="1270" spans="1:20">
      <c r="A1270" t="s">
        <v>1640</v>
      </c>
      <c r="B1270" s="1">
        <v>45613</v>
      </c>
      <c r="C1270">
        <v>46</v>
      </c>
      <c r="D1270">
        <v>11</v>
      </c>
      <c r="E1270" t="s">
        <v>1516</v>
      </c>
      <c r="F1270" t="s">
        <v>119</v>
      </c>
      <c r="G1270" t="s">
        <v>14</v>
      </c>
      <c r="H1270">
        <v>4</v>
      </c>
      <c r="I1270">
        <v>770</v>
      </c>
      <c r="J1270">
        <v>0</v>
      </c>
      <c r="K1270" t="s">
        <v>1920</v>
      </c>
      <c r="L1270">
        <v>350</v>
      </c>
      <c r="M1270">
        <v>3080</v>
      </c>
      <c r="N1270">
        <v>1400</v>
      </c>
      <c r="O1270">
        <v>1680</v>
      </c>
      <c r="P1270">
        <v>0.54545454545454497</v>
      </c>
      <c r="Q1270">
        <v>4</v>
      </c>
      <c r="R1270">
        <v>4</v>
      </c>
      <c r="S1270">
        <v>0</v>
      </c>
      <c r="T1270">
        <v>0</v>
      </c>
    </row>
    <row r="1271" spans="1:20">
      <c r="A1271" t="s">
        <v>1641</v>
      </c>
      <c r="B1271" s="1">
        <v>45613</v>
      </c>
      <c r="C1271">
        <v>46</v>
      </c>
      <c r="D1271">
        <v>11</v>
      </c>
      <c r="E1271" t="s">
        <v>1516</v>
      </c>
      <c r="F1271" t="s">
        <v>13</v>
      </c>
      <c r="G1271" t="s">
        <v>14</v>
      </c>
      <c r="H1271">
        <v>3</v>
      </c>
      <c r="I1271">
        <v>480</v>
      </c>
      <c r="J1271">
        <v>0</v>
      </c>
      <c r="K1271" t="s">
        <v>1925</v>
      </c>
      <c r="L1271">
        <v>220</v>
      </c>
      <c r="M1271">
        <v>1440</v>
      </c>
      <c r="N1271">
        <v>660</v>
      </c>
      <c r="O1271">
        <v>780</v>
      </c>
      <c r="P1271">
        <v>0.54166666666666696</v>
      </c>
      <c r="Q1271">
        <v>0</v>
      </c>
      <c r="R1271">
        <v>0</v>
      </c>
      <c r="S1271">
        <v>3</v>
      </c>
      <c r="T1271">
        <v>1440</v>
      </c>
    </row>
    <row r="1272" spans="1:20">
      <c r="A1272" t="s">
        <v>1642</v>
      </c>
      <c r="B1272" s="1">
        <v>45613</v>
      </c>
      <c r="C1272">
        <v>46</v>
      </c>
      <c r="D1272">
        <v>11</v>
      </c>
      <c r="E1272" t="s">
        <v>1516</v>
      </c>
      <c r="F1272" t="s">
        <v>68</v>
      </c>
      <c r="G1272" t="s">
        <v>26</v>
      </c>
      <c r="H1272">
        <v>2</v>
      </c>
      <c r="I1272">
        <v>361</v>
      </c>
      <c r="J1272">
        <v>5</v>
      </c>
      <c r="K1272" t="s">
        <v>1937</v>
      </c>
      <c r="L1272">
        <v>150</v>
      </c>
      <c r="M1272">
        <v>722</v>
      </c>
      <c r="N1272">
        <v>300</v>
      </c>
      <c r="O1272">
        <v>422</v>
      </c>
      <c r="P1272">
        <v>0.58448753462603897</v>
      </c>
      <c r="Q1272">
        <v>0</v>
      </c>
      <c r="R1272">
        <v>0</v>
      </c>
      <c r="S1272">
        <v>2</v>
      </c>
      <c r="T1272">
        <v>722</v>
      </c>
    </row>
    <row r="1273" spans="1:20">
      <c r="A1273" t="s">
        <v>1643</v>
      </c>
      <c r="B1273" s="1">
        <v>45613</v>
      </c>
      <c r="C1273">
        <v>46</v>
      </c>
      <c r="D1273">
        <v>11</v>
      </c>
      <c r="E1273" t="s">
        <v>1516</v>
      </c>
      <c r="F1273" t="s">
        <v>82</v>
      </c>
      <c r="G1273" t="s">
        <v>20</v>
      </c>
      <c r="H1273">
        <v>2</v>
      </c>
      <c r="I1273">
        <v>810</v>
      </c>
      <c r="J1273">
        <v>10</v>
      </c>
      <c r="K1273" t="s">
        <v>1933</v>
      </c>
      <c r="L1273">
        <v>500</v>
      </c>
      <c r="M1273">
        <v>1620</v>
      </c>
      <c r="N1273">
        <v>1000</v>
      </c>
      <c r="O1273">
        <v>620</v>
      </c>
      <c r="P1273">
        <v>0.38271604938271597</v>
      </c>
      <c r="Q1273">
        <v>0</v>
      </c>
      <c r="R1273">
        <v>0</v>
      </c>
      <c r="S1273">
        <v>2</v>
      </c>
      <c r="T1273">
        <v>1620</v>
      </c>
    </row>
    <row r="1274" spans="1:20">
      <c r="A1274" t="s">
        <v>1644</v>
      </c>
      <c r="B1274" s="1">
        <v>45614</v>
      </c>
      <c r="C1274">
        <v>47</v>
      </c>
      <c r="D1274">
        <v>11</v>
      </c>
      <c r="E1274" t="s">
        <v>1516</v>
      </c>
      <c r="F1274" t="s">
        <v>119</v>
      </c>
      <c r="G1274" t="s">
        <v>14</v>
      </c>
      <c r="H1274">
        <v>2</v>
      </c>
      <c r="I1274">
        <v>693</v>
      </c>
      <c r="J1274">
        <v>10</v>
      </c>
      <c r="K1274" t="s">
        <v>1920</v>
      </c>
      <c r="L1274">
        <v>350</v>
      </c>
      <c r="M1274">
        <v>1386</v>
      </c>
      <c r="N1274">
        <v>700</v>
      </c>
      <c r="O1274">
        <v>686</v>
      </c>
      <c r="P1274">
        <v>0.49494949494949497</v>
      </c>
      <c r="Q1274">
        <v>1</v>
      </c>
      <c r="R1274">
        <v>1</v>
      </c>
      <c r="S1274">
        <v>1</v>
      </c>
      <c r="T1274">
        <v>693</v>
      </c>
    </row>
    <row r="1275" spans="1:20">
      <c r="A1275" t="s">
        <v>1646</v>
      </c>
      <c r="B1275" s="1">
        <v>45614</v>
      </c>
      <c r="C1275">
        <v>47</v>
      </c>
      <c r="D1275">
        <v>11</v>
      </c>
      <c r="E1275" t="s">
        <v>1516</v>
      </c>
      <c r="F1275" t="s">
        <v>68</v>
      </c>
      <c r="G1275" t="s">
        <v>26</v>
      </c>
      <c r="H1275">
        <v>1</v>
      </c>
      <c r="I1275">
        <v>380</v>
      </c>
      <c r="J1275">
        <v>0</v>
      </c>
      <c r="K1275" t="s">
        <v>1937</v>
      </c>
      <c r="L1275">
        <v>150</v>
      </c>
      <c r="M1275">
        <v>380</v>
      </c>
      <c r="N1275">
        <v>150</v>
      </c>
      <c r="O1275">
        <v>230</v>
      </c>
      <c r="P1275">
        <v>0.60526315789473695</v>
      </c>
      <c r="Q1275">
        <v>0</v>
      </c>
      <c r="R1275">
        <v>0</v>
      </c>
      <c r="S1275">
        <v>1</v>
      </c>
      <c r="T1275">
        <v>380</v>
      </c>
    </row>
    <row r="1276" spans="1:20">
      <c r="A1276" t="s">
        <v>1647</v>
      </c>
      <c r="B1276" s="1">
        <v>45614</v>
      </c>
      <c r="C1276">
        <v>47</v>
      </c>
      <c r="D1276">
        <v>11</v>
      </c>
      <c r="E1276" t="s">
        <v>1516</v>
      </c>
      <c r="F1276" t="s">
        <v>13</v>
      </c>
      <c r="G1276" t="s">
        <v>14</v>
      </c>
      <c r="H1276">
        <v>4</v>
      </c>
      <c r="I1276">
        <v>480</v>
      </c>
      <c r="J1276">
        <v>0</v>
      </c>
      <c r="K1276" t="s">
        <v>1925</v>
      </c>
      <c r="L1276">
        <v>220</v>
      </c>
      <c r="M1276">
        <v>1920</v>
      </c>
      <c r="N1276">
        <v>880</v>
      </c>
      <c r="O1276">
        <v>1040</v>
      </c>
      <c r="P1276">
        <v>0.54166666666666696</v>
      </c>
      <c r="Q1276">
        <v>0</v>
      </c>
      <c r="R1276">
        <v>0</v>
      </c>
      <c r="S1276">
        <v>4</v>
      </c>
      <c r="T1276">
        <v>1920</v>
      </c>
    </row>
    <row r="1277" spans="1:20">
      <c r="A1277" t="s">
        <v>1648</v>
      </c>
      <c r="B1277" s="1">
        <v>45614</v>
      </c>
      <c r="C1277">
        <v>47</v>
      </c>
      <c r="D1277">
        <v>11</v>
      </c>
      <c r="E1277" t="s">
        <v>1516</v>
      </c>
      <c r="F1277" t="s">
        <v>39</v>
      </c>
      <c r="G1277" t="s">
        <v>14</v>
      </c>
      <c r="H1277">
        <v>5</v>
      </c>
      <c r="I1277">
        <v>792</v>
      </c>
      <c r="J1277">
        <v>10</v>
      </c>
      <c r="K1277" t="s">
        <v>1921</v>
      </c>
      <c r="L1277">
        <v>400</v>
      </c>
      <c r="M1277">
        <v>3960</v>
      </c>
      <c r="N1277">
        <v>2000</v>
      </c>
      <c r="O1277">
        <v>1960</v>
      </c>
      <c r="P1277">
        <v>0.49494949494949497</v>
      </c>
      <c r="Q1277">
        <v>0</v>
      </c>
      <c r="R1277">
        <v>0</v>
      </c>
      <c r="S1277">
        <v>5</v>
      </c>
      <c r="T1277">
        <v>3960</v>
      </c>
    </row>
    <row r="1278" spans="1:20">
      <c r="A1278" t="s">
        <v>1649</v>
      </c>
      <c r="B1278" s="1">
        <v>45614</v>
      </c>
      <c r="C1278">
        <v>47</v>
      </c>
      <c r="D1278">
        <v>11</v>
      </c>
      <c r="E1278" t="s">
        <v>1516</v>
      </c>
      <c r="F1278" t="s">
        <v>94</v>
      </c>
      <c r="G1278" t="s">
        <v>17</v>
      </c>
      <c r="H1278">
        <v>4</v>
      </c>
      <c r="I1278">
        <v>1428</v>
      </c>
      <c r="J1278">
        <v>15</v>
      </c>
      <c r="K1278" t="s">
        <v>1943</v>
      </c>
      <c r="L1278">
        <v>800</v>
      </c>
      <c r="M1278">
        <v>5712</v>
      </c>
      <c r="N1278">
        <v>3200</v>
      </c>
      <c r="O1278">
        <v>2512</v>
      </c>
      <c r="P1278">
        <v>0.43977591036414598</v>
      </c>
      <c r="Q1278">
        <v>0</v>
      </c>
      <c r="R1278">
        <v>0</v>
      </c>
      <c r="S1278">
        <v>4</v>
      </c>
      <c r="T1278">
        <v>5712</v>
      </c>
    </row>
    <row r="1279" spans="1:20">
      <c r="A1279" t="s">
        <v>1650</v>
      </c>
      <c r="B1279" s="1">
        <v>45615</v>
      </c>
      <c r="C1279">
        <v>47</v>
      </c>
      <c r="D1279">
        <v>11</v>
      </c>
      <c r="E1279" t="s">
        <v>1516</v>
      </c>
      <c r="F1279" t="s">
        <v>42</v>
      </c>
      <c r="G1279" t="s">
        <v>23</v>
      </c>
      <c r="H1279">
        <v>1</v>
      </c>
      <c r="I1279">
        <v>600</v>
      </c>
      <c r="J1279">
        <v>0</v>
      </c>
      <c r="K1279" t="s">
        <v>1928</v>
      </c>
      <c r="L1279">
        <v>300</v>
      </c>
      <c r="M1279">
        <v>600</v>
      </c>
      <c r="N1279">
        <v>300</v>
      </c>
      <c r="O1279">
        <v>300</v>
      </c>
      <c r="P1279">
        <v>0.5</v>
      </c>
      <c r="Q1279">
        <v>0</v>
      </c>
      <c r="R1279">
        <v>0</v>
      </c>
      <c r="S1279">
        <v>1</v>
      </c>
      <c r="T1279">
        <v>600</v>
      </c>
    </row>
    <row r="1280" spans="1:20">
      <c r="A1280" t="s">
        <v>1652</v>
      </c>
      <c r="B1280" s="1">
        <v>45616</v>
      </c>
      <c r="C1280">
        <v>47</v>
      </c>
      <c r="D1280">
        <v>11</v>
      </c>
      <c r="E1280" t="s">
        <v>1516</v>
      </c>
      <c r="F1280" t="s">
        <v>80</v>
      </c>
      <c r="G1280" t="s">
        <v>14</v>
      </c>
      <c r="H1280">
        <v>5</v>
      </c>
      <c r="I1280">
        <v>360</v>
      </c>
      <c r="J1280">
        <v>10</v>
      </c>
      <c r="K1280" t="s">
        <v>1922</v>
      </c>
      <c r="L1280">
        <v>180</v>
      </c>
      <c r="M1280">
        <v>1800</v>
      </c>
      <c r="N1280">
        <v>900</v>
      </c>
      <c r="O1280">
        <v>900</v>
      </c>
      <c r="P1280">
        <v>0.5</v>
      </c>
      <c r="Q1280">
        <v>0</v>
      </c>
      <c r="R1280">
        <v>0</v>
      </c>
      <c r="S1280">
        <v>5</v>
      </c>
      <c r="T1280">
        <v>1800</v>
      </c>
    </row>
    <row r="1281" spans="1:20">
      <c r="A1281" t="s">
        <v>1654</v>
      </c>
      <c r="B1281" s="1">
        <v>45616</v>
      </c>
      <c r="C1281">
        <v>47</v>
      </c>
      <c r="D1281">
        <v>11</v>
      </c>
      <c r="E1281" t="s">
        <v>1516</v>
      </c>
      <c r="F1281" t="s">
        <v>115</v>
      </c>
      <c r="G1281" t="s">
        <v>23</v>
      </c>
      <c r="H1281">
        <v>4</v>
      </c>
      <c r="I1281">
        <v>1140</v>
      </c>
      <c r="J1281">
        <v>5</v>
      </c>
      <c r="K1281" t="s">
        <v>1926</v>
      </c>
      <c r="L1281">
        <v>600</v>
      </c>
      <c r="M1281">
        <v>4560</v>
      </c>
      <c r="N1281">
        <v>2400</v>
      </c>
      <c r="O1281">
        <v>2160</v>
      </c>
      <c r="P1281">
        <v>0.47368421052631599</v>
      </c>
      <c r="Q1281">
        <v>0</v>
      </c>
      <c r="R1281">
        <v>0</v>
      </c>
      <c r="S1281">
        <v>4</v>
      </c>
      <c r="T1281">
        <v>4560</v>
      </c>
    </row>
    <row r="1282" spans="1:20">
      <c r="A1282" t="s">
        <v>1655</v>
      </c>
      <c r="B1282" s="1">
        <v>45616</v>
      </c>
      <c r="C1282">
        <v>47</v>
      </c>
      <c r="D1282">
        <v>11</v>
      </c>
      <c r="E1282" t="s">
        <v>1516</v>
      </c>
      <c r="F1282" t="s">
        <v>119</v>
      </c>
      <c r="G1282" t="s">
        <v>14</v>
      </c>
      <c r="H1282">
        <v>4</v>
      </c>
      <c r="I1282">
        <v>654.5</v>
      </c>
      <c r="J1282">
        <v>15</v>
      </c>
      <c r="K1282" t="s">
        <v>1920</v>
      </c>
      <c r="L1282">
        <v>350</v>
      </c>
      <c r="M1282">
        <v>2618</v>
      </c>
      <c r="N1282">
        <v>1400</v>
      </c>
      <c r="O1282">
        <v>1218</v>
      </c>
      <c r="P1282">
        <v>0.46524064171122997</v>
      </c>
      <c r="Q1282">
        <v>0</v>
      </c>
      <c r="R1282">
        <v>0</v>
      </c>
      <c r="S1282">
        <v>4</v>
      </c>
      <c r="T1282">
        <v>2618</v>
      </c>
    </row>
    <row r="1283" spans="1:20">
      <c r="A1283" t="s">
        <v>1656</v>
      </c>
      <c r="B1283" s="1">
        <v>45616</v>
      </c>
      <c r="C1283">
        <v>47</v>
      </c>
      <c r="D1283">
        <v>11</v>
      </c>
      <c r="E1283" t="s">
        <v>1516</v>
      </c>
      <c r="F1283" t="s">
        <v>58</v>
      </c>
      <c r="G1283" t="s">
        <v>23</v>
      </c>
      <c r="H1283">
        <v>1</v>
      </c>
      <c r="I1283">
        <v>1000</v>
      </c>
      <c r="J1283">
        <v>0</v>
      </c>
      <c r="K1283" t="s">
        <v>1927</v>
      </c>
      <c r="L1283">
        <v>500</v>
      </c>
      <c r="M1283">
        <v>1000</v>
      </c>
      <c r="N1283">
        <v>500</v>
      </c>
      <c r="O1283">
        <v>500</v>
      </c>
      <c r="P1283">
        <v>0.5</v>
      </c>
      <c r="Q1283">
        <v>1</v>
      </c>
      <c r="R1283">
        <v>1</v>
      </c>
      <c r="S1283">
        <v>0</v>
      </c>
      <c r="T1283">
        <v>0</v>
      </c>
    </row>
    <row r="1284" spans="1:20">
      <c r="A1284" t="s">
        <v>1657</v>
      </c>
      <c r="B1284" s="1">
        <v>45616</v>
      </c>
      <c r="C1284">
        <v>47</v>
      </c>
      <c r="D1284">
        <v>11</v>
      </c>
      <c r="E1284" t="s">
        <v>1516</v>
      </c>
      <c r="F1284" t="s">
        <v>39</v>
      </c>
      <c r="G1284" t="s">
        <v>14</v>
      </c>
      <c r="H1284">
        <v>4</v>
      </c>
      <c r="I1284">
        <v>880</v>
      </c>
      <c r="J1284">
        <v>0</v>
      </c>
      <c r="K1284" t="s">
        <v>1921</v>
      </c>
      <c r="L1284">
        <v>400</v>
      </c>
      <c r="M1284">
        <v>3520</v>
      </c>
      <c r="N1284">
        <v>1600</v>
      </c>
      <c r="O1284">
        <v>1920</v>
      </c>
      <c r="P1284">
        <v>0.54545454545454497</v>
      </c>
      <c r="Q1284">
        <v>0</v>
      </c>
      <c r="R1284">
        <v>0</v>
      </c>
      <c r="S1284">
        <v>4</v>
      </c>
      <c r="T1284">
        <v>3520</v>
      </c>
    </row>
    <row r="1285" spans="1:20">
      <c r="A1285" t="s">
        <v>1658</v>
      </c>
      <c r="B1285" s="1">
        <v>45616</v>
      </c>
      <c r="C1285">
        <v>47</v>
      </c>
      <c r="D1285">
        <v>11</v>
      </c>
      <c r="E1285" t="s">
        <v>1516</v>
      </c>
      <c r="F1285" t="s">
        <v>82</v>
      </c>
      <c r="G1285" t="s">
        <v>20</v>
      </c>
      <c r="H1285">
        <v>5</v>
      </c>
      <c r="I1285">
        <v>900</v>
      </c>
      <c r="J1285">
        <v>0</v>
      </c>
      <c r="K1285" t="s">
        <v>1933</v>
      </c>
      <c r="L1285">
        <v>500</v>
      </c>
      <c r="M1285">
        <v>4500</v>
      </c>
      <c r="N1285">
        <v>2500</v>
      </c>
      <c r="O1285">
        <v>2000</v>
      </c>
      <c r="P1285">
        <v>0.44444444444444398</v>
      </c>
      <c r="Q1285">
        <v>0</v>
      </c>
      <c r="R1285">
        <v>0</v>
      </c>
      <c r="S1285">
        <v>5</v>
      </c>
      <c r="T1285">
        <v>4500</v>
      </c>
    </row>
    <row r="1286" spans="1:20">
      <c r="A1286" t="s">
        <v>1659</v>
      </c>
      <c r="B1286" s="1">
        <v>45616</v>
      </c>
      <c r="C1286">
        <v>47</v>
      </c>
      <c r="D1286">
        <v>11</v>
      </c>
      <c r="E1286" t="s">
        <v>1516</v>
      </c>
      <c r="F1286" t="s">
        <v>66</v>
      </c>
      <c r="G1286" t="s">
        <v>17</v>
      </c>
      <c r="H1286">
        <v>1</v>
      </c>
      <c r="I1286">
        <v>1323</v>
      </c>
      <c r="J1286">
        <v>10</v>
      </c>
      <c r="K1286" t="s">
        <v>1941</v>
      </c>
      <c r="L1286">
        <v>700</v>
      </c>
      <c r="M1286">
        <v>1323</v>
      </c>
      <c r="N1286">
        <v>700</v>
      </c>
      <c r="O1286">
        <v>623</v>
      </c>
      <c r="P1286">
        <v>0.47089947089947098</v>
      </c>
      <c r="Q1286">
        <v>1</v>
      </c>
      <c r="R1286">
        <v>1</v>
      </c>
      <c r="S1286">
        <v>0</v>
      </c>
      <c r="T1286">
        <v>0</v>
      </c>
    </row>
    <row r="1287" spans="1:20">
      <c r="A1287" t="s">
        <v>1660</v>
      </c>
      <c r="B1287" s="1">
        <v>45617</v>
      </c>
      <c r="C1287">
        <v>47</v>
      </c>
      <c r="D1287">
        <v>11</v>
      </c>
      <c r="E1287" t="s">
        <v>1516</v>
      </c>
      <c r="F1287" t="s">
        <v>146</v>
      </c>
      <c r="G1287" t="s">
        <v>20</v>
      </c>
      <c r="H1287">
        <v>1</v>
      </c>
      <c r="I1287">
        <v>598.5</v>
      </c>
      <c r="J1287">
        <v>5</v>
      </c>
      <c r="K1287" t="s">
        <v>1934</v>
      </c>
      <c r="L1287">
        <v>350</v>
      </c>
      <c r="M1287">
        <v>598.5</v>
      </c>
      <c r="N1287">
        <v>350</v>
      </c>
      <c r="O1287">
        <v>248.5</v>
      </c>
      <c r="P1287">
        <v>0.41520467836257302</v>
      </c>
      <c r="Q1287">
        <v>0</v>
      </c>
      <c r="R1287">
        <v>0</v>
      </c>
      <c r="S1287">
        <v>1</v>
      </c>
      <c r="T1287">
        <v>598.5</v>
      </c>
    </row>
    <row r="1288" spans="1:20">
      <c r="A1288" t="s">
        <v>1662</v>
      </c>
      <c r="B1288" s="1">
        <v>45617</v>
      </c>
      <c r="C1288">
        <v>47</v>
      </c>
      <c r="D1288">
        <v>11</v>
      </c>
      <c r="E1288" t="s">
        <v>1516</v>
      </c>
      <c r="F1288" t="s">
        <v>28</v>
      </c>
      <c r="G1288" t="s">
        <v>26</v>
      </c>
      <c r="H1288">
        <v>3</v>
      </c>
      <c r="I1288">
        <v>1350</v>
      </c>
      <c r="J1288">
        <v>10</v>
      </c>
      <c r="K1288" t="s">
        <v>1939</v>
      </c>
      <c r="L1288">
        <v>600</v>
      </c>
      <c r="M1288">
        <v>4050</v>
      </c>
      <c r="N1288">
        <v>1800</v>
      </c>
      <c r="O1288">
        <v>2250</v>
      </c>
      <c r="P1288">
        <v>0.55555555555555602</v>
      </c>
      <c r="Q1288">
        <v>0</v>
      </c>
      <c r="R1288">
        <v>0</v>
      </c>
      <c r="S1288">
        <v>3</v>
      </c>
      <c r="T1288">
        <v>4050</v>
      </c>
    </row>
    <row r="1289" spans="1:20">
      <c r="A1289" t="s">
        <v>1663</v>
      </c>
      <c r="B1289" s="1">
        <v>45617</v>
      </c>
      <c r="C1289">
        <v>47</v>
      </c>
      <c r="D1289">
        <v>11</v>
      </c>
      <c r="E1289" t="s">
        <v>1516</v>
      </c>
      <c r="F1289" t="s">
        <v>39</v>
      </c>
      <c r="G1289" t="s">
        <v>14</v>
      </c>
      <c r="H1289">
        <v>2</v>
      </c>
      <c r="I1289">
        <v>880</v>
      </c>
      <c r="J1289">
        <v>0</v>
      </c>
      <c r="K1289" t="s">
        <v>1921</v>
      </c>
      <c r="L1289">
        <v>400</v>
      </c>
      <c r="M1289">
        <v>1760</v>
      </c>
      <c r="N1289">
        <v>800</v>
      </c>
      <c r="O1289">
        <v>960</v>
      </c>
      <c r="P1289">
        <v>0.54545454545454497</v>
      </c>
      <c r="Q1289">
        <v>0</v>
      </c>
      <c r="R1289">
        <v>0</v>
      </c>
      <c r="S1289">
        <v>2</v>
      </c>
      <c r="T1289">
        <v>1760</v>
      </c>
    </row>
    <row r="1290" spans="1:20">
      <c r="A1290" t="s">
        <v>1664</v>
      </c>
      <c r="B1290" s="1">
        <v>45617</v>
      </c>
      <c r="C1290">
        <v>47</v>
      </c>
      <c r="D1290">
        <v>11</v>
      </c>
      <c r="E1290" t="s">
        <v>1516</v>
      </c>
      <c r="F1290" t="s">
        <v>119</v>
      </c>
      <c r="G1290" t="s">
        <v>14</v>
      </c>
      <c r="H1290">
        <v>3</v>
      </c>
      <c r="I1290">
        <v>770</v>
      </c>
      <c r="J1290">
        <v>0</v>
      </c>
      <c r="K1290" t="s">
        <v>1920</v>
      </c>
      <c r="L1290">
        <v>350</v>
      </c>
      <c r="M1290">
        <v>2310</v>
      </c>
      <c r="N1290">
        <v>1050</v>
      </c>
      <c r="O1290">
        <v>1260</v>
      </c>
      <c r="P1290">
        <v>0.54545454545454497</v>
      </c>
      <c r="Q1290">
        <v>0</v>
      </c>
      <c r="R1290">
        <v>0</v>
      </c>
      <c r="S1290">
        <v>3</v>
      </c>
      <c r="T1290">
        <v>2310</v>
      </c>
    </row>
    <row r="1291" spans="1:20">
      <c r="A1291" t="s">
        <v>1665</v>
      </c>
      <c r="B1291" s="1">
        <v>45617</v>
      </c>
      <c r="C1291">
        <v>47</v>
      </c>
      <c r="D1291">
        <v>11</v>
      </c>
      <c r="E1291" t="s">
        <v>1516</v>
      </c>
      <c r="F1291" t="s">
        <v>28</v>
      </c>
      <c r="G1291" t="s">
        <v>26</v>
      </c>
      <c r="H1291">
        <v>1</v>
      </c>
      <c r="I1291">
        <v>1500</v>
      </c>
      <c r="J1291">
        <v>0</v>
      </c>
      <c r="K1291" t="s">
        <v>1939</v>
      </c>
      <c r="L1291">
        <v>600</v>
      </c>
      <c r="M1291">
        <v>1500</v>
      </c>
      <c r="N1291">
        <v>600</v>
      </c>
      <c r="O1291">
        <v>900</v>
      </c>
      <c r="P1291">
        <v>0.6</v>
      </c>
      <c r="Q1291">
        <v>0</v>
      </c>
      <c r="R1291">
        <v>0</v>
      </c>
      <c r="S1291">
        <v>1</v>
      </c>
      <c r="T1291">
        <v>1500</v>
      </c>
    </row>
    <row r="1292" spans="1:20">
      <c r="A1292" t="s">
        <v>1666</v>
      </c>
      <c r="B1292" s="1">
        <v>45617</v>
      </c>
      <c r="C1292">
        <v>47</v>
      </c>
      <c r="D1292">
        <v>11</v>
      </c>
      <c r="E1292" t="s">
        <v>1516</v>
      </c>
      <c r="F1292" t="s">
        <v>31</v>
      </c>
      <c r="G1292" t="s">
        <v>23</v>
      </c>
      <c r="H1292">
        <v>3</v>
      </c>
      <c r="I1292">
        <v>1260</v>
      </c>
      <c r="J1292">
        <v>10</v>
      </c>
      <c r="K1292" t="s">
        <v>1930</v>
      </c>
      <c r="L1292">
        <v>700</v>
      </c>
      <c r="M1292">
        <v>3780</v>
      </c>
      <c r="N1292">
        <v>2100</v>
      </c>
      <c r="O1292">
        <v>1680</v>
      </c>
      <c r="P1292">
        <v>0.44444444444444398</v>
      </c>
      <c r="Q1292">
        <v>0</v>
      </c>
      <c r="R1292">
        <v>0</v>
      </c>
      <c r="S1292">
        <v>3</v>
      </c>
      <c r="T1292">
        <v>3780</v>
      </c>
    </row>
    <row r="1293" spans="1:20">
      <c r="A1293" t="s">
        <v>1667</v>
      </c>
      <c r="B1293" s="1">
        <v>45617</v>
      </c>
      <c r="C1293">
        <v>47</v>
      </c>
      <c r="D1293">
        <v>11</v>
      </c>
      <c r="E1293" t="s">
        <v>1516</v>
      </c>
      <c r="F1293" t="s">
        <v>35</v>
      </c>
      <c r="G1293" t="s">
        <v>17</v>
      </c>
      <c r="H1293">
        <v>4</v>
      </c>
      <c r="I1293">
        <v>3150</v>
      </c>
      <c r="J1293">
        <v>0</v>
      </c>
      <c r="K1293" t="s">
        <v>1942</v>
      </c>
      <c r="L1293">
        <v>1500</v>
      </c>
      <c r="M1293">
        <v>12600</v>
      </c>
      <c r="N1293">
        <v>6000</v>
      </c>
      <c r="O1293">
        <v>6600</v>
      </c>
      <c r="P1293">
        <v>0.52380952380952395</v>
      </c>
      <c r="Q1293">
        <v>0</v>
      </c>
      <c r="R1293">
        <v>0</v>
      </c>
      <c r="S1293">
        <v>4</v>
      </c>
      <c r="T1293">
        <v>12600</v>
      </c>
    </row>
    <row r="1294" spans="1:20">
      <c r="A1294" t="s">
        <v>1668</v>
      </c>
      <c r="B1294" s="1">
        <v>45618</v>
      </c>
      <c r="C1294">
        <v>47</v>
      </c>
      <c r="D1294">
        <v>11</v>
      </c>
      <c r="E1294" t="s">
        <v>1516</v>
      </c>
      <c r="F1294" t="s">
        <v>28</v>
      </c>
      <c r="G1294" t="s">
        <v>26</v>
      </c>
      <c r="H1294">
        <v>2</v>
      </c>
      <c r="I1294">
        <v>1500</v>
      </c>
      <c r="J1294">
        <v>0</v>
      </c>
      <c r="K1294" t="s">
        <v>1939</v>
      </c>
      <c r="L1294">
        <v>600</v>
      </c>
      <c r="M1294">
        <v>3000</v>
      </c>
      <c r="N1294">
        <v>1200</v>
      </c>
      <c r="O1294">
        <v>1800</v>
      </c>
      <c r="P1294">
        <v>0.6</v>
      </c>
      <c r="Q1294">
        <v>0</v>
      </c>
      <c r="R1294">
        <v>0</v>
      </c>
      <c r="S1294">
        <v>2</v>
      </c>
      <c r="T1294">
        <v>3000</v>
      </c>
    </row>
    <row r="1295" spans="1:20">
      <c r="A1295" t="s">
        <v>1670</v>
      </c>
      <c r="B1295" s="1">
        <v>45618</v>
      </c>
      <c r="C1295">
        <v>47</v>
      </c>
      <c r="D1295">
        <v>11</v>
      </c>
      <c r="E1295" t="s">
        <v>1516</v>
      </c>
      <c r="F1295" t="s">
        <v>115</v>
      </c>
      <c r="G1295" t="s">
        <v>23</v>
      </c>
      <c r="H1295">
        <v>4</v>
      </c>
      <c r="I1295">
        <v>1020</v>
      </c>
      <c r="J1295">
        <v>15</v>
      </c>
      <c r="K1295" t="s">
        <v>1926</v>
      </c>
      <c r="L1295">
        <v>600</v>
      </c>
      <c r="M1295">
        <v>4080</v>
      </c>
      <c r="N1295">
        <v>2400</v>
      </c>
      <c r="O1295">
        <v>1680</v>
      </c>
      <c r="P1295">
        <v>0.41176470588235298</v>
      </c>
      <c r="Q1295">
        <v>0</v>
      </c>
      <c r="R1295">
        <v>0</v>
      </c>
      <c r="S1295">
        <v>4</v>
      </c>
      <c r="T1295">
        <v>4080</v>
      </c>
    </row>
    <row r="1296" spans="1:20">
      <c r="A1296" t="s">
        <v>1671</v>
      </c>
      <c r="B1296" s="1">
        <v>45618</v>
      </c>
      <c r="C1296">
        <v>47</v>
      </c>
      <c r="D1296">
        <v>11</v>
      </c>
      <c r="E1296" t="s">
        <v>1516</v>
      </c>
      <c r="F1296" t="s">
        <v>82</v>
      </c>
      <c r="G1296" t="s">
        <v>20</v>
      </c>
      <c r="H1296">
        <v>5</v>
      </c>
      <c r="I1296">
        <v>855</v>
      </c>
      <c r="J1296">
        <v>5</v>
      </c>
      <c r="K1296" t="s">
        <v>1933</v>
      </c>
      <c r="L1296">
        <v>500</v>
      </c>
      <c r="M1296">
        <v>4275</v>
      </c>
      <c r="N1296">
        <v>2500</v>
      </c>
      <c r="O1296">
        <v>1775</v>
      </c>
      <c r="P1296">
        <v>0.41520467836257302</v>
      </c>
      <c r="Q1296">
        <v>0</v>
      </c>
      <c r="R1296">
        <v>0</v>
      </c>
      <c r="S1296">
        <v>5</v>
      </c>
      <c r="T1296">
        <v>4275</v>
      </c>
    </row>
    <row r="1297" spans="1:20">
      <c r="A1297" t="s">
        <v>1672</v>
      </c>
      <c r="B1297" s="1">
        <v>45618</v>
      </c>
      <c r="C1297">
        <v>47</v>
      </c>
      <c r="D1297">
        <v>11</v>
      </c>
      <c r="E1297" t="s">
        <v>1516</v>
      </c>
      <c r="F1297" t="s">
        <v>146</v>
      </c>
      <c r="G1297" t="s">
        <v>20</v>
      </c>
      <c r="H1297">
        <v>2</v>
      </c>
      <c r="I1297">
        <v>630</v>
      </c>
      <c r="J1297">
        <v>0</v>
      </c>
      <c r="K1297" t="s">
        <v>1934</v>
      </c>
      <c r="L1297">
        <v>350</v>
      </c>
      <c r="M1297">
        <v>1260</v>
      </c>
      <c r="N1297">
        <v>700</v>
      </c>
      <c r="O1297">
        <v>560</v>
      </c>
      <c r="P1297">
        <v>0.44444444444444398</v>
      </c>
      <c r="Q1297">
        <v>0</v>
      </c>
      <c r="R1297">
        <v>0</v>
      </c>
      <c r="S1297">
        <v>2</v>
      </c>
      <c r="T1297">
        <v>1260</v>
      </c>
    </row>
    <row r="1298" spans="1:20">
      <c r="A1298" t="s">
        <v>1673</v>
      </c>
      <c r="B1298" s="1">
        <v>45618</v>
      </c>
      <c r="C1298">
        <v>47</v>
      </c>
      <c r="D1298">
        <v>11</v>
      </c>
      <c r="E1298" t="s">
        <v>1516</v>
      </c>
      <c r="F1298" t="s">
        <v>28</v>
      </c>
      <c r="G1298" t="s">
        <v>26</v>
      </c>
      <c r="H1298">
        <v>1</v>
      </c>
      <c r="I1298">
        <v>1500</v>
      </c>
      <c r="J1298">
        <v>0</v>
      </c>
      <c r="K1298" t="s">
        <v>1939</v>
      </c>
      <c r="L1298">
        <v>600</v>
      </c>
      <c r="M1298">
        <v>1500</v>
      </c>
      <c r="N1298">
        <v>600</v>
      </c>
      <c r="O1298">
        <v>900</v>
      </c>
      <c r="P1298">
        <v>0.6</v>
      </c>
      <c r="Q1298">
        <v>1</v>
      </c>
      <c r="R1298">
        <v>1</v>
      </c>
      <c r="S1298">
        <v>0</v>
      </c>
      <c r="T1298">
        <v>0</v>
      </c>
    </row>
    <row r="1299" spans="1:20">
      <c r="A1299" t="s">
        <v>1674</v>
      </c>
      <c r="B1299" s="1">
        <v>45619</v>
      </c>
      <c r="C1299">
        <v>47</v>
      </c>
      <c r="D1299">
        <v>11</v>
      </c>
      <c r="E1299" t="s">
        <v>1516</v>
      </c>
      <c r="F1299" t="s">
        <v>35</v>
      </c>
      <c r="G1299" t="s">
        <v>17</v>
      </c>
      <c r="H1299">
        <v>1</v>
      </c>
      <c r="I1299">
        <v>2992.5</v>
      </c>
      <c r="J1299">
        <v>5</v>
      </c>
      <c r="K1299" t="s">
        <v>1942</v>
      </c>
      <c r="L1299">
        <v>1500</v>
      </c>
      <c r="M1299">
        <v>2992.5</v>
      </c>
      <c r="N1299">
        <v>1500</v>
      </c>
      <c r="O1299">
        <v>1492.5</v>
      </c>
      <c r="P1299">
        <v>0.49874686716791999</v>
      </c>
      <c r="Q1299">
        <v>0</v>
      </c>
      <c r="R1299">
        <v>0</v>
      </c>
      <c r="S1299">
        <v>1</v>
      </c>
      <c r="T1299">
        <v>2992.5</v>
      </c>
    </row>
    <row r="1300" spans="1:20">
      <c r="A1300" t="s">
        <v>1676</v>
      </c>
      <c r="B1300" s="1">
        <v>45619</v>
      </c>
      <c r="C1300">
        <v>47</v>
      </c>
      <c r="D1300">
        <v>11</v>
      </c>
      <c r="E1300" t="s">
        <v>1516</v>
      </c>
      <c r="F1300" t="s">
        <v>51</v>
      </c>
      <c r="G1300" t="s">
        <v>26</v>
      </c>
      <c r="H1300">
        <v>2</v>
      </c>
      <c r="I1300">
        <v>500</v>
      </c>
      <c r="J1300">
        <v>0</v>
      </c>
      <c r="K1300" t="s">
        <v>1936</v>
      </c>
      <c r="L1300">
        <v>200</v>
      </c>
      <c r="M1300">
        <v>1000</v>
      </c>
      <c r="N1300">
        <v>400</v>
      </c>
      <c r="O1300">
        <v>600</v>
      </c>
      <c r="P1300">
        <v>0.6</v>
      </c>
      <c r="Q1300">
        <v>0</v>
      </c>
      <c r="R1300">
        <v>0</v>
      </c>
      <c r="S1300">
        <v>2</v>
      </c>
      <c r="T1300">
        <v>1000</v>
      </c>
    </row>
    <row r="1301" spans="1:20">
      <c r="A1301" t="s">
        <v>1677</v>
      </c>
      <c r="B1301" s="1">
        <v>45619</v>
      </c>
      <c r="C1301">
        <v>47</v>
      </c>
      <c r="D1301">
        <v>11</v>
      </c>
      <c r="E1301" t="s">
        <v>1516</v>
      </c>
      <c r="F1301" t="s">
        <v>94</v>
      </c>
      <c r="G1301" t="s">
        <v>17</v>
      </c>
      <c r="H1301">
        <v>5</v>
      </c>
      <c r="I1301">
        <v>1680</v>
      </c>
      <c r="J1301">
        <v>0</v>
      </c>
      <c r="K1301" t="s">
        <v>1943</v>
      </c>
      <c r="L1301">
        <v>800</v>
      </c>
      <c r="M1301">
        <v>8400</v>
      </c>
      <c r="N1301">
        <v>4000</v>
      </c>
      <c r="O1301">
        <v>4400</v>
      </c>
      <c r="P1301">
        <v>0.52380952380952395</v>
      </c>
      <c r="Q1301">
        <v>0</v>
      </c>
      <c r="R1301">
        <v>0</v>
      </c>
      <c r="S1301">
        <v>5</v>
      </c>
      <c r="T1301">
        <v>8400</v>
      </c>
    </row>
    <row r="1302" spans="1:20">
      <c r="A1302" t="s">
        <v>1678</v>
      </c>
      <c r="B1302" s="1">
        <v>45619</v>
      </c>
      <c r="C1302">
        <v>47</v>
      </c>
      <c r="D1302">
        <v>11</v>
      </c>
      <c r="E1302" t="s">
        <v>1516</v>
      </c>
      <c r="F1302" t="s">
        <v>187</v>
      </c>
      <c r="G1302" t="s">
        <v>14</v>
      </c>
      <c r="H1302">
        <v>3</v>
      </c>
      <c r="I1302">
        <v>3740</v>
      </c>
      <c r="J1302">
        <v>15</v>
      </c>
      <c r="K1302" t="s">
        <v>1924</v>
      </c>
      <c r="L1302">
        <v>2000</v>
      </c>
      <c r="M1302">
        <v>11220</v>
      </c>
      <c r="N1302">
        <v>6000</v>
      </c>
      <c r="O1302">
        <v>5220</v>
      </c>
      <c r="P1302">
        <v>0.46524064171122997</v>
      </c>
      <c r="Q1302">
        <v>0</v>
      </c>
      <c r="R1302">
        <v>0</v>
      </c>
      <c r="S1302">
        <v>3</v>
      </c>
      <c r="T1302">
        <v>11220</v>
      </c>
    </row>
    <row r="1303" spans="1:20">
      <c r="A1303" t="s">
        <v>1679</v>
      </c>
      <c r="B1303" s="1">
        <v>45619</v>
      </c>
      <c r="C1303">
        <v>47</v>
      </c>
      <c r="D1303">
        <v>11</v>
      </c>
      <c r="E1303" t="s">
        <v>1516</v>
      </c>
      <c r="F1303" t="s">
        <v>31</v>
      </c>
      <c r="G1303" t="s">
        <v>23</v>
      </c>
      <c r="H1303">
        <v>4</v>
      </c>
      <c r="I1303">
        <v>1330</v>
      </c>
      <c r="J1303">
        <v>5</v>
      </c>
      <c r="K1303" t="s">
        <v>1930</v>
      </c>
      <c r="L1303">
        <v>700</v>
      </c>
      <c r="M1303">
        <v>5320</v>
      </c>
      <c r="N1303">
        <v>2800</v>
      </c>
      <c r="O1303">
        <v>2520</v>
      </c>
      <c r="P1303">
        <v>0.47368421052631599</v>
      </c>
      <c r="Q1303">
        <v>0</v>
      </c>
      <c r="R1303">
        <v>0</v>
      </c>
      <c r="S1303">
        <v>4</v>
      </c>
      <c r="T1303">
        <v>5320</v>
      </c>
    </row>
    <row r="1304" spans="1:20">
      <c r="A1304" t="s">
        <v>1680</v>
      </c>
      <c r="B1304" s="1">
        <v>45620</v>
      </c>
      <c r="C1304">
        <v>47</v>
      </c>
      <c r="D1304">
        <v>11</v>
      </c>
      <c r="E1304" t="s">
        <v>1516</v>
      </c>
      <c r="F1304" t="s">
        <v>86</v>
      </c>
      <c r="G1304" t="s">
        <v>17</v>
      </c>
      <c r="H1304">
        <v>3</v>
      </c>
      <c r="I1304">
        <v>893</v>
      </c>
      <c r="J1304">
        <v>5</v>
      </c>
      <c r="K1304" t="s">
        <v>1944</v>
      </c>
      <c r="L1304">
        <v>450</v>
      </c>
      <c r="M1304">
        <v>2679</v>
      </c>
      <c r="N1304">
        <v>1350</v>
      </c>
      <c r="O1304">
        <v>1329</v>
      </c>
      <c r="P1304">
        <v>0.496080627099664</v>
      </c>
      <c r="Q1304">
        <v>0</v>
      </c>
      <c r="R1304">
        <v>0</v>
      </c>
      <c r="S1304">
        <v>3</v>
      </c>
      <c r="T1304">
        <v>2679</v>
      </c>
    </row>
    <row r="1305" spans="1:20">
      <c r="A1305" t="s">
        <v>1682</v>
      </c>
      <c r="B1305" s="1">
        <v>45620</v>
      </c>
      <c r="C1305">
        <v>47</v>
      </c>
      <c r="D1305">
        <v>11</v>
      </c>
      <c r="E1305" t="s">
        <v>1516</v>
      </c>
      <c r="F1305" t="s">
        <v>119</v>
      </c>
      <c r="G1305" t="s">
        <v>14</v>
      </c>
      <c r="H1305">
        <v>5</v>
      </c>
      <c r="I1305">
        <v>770</v>
      </c>
      <c r="J1305">
        <v>0</v>
      </c>
      <c r="K1305" t="s">
        <v>1920</v>
      </c>
      <c r="L1305">
        <v>350</v>
      </c>
      <c r="M1305">
        <v>3850</v>
      </c>
      <c r="N1305">
        <v>1750</v>
      </c>
      <c r="O1305">
        <v>2100</v>
      </c>
      <c r="P1305">
        <v>0.54545454545454497</v>
      </c>
      <c r="Q1305">
        <v>0</v>
      </c>
      <c r="R1305">
        <v>0</v>
      </c>
      <c r="S1305">
        <v>5</v>
      </c>
      <c r="T1305">
        <v>3850</v>
      </c>
    </row>
    <row r="1306" spans="1:20">
      <c r="A1306" t="s">
        <v>1683</v>
      </c>
      <c r="B1306" s="1">
        <v>45620</v>
      </c>
      <c r="C1306">
        <v>47</v>
      </c>
      <c r="D1306">
        <v>11</v>
      </c>
      <c r="E1306" t="s">
        <v>1516</v>
      </c>
      <c r="F1306" t="s">
        <v>42</v>
      </c>
      <c r="G1306" t="s">
        <v>23</v>
      </c>
      <c r="H1306">
        <v>3</v>
      </c>
      <c r="I1306">
        <v>570</v>
      </c>
      <c r="J1306">
        <v>5</v>
      </c>
      <c r="K1306" t="s">
        <v>1928</v>
      </c>
      <c r="L1306">
        <v>300</v>
      </c>
      <c r="M1306">
        <v>1710</v>
      </c>
      <c r="N1306">
        <v>900</v>
      </c>
      <c r="O1306">
        <v>810</v>
      </c>
      <c r="P1306">
        <v>0.47368421052631599</v>
      </c>
      <c r="Q1306">
        <v>0</v>
      </c>
      <c r="R1306">
        <v>0</v>
      </c>
      <c r="S1306">
        <v>3</v>
      </c>
      <c r="T1306">
        <v>1710</v>
      </c>
    </row>
    <row r="1307" spans="1:20">
      <c r="A1307" t="s">
        <v>1684</v>
      </c>
      <c r="B1307" s="1">
        <v>45620</v>
      </c>
      <c r="C1307">
        <v>47</v>
      </c>
      <c r="D1307">
        <v>11</v>
      </c>
      <c r="E1307" t="s">
        <v>1516</v>
      </c>
      <c r="F1307" t="s">
        <v>35</v>
      </c>
      <c r="G1307" t="s">
        <v>17</v>
      </c>
      <c r="H1307">
        <v>3</v>
      </c>
      <c r="I1307">
        <v>2677.5</v>
      </c>
      <c r="J1307">
        <v>15</v>
      </c>
      <c r="K1307" t="s">
        <v>1942</v>
      </c>
      <c r="L1307">
        <v>1500</v>
      </c>
      <c r="M1307">
        <v>8032.5</v>
      </c>
      <c r="N1307">
        <v>4500</v>
      </c>
      <c r="O1307">
        <v>3532.5</v>
      </c>
      <c r="P1307">
        <v>0.43977591036414598</v>
      </c>
      <c r="Q1307">
        <v>0</v>
      </c>
      <c r="R1307">
        <v>0</v>
      </c>
      <c r="S1307">
        <v>3</v>
      </c>
      <c r="T1307">
        <v>8032.5</v>
      </c>
    </row>
    <row r="1308" spans="1:20">
      <c r="A1308" t="s">
        <v>1685</v>
      </c>
      <c r="B1308" s="1">
        <v>45620</v>
      </c>
      <c r="C1308">
        <v>47</v>
      </c>
      <c r="D1308">
        <v>11</v>
      </c>
      <c r="E1308" t="s">
        <v>1516</v>
      </c>
      <c r="F1308" t="s">
        <v>68</v>
      </c>
      <c r="G1308" t="s">
        <v>26</v>
      </c>
      <c r="H1308">
        <v>2</v>
      </c>
      <c r="I1308">
        <v>361</v>
      </c>
      <c r="J1308">
        <v>5</v>
      </c>
      <c r="K1308" t="s">
        <v>1937</v>
      </c>
      <c r="L1308">
        <v>150</v>
      </c>
      <c r="M1308">
        <v>722</v>
      </c>
      <c r="N1308">
        <v>300</v>
      </c>
      <c r="O1308">
        <v>422</v>
      </c>
      <c r="P1308">
        <v>0.58448753462603897</v>
      </c>
      <c r="Q1308">
        <v>0</v>
      </c>
      <c r="R1308">
        <v>0</v>
      </c>
      <c r="S1308">
        <v>2</v>
      </c>
      <c r="T1308">
        <v>722</v>
      </c>
    </row>
    <row r="1309" spans="1:20">
      <c r="A1309" t="s">
        <v>1686</v>
      </c>
      <c r="B1309" s="1">
        <v>45621</v>
      </c>
      <c r="C1309">
        <v>48</v>
      </c>
      <c r="D1309">
        <v>11</v>
      </c>
      <c r="E1309" t="s">
        <v>1516</v>
      </c>
      <c r="F1309" t="s">
        <v>19</v>
      </c>
      <c r="G1309" t="s">
        <v>20</v>
      </c>
      <c r="H1309">
        <v>4</v>
      </c>
      <c r="I1309">
        <v>1539</v>
      </c>
      <c r="J1309">
        <v>5</v>
      </c>
      <c r="K1309" t="s">
        <v>1931</v>
      </c>
      <c r="L1309">
        <v>900</v>
      </c>
      <c r="M1309">
        <v>6156</v>
      </c>
      <c r="N1309">
        <v>3600</v>
      </c>
      <c r="O1309">
        <v>2556</v>
      </c>
      <c r="P1309">
        <v>0.41520467836257302</v>
      </c>
      <c r="Q1309">
        <v>0</v>
      </c>
      <c r="R1309">
        <v>0</v>
      </c>
      <c r="S1309">
        <v>4</v>
      </c>
      <c r="T1309">
        <v>6156</v>
      </c>
    </row>
    <row r="1310" spans="1:20">
      <c r="A1310" t="s">
        <v>1688</v>
      </c>
      <c r="B1310" s="1">
        <v>45621</v>
      </c>
      <c r="C1310">
        <v>48</v>
      </c>
      <c r="D1310">
        <v>11</v>
      </c>
      <c r="E1310" t="s">
        <v>1516</v>
      </c>
      <c r="F1310" t="s">
        <v>13</v>
      </c>
      <c r="G1310" t="s">
        <v>14</v>
      </c>
      <c r="H1310">
        <v>5</v>
      </c>
      <c r="I1310">
        <v>432</v>
      </c>
      <c r="J1310">
        <v>10</v>
      </c>
      <c r="K1310" t="s">
        <v>1925</v>
      </c>
      <c r="L1310">
        <v>220</v>
      </c>
      <c r="M1310">
        <v>2160</v>
      </c>
      <c r="N1310">
        <v>1100</v>
      </c>
      <c r="O1310">
        <v>1060</v>
      </c>
      <c r="P1310">
        <v>0.49074074074074098</v>
      </c>
      <c r="Q1310">
        <v>0</v>
      </c>
      <c r="R1310">
        <v>0</v>
      </c>
      <c r="S1310">
        <v>5</v>
      </c>
      <c r="T1310">
        <v>2160</v>
      </c>
    </row>
    <row r="1311" spans="1:20">
      <c r="A1311" t="s">
        <v>1689</v>
      </c>
      <c r="B1311" s="1">
        <v>45621</v>
      </c>
      <c r="C1311">
        <v>48</v>
      </c>
      <c r="D1311">
        <v>11</v>
      </c>
      <c r="E1311" t="s">
        <v>1516</v>
      </c>
      <c r="F1311" t="s">
        <v>35</v>
      </c>
      <c r="G1311" t="s">
        <v>17</v>
      </c>
      <c r="H1311">
        <v>4</v>
      </c>
      <c r="I1311">
        <v>3150</v>
      </c>
      <c r="J1311">
        <v>0</v>
      </c>
      <c r="K1311" t="s">
        <v>1942</v>
      </c>
      <c r="L1311">
        <v>1500</v>
      </c>
      <c r="M1311">
        <v>12600</v>
      </c>
      <c r="N1311">
        <v>6000</v>
      </c>
      <c r="O1311">
        <v>6600</v>
      </c>
      <c r="P1311">
        <v>0.52380952380952395</v>
      </c>
      <c r="Q1311">
        <v>0</v>
      </c>
      <c r="R1311">
        <v>0</v>
      </c>
      <c r="S1311">
        <v>4</v>
      </c>
      <c r="T1311">
        <v>12600</v>
      </c>
    </row>
    <row r="1312" spans="1:20">
      <c r="A1312" t="s">
        <v>1690</v>
      </c>
      <c r="B1312" s="1">
        <v>45621</v>
      </c>
      <c r="C1312">
        <v>48</v>
      </c>
      <c r="D1312">
        <v>11</v>
      </c>
      <c r="E1312" t="s">
        <v>1516</v>
      </c>
      <c r="F1312" t="s">
        <v>28</v>
      </c>
      <c r="G1312" t="s">
        <v>26</v>
      </c>
      <c r="H1312">
        <v>5</v>
      </c>
      <c r="I1312">
        <v>1500</v>
      </c>
      <c r="J1312">
        <v>0</v>
      </c>
      <c r="K1312" t="s">
        <v>1939</v>
      </c>
      <c r="L1312">
        <v>600</v>
      </c>
      <c r="M1312">
        <v>7500</v>
      </c>
      <c r="N1312">
        <v>3000</v>
      </c>
      <c r="O1312">
        <v>4500</v>
      </c>
      <c r="P1312">
        <v>0.6</v>
      </c>
      <c r="Q1312">
        <v>0</v>
      </c>
      <c r="R1312">
        <v>0</v>
      </c>
      <c r="S1312">
        <v>5</v>
      </c>
      <c r="T1312">
        <v>7500</v>
      </c>
    </row>
    <row r="1313" spans="1:20">
      <c r="A1313" t="s">
        <v>1691</v>
      </c>
      <c r="B1313" s="1">
        <v>45621</v>
      </c>
      <c r="C1313">
        <v>48</v>
      </c>
      <c r="D1313">
        <v>11</v>
      </c>
      <c r="E1313" t="s">
        <v>1516</v>
      </c>
      <c r="F1313" t="s">
        <v>22</v>
      </c>
      <c r="G1313" t="s">
        <v>23</v>
      </c>
      <c r="H1313">
        <v>3</v>
      </c>
      <c r="I1313">
        <v>425</v>
      </c>
      <c r="J1313">
        <v>15</v>
      </c>
      <c r="K1313" t="s">
        <v>1929</v>
      </c>
      <c r="L1313">
        <v>250</v>
      </c>
      <c r="M1313">
        <v>1275</v>
      </c>
      <c r="N1313">
        <v>750</v>
      </c>
      <c r="O1313">
        <v>525</v>
      </c>
      <c r="P1313">
        <v>0.41176470588235298</v>
      </c>
      <c r="Q1313">
        <v>0</v>
      </c>
      <c r="R1313">
        <v>0</v>
      </c>
      <c r="S1313">
        <v>3</v>
      </c>
      <c r="T1313">
        <v>1275</v>
      </c>
    </row>
    <row r="1314" spans="1:20">
      <c r="A1314" t="s">
        <v>1692</v>
      </c>
      <c r="B1314" s="1">
        <v>45621</v>
      </c>
      <c r="C1314">
        <v>48</v>
      </c>
      <c r="D1314">
        <v>11</v>
      </c>
      <c r="E1314" t="s">
        <v>1516</v>
      </c>
      <c r="F1314" t="s">
        <v>13</v>
      </c>
      <c r="G1314" t="s">
        <v>14</v>
      </c>
      <c r="H1314">
        <v>5</v>
      </c>
      <c r="I1314">
        <v>408</v>
      </c>
      <c r="J1314">
        <v>15</v>
      </c>
      <c r="K1314" t="s">
        <v>1925</v>
      </c>
      <c r="L1314">
        <v>220</v>
      </c>
      <c r="M1314">
        <v>2040</v>
      </c>
      <c r="N1314">
        <v>1100</v>
      </c>
      <c r="O1314">
        <v>940</v>
      </c>
      <c r="P1314">
        <v>0.46078431372549</v>
      </c>
      <c r="Q1314">
        <v>0</v>
      </c>
      <c r="R1314">
        <v>0</v>
      </c>
      <c r="S1314">
        <v>5</v>
      </c>
      <c r="T1314">
        <v>2040</v>
      </c>
    </row>
    <row r="1315" spans="1:20">
      <c r="A1315" t="s">
        <v>1693</v>
      </c>
      <c r="B1315" s="1">
        <v>45621</v>
      </c>
      <c r="C1315">
        <v>48</v>
      </c>
      <c r="D1315">
        <v>11</v>
      </c>
      <c r="E1315" t="s">
        <v>1516</v>
      </c>
      <c r="F1315" t="s">
        <v>97</v>
      </c>
      <c r="G1315" t="s">
        <v>20</v>
      </c>
      <c r="H1315">
        <v>5</v>
      </c>
      <c r="I1315">
        <v>1980</v>
      </c>
      <c r="J1315">
        <v>0</v>
      </c>
      <c r="K1315" t="s">
        <v>1932</v>
      </c>
      <c r="L1315">
        <v>1100</v>
      </c>
      <c r="M1315">
        <v>9900</v>
      </c>
      <c r="N1315">
        <v>5500</v>
      </c>
      <c r="O1315">
        <v>4400</v>
      </c>
      <c r="P1315">
        <v>0.44444444444444398</v>
      </c>
      <c r="Q1315">
        <v>0</v>
      </c>
      <c r="R1315">
        <v>0</v>
      </c>
      <c r="S1315">
        <v>5</v>
      </c>
      <c r="T1315">
        <v>9900</v>
      </c>
    </row>
    <row r="1316" spans="1:20">
      <c r="A1316" t="s">
        <v>1694</v>
      </c>
      <c r="B1316" s="1">
        <v>45621</v>
      </c>
      <c r="C1316">
        <v>48</v>
      </c>
      <c r="D1316">
        <v>11</v>
      </c>
      <c r="E1316" t="s">
        <v>1516</v>
      </c>
      <c r="F1316" t="s">
        <v>19</v>
      </c>
      <c r="G1316" t="s">
        <v>20</v>
      </c>
      <c r="H1316">
        <v>3</v>
      </c>
      <c r="I1316">
        <v>1539</v>
      </c>
      <c r="J1316">
        <v>5</v>
      </c>
      <c r="K1316" t="s">
        <v>1931</v>
      </c>
      <c r="L1316">
        <v>900</v>
      </c>
      <c r="M1316">
        <v>4617</v>
      </c>
      <c r="N1316">
        <v>2700</v>
      </c>
      <c r="O1316">
        <v>1917</v>
      </c>
      <c r="P1316">
        <v>0.41520467836257302</v>
      </c>
      <c r="Q1316">
        <v>0</v>
      </c>
      <c r="R1316">
        <v>0</v>
      </c>
      <c r="S1316">
        <v>3</v>
      </c>
      <c r="T1316">
        <v>4617</v>
      </c>
    </row>
    <row r="1317" spans="1:20">
      <c r="A1317" t="s">
        <v>1695</v>
      </c>
      <c r="B1317" s="1">
        <v>45622</v>
      </c>
      <c r="C1317">
        <v>48</v>
      </c>
      <c r="D1317">
        <v>11</v>
      </c>
      <c r="E1317" t="s">
        <v>1516</v>
      </c>
      <c r="F1317" t="s">
        <v>28</v>
      </c>
      <c r="G1317" t="s">
        <v>26</v>
      </c>
      <c r="H1317">
        <v>1</v>
      </c>
      <c r="I1317">
        <v>1500</v>
      </c>
      <c r="J1317">
        <v>0</v>
      </c>
      <c r="K1317" t="s">
        <v>1939</v>
      </c>
      <c r="L1317">
        <v>600</v>
      </c>
      <c r="M1317">
        <v>1500</v>
      </c>
      <c r="N1317">
        <v>600</v>
      </c>
      <c r="O1317">
        <v>900</v>
      </c>
      <c r="P1317">
        <v>0.6</v>
      </c>
      <c r="Q1317">
        <v>0</v>
      </c>
      <c r="R1317">
        <v>0</v>
      </c>
      <c r="S1317">
        <v>1</v>
      </c>
      <c r="T1317">
        <v>1500</v>
      </c>
    </row>
    <row r="1318" spans="1:20">
      <c r="A1318" t="s">
        <v>1697</v>
      </c>
      <c r="B1318" s="1">
        <v>45622</v>
      </c>
      <c r="C1318">
        <v>48</v>
      </c>
      <c r="D1318">
        <v>11</v>
      </c>
      <c r="E1318" t="s">
        <v>1516</v>
      </c>
      <c r="F1318" t="s">
        <v>146</v>
      </c>
      <c r="G1318" t="s">
        <v>20</v>
      </c>
      <c r="H1318">
        <v>4</v>
      </c>
      <c r="I1318">
        <v>630</v>
      </c>
      <c r="J1318">
        <v>0</v>
      </c>
      <c r="K1318" t="s">
        <v>1934</v>
      </c>
      <c r="L1318">
        <v>350</v>
      </c>
      <c r="M1318">
        <v>2520</v>
      </c>
      <c r="N1318">
        <v>1400</v>
      </c>
      <c r="O1318">
        <v>1120</v>
      </c>
      <c r="P1318">
        <v>0.44444444444444398</v>
      </c>
      <c r="Q1318">
        <v>0</v>
      </c>
      <c r="R1318">
        <v>0</v>
      </c>
      <c r="S1318">
        <v>4</v>
      </c>
      <c r="T1318">
        <v>2520</v>
      </c>
    </row>
    <row r="1319" spans="1:20">
      <c r="A1319" t="s">
        <v>1698</v>
      </c>
      <c r="B1319" s="1">
        <v>45622</v>
      </c>
      <c r="C1319">
        <v>48</v>
      </c>
      <c r="D1319">
        <v>11</v>
      </c>
      <c r="E1319" t="s">
        <v>1516</v>
      </c>
      <c r="F1319" t="s">
        <v>119</v>
      </c>
      <c r="G1319" t="s">
        <v>14</v>
      </c>
      <c r="H1319">
        <v>4</v>
      </c>
      <c r="I1319">
        <v>770</v>
      </c>
      <c r="J1319">
        <v>0</v>
      </c>
      <c r="K1319" t="s">
        <v>1920</v>
      </c>
      <c r="L1319">
        <v>350</v>
      </c>
      <c r="M1319">
        <v>3080</v>
      </c>
      <c r="N1319">
        <v>1400</v>
      </c>
      <c r="O1319">
        <v>1680</v>
      </c>
      <c r="P1319">
        <v>0.54545454545454497</v>
      </c>
      <c r="Q1319">
        <v>0</v>
      </c>
      <c r="R1319">
        <v>0</v>
      </c>
      <c r="S1319">
        <v>4</v>
      </c>
      <c r="T1319">
        <v>3080</v>
      </c>
    </row>
    <row r="1320" spans="1:20">
      <c r="A1320" t="s">
        <v>1699</v>
      </c>
      <c r="B1320" s="1">
        <v>45622</v>
      </c>
      <c r="C1320">
        <v>48</v>
      </c>
      <c r="D1320">
        <v>11</v>
      </c>
      <c r="E1320" t="s">
        <v>1516</v>
      </c>
      <c r="F1320" t="s">
        <v>80</v>
      </c>
      <c r="G1320" t="s">
        <v>14</v>
      </c>
      <c r="H1320">
        <v>1</v>
      </c>
      <c r="I1320">
        <v>340</v>
      </c>
      <c r="J1320">
        <v>15</v>
      </c>
      <c r="K1320" t="s">
        <v>1922</v>
      </c>
      <c r="L1320">
        <v>180</v>
      </c>
      <c r="M1320">
        <v>340</v>
      </c>
      <c r="N1320">
        <v>180</v>
      </c>
      <c r="O1320">
        <v>160</v>
      </c>
      <c r="P1320">
        <v>0.47058823529411797</v>
      </c>
      <c r="Q1320">
        <v>0</v>
      </c>
      <c r="R1320">
        <v>0</v>
      </c>
      <c r="S1320">
        <v>1</v>
      </c>
      <c r="T1320">
        <v>340</v>
      </c>
    </row>
    <row r="1321" spans="1:20">
      <c r="A1321" t="s">
        <v>1700</v>
      </c>
      <c r="B1321" s="1">
        <v>45622</v>
      </c>
      <c r="C1321">
        <v>48</v>
      </c>
      <c r="D1321">
        <v>11</v>
      </c>
      <c r="E1321" t="s">
        <v>1516</v>
      </c>
      <c r="F1321" t="s">
        <v>86</v>
      </c>
      <c r="G1321" t="s">
        <v>17</v>
      </c>
      <c r="H1321">
        <v>1</v>
      </c>
      <c r="I1321">
        <v>940</v>
      </c>
      <c r="J1321">
        <v>0</v>
      </c>
      <c r="K1321" t="s">
        <v>1944</v>
      </c>
      <c r="L1321">
        <v>450</v>
      </c>
      <c r="M1321">
        <v>940</v>
      </c>
      <c r="N1321">
        <v>450</v>
      </c>
      <c r="O1321">
        <v>490</v>
      </c>
      <c r="P1321">
        <v>0.52127659574468099</v>
      </c>
      <c r="Q1321">
        <v>0</v>
      </c>
      <c r="R1321">
        <v>0</v>
      </c>
      <c r="S1321">
        <v>1</v>
      </c>
      <c r="T1321">
        <v>940</v>
      </c>
    </row>
    <row r="1322" spans="1:20">
      <c r="A1322" t="s">
        <v>1701</v>
      </c>
      <c r="B1322" s="1">
        <v>45622</v>
      </c>
      <c r="C1322">
        <v>48</v>
      </c>
      <c r="D1322">
        <v>11</v>
      </c>
      <c r="E1322" t="s">
        <v>1516</v>
      </c>
      <c r="F1322" t="s">
        <v>119</v>
      </c>
      <c r="G1322" t="s">
        <v>14</v>
      </c>
      <c r="H1322">
        <v>5</v>
      </c>
      <c r="I1322">
        <v>654.5</v>
      </c>
      <c r="J1322">
        <v>15</v>
      </c>
      <c r="K1322" t="s">
        <v>1920</v>
      </c>
      <c r="L1322">
        <v>350</v>
      </c>
      <c r="M1322">
        <v>3272.5</v>
      </c>
      <c r="N1322">
        <v>1750</v>
      </c>
      <c r="O1322">
        <v>1522.5</v>
      </c>
      <c r="P1322">
        <v>0.46524064171122997</v>
      </c>
      <c r="Q1322">
        <v>0</v>
      </c>
      <c r="R1322">
        <v>0</v>
      </c>
      <c r="S1322">
        <v>5</v>
      </c>
      <c r="T1322">
        <v>3272.5</v>
      </c>
    </row>
    <row r="1323" spans="1:20">
      <c r="A1323" t="s">
        <v>1702</v>
      </c>
      <c r="B1323" s="1">
        <v>45622</v>
      </c>
      <c r="C1323">
        <v>48</v>
      </c>
      <c r="D1323">
        <v>11</v>
      </c>
      <c r="E1323" t="s">
        <v>1516</v>
      </c>
      <c r="F1323" t="s">
        <v>58</v>
      </c>
      <c r="G1323" t="s">
        <v>23</v>
      </c>
      <c r="H1323">
        <v>1</v>
      </c>
      <c r="I1323">
        <v>1000</v>
      </c>
      <c r="J1323">
        <v>0</v>
      </c>
      <c r="K1323" t="s">
        <v>1927</v>
      </c>
      <c r="L1323">
        <v>500</v>
      </c>
      <c r="M1323">
        <v>1000</v>
      </c>
      <c r="N1323">
        <v>500</v>
      </c>
      <c r="O1323">
        <v>500</v>
      </c>
      <c r="P1323">
        <v>0.5</v>
      </c>
      <c r="Q1323">
        <v>0</v>
      </c>
      <c r="R1323">
        <v>0</v>
      </c>
      <c r="S1323">
        <v>1</v>
      </c>
      <c r="T1323">
        <v>1000</v>
      </c>
    </row>
    <row r="1324" spans="1:20">
      <c r="A1324" t="s">
        <v>1703</v>
      </c>
      <c r="B1324" s="1">
        <v>45622</v>
      </c>
      <c r="C1324">
        <v>48</v>
      </c>
      <c r="D1324">
        <v>11</v>
      </c>
      <c r="E1324" t="s">
        <v>1516</v>
      </c>
      <c r="F1324" t="s">
        <v>97</v>
      </c>
      <c r="G1324" t="s">
        <v>20</v>
      </c>
      <c r="H1324">
        <v>5</v>
      </c>
      <c r="I1324">
        <v>1782</v>
      </c>
      <c r="J1324">
        <v>10</v>
      </c>
      <c r="K1324" t="s">
        <v>1932</v>
      </c>
      <c r="L1324">
        <v>1100</v>
      </c>
      <c r="M1324">
        <v>8910</v>
      </c>
      <c r="N1324">
        <v>5500</v>
      </c>
      <c r="O1324">
        <v>3410</v>
      </c>
      <c r="P1324">
        <v>0.38271604938271597</v>
      </c>
      <c r="Q1324">
        <v>0</v>
      </c>
      <c r="R1324">
        <v>0</v>
      </c>
      <c r="S1324">
        <v>5</v>
      </c>
      <c r="T1324">
        <v>8910</v>
      </c>
    </row>
    <row r="1325" spans="1:20">
      <c r="A1325" t="s">
        <v>1704</v>
      </c>
      <c r="B1325" s="1">
        <v>45622</v>
      </c>
      <c r="C1325">
        <v>48</v>
      </c>
      <c r="D1325">
        <v>11</v>
      </c>
      <c r="E1325" t="s">
        <v>1516</v>
      </c>
      <c r="F1325" t="s">
        <v>97</v>
      </c>
      <c r="G1325" t="s">
        <v>20</v>
      </c>
      <c r="H1325">
        <v>2</v>
      </c>
      <c r="I1325">
        <v>1980</v>
      </c>
      <c r="J1325">
        <v>0</v>
      </c>
      <c r="K1325" t="s">
        <v>1932</v>
      </c>
      <c r="L1325">
        <v>1100</v>
      </c>
      <c r="M1325">
        <v>3960</v>
      </c>
      <c r="N1325">
        <v>2200</v>
      </c>
      <c r="O1325">
        <v>1760</v>
      </c>
      <c r="P1325">
        <v>0.44444444444444398</v>
      </c>
      <c r="Q1325">
        <v>0</v>
      </c>
      <c r="R1325">
        <v>0</v>
      </c>
      <c r="S1325">
        <v>2</v>
      </c>
      <c r="T1325">
        <v>3960</v>
      </c>
    </row>
    <row r="1326" spans="1:20">
      <c r="A1326" t="s">
        <v>1705</v>
      </c>
      <c r="B1326" s="1">
        <v>45623</v>
      </c>
      <c r="C1326">
        <v>48</v>
      </c>
      <c r="D1326">
        <v>11</v>
      </c>
      <c r="E1326" t="s">
        <v>1516</v>
      </c>
      <c r="F1326" t="s">
        <v>97</v>
      </c>
      <c r="G1326" t="s">
        <v>20</v>
      </c>
      <c r="H1326">
        <v>2</v>
      </c>
      <c r="I1326">
        <v>1782</v>
      </c>
      <c r="J1326">
        <v>10</v>
      </c>
      <c r="K1326" t="s">
        <v>1932</v>
      </c>
      <c r="L1326">
        <v>1100</v>
      </c>
      <c r="M1326">
        <v>3564</v>
      </c>
      <c r="N1326">
        <v>2200</v>
      </c>
      <c r="O1326">
        <v>1364</v>
      </c>
      <c r="P1326">
        <v>0.38271604938271597</v>
      </c>
      <c r="Q1326">
        <v>0</v>
      </c>
      <c r="R1326">
        <v>0</v>
      </c>
      <c r="S1326">
        <v>2</v>
      </c>
      <c r="T1326">
        <v>3564</v>
      </c>
    </row>
    <row r="1327" spans="1:20">
      <c r="A1327" t="s">
        <v>1707</v>
      </c>
      <c r="B1327" s="1">
        <v>45623</v>
      </c>
      <c r="C1327">
        <v>48</v>
      </c>
      <c r="D1327">
        <v>11</v>
      </c>
      <c r="E1327" t="s">
        <v>1516</v>
      </c>
      <c r="F1327" t="s">
        <v>80</v>
      </c>
      <c r="G1327" t="s">
        <v>14</v>
      </c>
      <c r="H1327">
        <v>4</v>
      </c>
      <c r="I1327">
        <v>340</v>
      </c>
      <c r="J1327">
        <v>15</v>
      </c>
      <c r="K1327" t="s">
        <v>1922</v>
      </c>
      <c r="L1327">
        <v>180</v>
      </c>
      <c r="M1327">
        <v>1360</v>
      </c>
      <c r="N1327">
        <v>720</v>
      </c>
      <c r="O1327">
        <v>640</v>
      </c>
      <c r="P1327">
        <v>0.47058823529411797</v>
      </c>
      <c r="Q1327">
        <v>0</v>
      </c>
      <c r="R1327">
        <v>0</v>
      </c>
      <c r="S1327">
        <v>4</v>
      </c>
      <c r="T1327">
        <v>1360</v>
      </c>
    </row>
    <row r="1328" spans="1:20">
      <c r="A1328" t="s">
        <v>1708</v>
      </c>
      <c r="B1328" s="1">
        <v>45623</v>
      </c>
      <c r="C1328">
        <v>48</v>
      </c>
      <c r="D1328">
        <v>11</v>
      </c>
      <c r="E1328" t="s">
        <v>1516</v>
      </c>
      <c r="F1328" t="s">
        <v>68</v>
      </c>
      <c r="G1328" t="s">
        <v>26</v>
      </c>
      <c r="H1328">
        <v>1</v>
      </c>
      <c r="I1328">
        <v>380</v>
      </c>
      <c r="J1328">
        <v>0</v>
      </c>
      <c r="K1328" t="s">
        <v>1937</v>
      </c>
      <c r="L1328">
        <v>150</v>
      </c>
      <c r="M1328">
        <v>380</v>
      </c>
      <c r="N1328">
        <v>150</v>
      </c>
      <c r="O1328">
        <v>230</v>
      </c>
      <c r="P1328">
        <v>0.60526315789473695</v>
      </c>
      <c r="Q1328">
        <v>0</v>
      </c>
      <c r="R1328">
        <v>0</v>
      </c>
      <c r="S1328">
        <v>1</v>
      </c>
      <c r="T1328">
        <v>380</v>
      </c>
    </row>
    <row r="1329" spans="1:20">
      <c r="A1329" t="s">
        <v>1709</v>
      </c>
      <c r="B1329" s="1">
        <v>45623</v>
      </c>
      <c r="C1329">
        <v>48</v>
      </c>
      <c r="D1329">
        <v>11</v>
      </c>
      <c r="E1329" t="s">
        <v>1516</v>
      </c>
      <c r="F1329" t="s">
        <v>35</v>
      </c>
      <c r="G1329" t="s">
        <v>17</v>
      </c>
      <c r="H1329">
        <v>4</v>
      </c>
      <c r="I1329">
        <v>2835</v>
      </c>
      <c r="J1329">
        <v>10</v>
      </c>
      <c r="K1329" t="s">
        <v>1942</v>
      </c>
      <c r="L1329">
        <v>1500</v>
      </c>
      <c r="M1329">
        <v>11340</v>
      </c>
      <c r="N1329">
        <v>6000</v>
      </c>
      <c r="O1329">
        <v>5340</v>
      </c>
      <c r="P1329">
        <v>0.47089947089947098</v>
      </c>
      <c r="Q1329">
        <v>0</v>
      </c>
      <c r="R1329">
        <v>0</v>
      </c>
      <c r="S1329">
        <v>4</v>
      </c>
      <c r="T1329">
        <v>11340</v>
      </c>
    </row>
    <row r="1330" spans="1:20">
      <c r="A1330" t="s">
        <v>1710</v>
      </c>
      <c r="B1330" s="1">
        <v>45624</v>
      </c>
      <c r="C1330">
        <v>48</v>
      </c>
      <c r="D1330">
        <v>11</v>
      </c>
      <c r="E1330" t="s">
        <v>1516</v>
      </c>
      <c r="F1330" t="s">
        <v>51</v>
      </c>
      <c r="G1330" t="s">
        <v>26</v>
      </c>
      <c r="H1330">
        <v>1</v>
      </c>
      <c r="I1330">
        <v>425</v>
      </c>
      <c r="J1330">
        <v>15</v>
      </c>
      <c r="K1330" t="s">
        <v>1936</v>
      </c>
      <c r="L1330">
        <v>200</v>
      </c>
      <c r="M1330">
        <v>425</v>
      </c>
      <c r="N1330">
        <v>200</v>
      </c>
      <c r="O1330">
        <v>225</v>
      </c>
      <c r="P1330">
        <v>0.52941176470588203</v>
      </c>
      <c r="Q1330">
        <v>0</v>
      </c>
      <c r="R1330">
        <v>0</v>
      </c>
      <c r="S1330">
        <v>1</v>
      </c>
      <c r="T1330">
        <v>425</v>
      </c>
    </row>
    <row r="1331" spans="1:20">
      <c r="A1331" t="s">
        <v>1712</v>
      </c>
      <c r="B1331" s="1">
        <v>45624</v>
      </c>
      <c r="C1331">
        <v>48</v>
      </c>
      <c r="D1331">
        <v>11</v>
      </c>
      <c r="E1331" t="s">
        <v>1516</v>
      </c>
      <c r="F1331" t="s">
        <v>68</v>
      </c>
      <c r="G1331" t="s">
        <v>26</v>
      </c>
      <c r="H1331">
        <v>4</v>
      </c>
      <c r="I1331">
        <v>380</v>
      </c>
      <c r="J1331">
        <v>0</v>
      </c>
      <c r="K1331" t="s">
        <v>1937</v>
      </c>
      <c r="L1331">
        <v>150</v>
      </c>
      <c r="M1331">
        <v>1520</v>
      </c>
      <c r="N1331">
        <v>600</v>
      </c>
      <c r="O1331">
        <v>920</v>
      </c>
      <c r="P1331">
        <v>0.60526315789473695</v>
      </c>
      <c r="Q1331">
        <v>2</v>
      </c>
      <c r="R1331">
        <v>2</v>
      </c>
      <c r="S1331">
        <v>2</v>
      </c>
      <c r="T1331">
        <v>760</v>
      </c>
    </row>
    <row r="1332" spans="1:20">
      <c r="A1332" t="s">
        <v>1713</v>
      </c>
      <c r="B1332" s="1">
        <v>45624</v>
      </c>
      <c r="C1332">
        <v>48</v>
      </c>
      <c r="D1332">
        <v>11</v>
      </c>
      <c r="E1332" t="s">
        <v>1516</v>
      </c>
      <c r="F1332" t="s">
        <v>35</v>
      </c>
      <c r="G1332" t="s">
        <v>17</v>
      </c>
      <c r="H1332">
        <v>3</v>
      </c>
      <c r="I1332">
        <v>3150</v>
      </c>
      <c r="J1332">
        <v>0</v>
      </c>
      <c r="K1332" t="s">
        <v>1942</v>
      </c>
      <c r="L1332">
        <v>1500</v>
      </c>
      <c r="M1332">
        <v>9450</v>
      </c>
      <c r="N1332">
        <v>4500</v>
      </c>
      <c r="O1332">
        <v>4950</v>
      </c>
      <c r="P1332">
        <v>0.52380952380952395</v>
      </c>
      <c r="Q1332">
        <v>0</v>
      </c>
      <c r="R1332">
        <v>0</v>
      </c>
      <c r="S1332">
        <v>3</v>
      </c>
      <c r="T1332">
        <v>9450</v>
      </c>
    </row>
    <row r="1333" spans="1:20">
      <c r="A1333" t="s">
        <v>1714</v>
      </c>
      <c r="B1333" s="1">
        <v>45624</v>
      </c>
      <c r="C1333">
        <v>48</v>
      </c>
      <c r="D1333">
        <v>11</v>
      </c>
      <c r="E1333" t="s">
        <v>1516</v>
      </c>
      <c r="F1333" t="s">
        <v>16</v>
      </c>
      <c r="G1333" t="s">
        <v>17</v>
      </c>
      <c r="H1333">
        <v>5</v>
      </c>
      <c r="I1333">
        <v>520</v>
      </c>
      <c r="J1333">
        <v>0</v>
      </c>
      <c r="K1333" t="s">
        <v>1945</v>
      </c>
      <c r="L1333">
        <v>250</v>
      </c>
      <c r="M1333">
        <v>2600</v>
      </c>
      <c r="N1333">
        <v>1250</v>
      </c>
      <c r="O1333">
        <v>1350</v>
      </c>
      <c r="P1333">
        <v>0.51923076923076905</v>
      </c>
      <c r="Q1333">
        <v>0</v>
      </c>
      <c r="R1333">
        <v>0</v>
      </c>
      <c r="S1333">
        <v>5</v>
      </c>
      <c r="T1333">
        <v>2600</v>
      </c>
    </row>
    <row r="1334" spans="1:20">
      <c r="A1334" t="s">
        <v>1715</v>
      </c>
      <c r="B1334" s="1">
        <v>45624</v>
      </c>
      <c r="C1334">
        <v>48</v>
      </c>
      <c r="D1334">
        <v>11</v>
      </c>
      <c r="E1334" t="s">
        <v>1516</v>
      </c>
      <c r="F1334" t="s">
        <v>58</v>
      </c>
      <c r="G1334" t="s">
        <v>23</v>
      </c>
      <c r="H1334">
        <v>1</v>
      </c>
      <c r="I1334">
        <v>900</v>
      </c>
      <c r="J1334">
        <v>10</v>
      </c>
      <c r="K1334" t="s">
        <v>1927</v>
      </c>
      <c r="L1334">
        <v>500</v>
      </c>
      <c r="M1334">
        <v>900</v>
      </c>
      <c r="N1334">
        <v>500</v>
      </c>
      <c r="O1334">
        <v>400</v>
      </c>
      <c r="P1334">
        <v>0.44444444444444398</v>
      </c>
      <c r="Q1334">
        <v>0</v>
      </c>
      <c r="R1334">
        <v>0</v>
      </c>
      <c r="S1334">
        <v>1</v>
      </c>
      <c r="T1334">
        <v>900</v>
      </c>
    </row>
    <row r="1335" spans="1:20">
      <c r="A1335" t="s">
        <v>1716</v>
      </c>
      <c r="B1335" s="1">
        <v>45625</v>
      </c>
      <c r="C1335">
        <v>48</v>
      </c>
      <c r="D1335">
        <v>11</v>
      </c>
      <c r="E1335" t="s">
        <v>1516</v>
      </c>
      <c r="F1335" t="s">
        <v>16</v>
      </c>
      <c r="G1335" t="s">
        <v>17</v>
      </c>
      <c r="H1335">
        <v>1</v>
      </c>
      <c r="I1335">
        <v>520</v>
      </c>
      <c r="J1335">
        <v>0</v>
      </c>
      <c r="K1335" t="s">
        <v>1945</v>
      </c>
      <c r="L1335">
        <v>250</v>
      </c>
      <c r="M1335">
        <v>520</v>
      </c>
      <c r="N1335">
        <v>250</v>
      </c>
      <c r="O1335">
        <v>270</v>
      </c>
      <c r="P1335">
        <v>0.51923076923076905</v>
      </c>
      <c r="Q1335">
        <v>0</v>
      </c>
      <c r="R1335">
        <v>0</v>
      </c>
      <c r="S1335">
        <v>1</v>
      </c>
      <c r="T1335">
        <v>520</v>
      </c>
    </row>
    <row r="1336" spans="1:20">
      <c r="A1336" t="s">
        <v>1718</v>
      </c>
      <c r="B1336" s="1">
        <v>45625</v>
      </c>
      <c r="C1336">
        <v>48</v>
      </c>
      <c r="D1336">
        <v>11</v>
      </c>
      <c r="E1336" t="s">
        <v>1516</v>
      </c>
      <c r="F1336" t="s">
        <v>25</v>
      </c>
      <c r="G1336" t="s">
        <v>26</v>
      </c>
      <c r="H1336">
        <v>1</v>
      </c>
      <c r="I1336">
        <v>950</v>
      </c>
      <c r="J1336">
        <v>5</v>
      </c>
      <c r="K1336" t="s">
        <v>1940</v>
      </c>
      <c r="L1336">
        <v>400</v>
      </c>
      <c r="M1336">
        <v>950</v>
      </c>
      <c r="N1336">
        <v>400</v>
      </c>
      <c r="O1336">
        <v>550</v>
      </c>
      <c r="P1336">
        <v>0.57894736842105299</v>
      </c>
      <c r="Q1336">
        <v>0</v>
      </c>
      <c r="R1336">
        <v>0</v>
      </c>
      <c r="S1336">
        <v>1</v>
      </c>
      <c r="T1336">
        <v>950</v>
      </c>
    </row>
    <row r="1337" spans="1:20">
      <c r="A1337" t="s">
        <v>1719</v>
      </c>
      <c r="B1337" s="1">
        <v>45625</v>
      </c>
      <c r="C1337">
        <v>48</v>
      </c>
      <c r="D1337">
        <v>11</v>
      </c>
      <c r="E1337" t="s">
        <v>1516</v>
      </c>
      <c r="F1337" t="s">
        <v>94</v>
      </c>
      <c r="G1337" t="s">
        <v>17</v>
      </c>
      <c r="H1337">
        <v>4</v>
      </c>
      <c r="I1337">
        <v>1680</v>
      </c>
      <c r="J1337">
        <v>0</v>
      </c>
      <c r="K1337" t="s">
        <v>1943</v>
      </c>
      <c r="L1337">
        <v>800</v>
      </c>
      <c r="M1337">
        <v>6720</v>
      </c>
      <c r="N1337">
        <v>3200</v>
      </c>
      <c r="O1337">
        <v>3520</v>
      </c>
      <c r="P1337">
        <v>0.52380952380952395</v>
      </c>
      <c r="Q1337">
        <v>0</v>
      </c>
      <c r="R1337">
        <v>0</v>
      </c>
      <c r="S1337">
        <v>4</v>
      </c>
      <c r="T1337">
        <v>6720</v>
      </c>
    </row>
    <row r="1338" spans="1:20">
      <c r="A1338" t="s">
        <v>1720</v>
      </c>
      <c r="B1338" s="1">
        <v>45625</v>
      </c>
      <c r="C1338">
        <v>48</v>
      </c>
      <c r="D1338">
        <v>11</v>
      </c>
      <c r="E1338" t="s">
        <v>1516</v>
      </c>
      <c r="F1338" t="s">
        <v>119</v>
      </c>
      <c r="G1338" t="s">
        <v>14</v>
      </c>
      <c r="H1338">
        <v>1</v>
      </c>
      <c r="I1338">
        <v>770</v>
      </c>
      <c r="J1338">
        <v>0</v>
      </c>
      <c r="K1338" t="s">
        <v>1920</v>
      </c>
      <c r="L1338">
        <v>350</v>
      </c>
      <c r="M1338">
        <v>770</v>
      </c>
      <c r="N1338">
        <v>350</v>
      </c>
      <c r="O1338">
        <v>420</v>
      </c>
      <c r="P1338">
        <v>0.54545454545454497</v>
      </c>
      <c r="Q1338">
        <v>1</v>
      </c>
      <c r="R1338">
        <v>1</v>
      </c>
      <c r="S1338">
        <v>0</v>
      </c>
      <c r="T1338">
        <v>0</v>
      </c>
    </row>
    <row r="1339" spans="1:20">
      <c r="A1339" t="s">
        <v>1721</v>
      </c>
      <c r="B1339" s="1">
        <v>45625</v>
      </c>
      <c r="C1339">
        <v>48</v>
      </c>
      <c r="D1339">
        <v>11</v>
      </c>
      <c r="E1339" t="s">
        <v>1516</v>
      </c>
      <c r="F1339" t="s">
        <v>68</v>
      </c>
      <c r="G1339" t="s">
        <v>26</v>
      </c>
      <c r="H1339">
        <v>5</v>
      </c>
      <c r="I1339">
        <v>380</v>
      </c>
      <c r="J1339">
        <v>0</v>
      </c>
      <c r="K1339" t="s">
        <v>1937</v>
      </c>
      <c r="L1339">
        <v>150</v>
      </c>
      <c r="M1339">
        <v>1900</v>
      </c>
      <c r="N1339">
        <v>750</v>
      </c>
      <c r="O1339">
        <v>1150</v>
      </c>
      <c r="P1339">
        <v>0.60526315789473695</v>
      </c>
      <c r="Q1339">
        <v>0</v>
      </c>
      <c r="R1339">
        <v>0</v>
      </c>
      <c r="S1339">
        <v>5</v>
      </c>
      <c r="T1339">
        <v>1900</v>
      </c>
    </row>
    <row r="1340" spans="1:20">
      <c r="A1340" t="s">
        <v>1722</v>
      </c>
      <c r="B1340" s="1">
        <v>45625</v>
      </c>
      <c r="C1340">
        <v>48</v>
      </c>
      <c r="D1340">
        <v>11</v>
      </c>
      <c r="E1340" t="s">
        <v>1516</v>
      </c>
      <c r="F1340" t="s">
        <v>68</v>
      </c>
      <c r="G1340" t="s">
        <v>26</v>
      </c>
      <c r="H1340">
        <v>4</v>
      </c>
      <c r="I1340">
        <v>323</v>
      </c>
      <c r="J1340">
        <v>15</v>
      </c>
      <c r="K1340" t="s">
        <v>1937</v>
      </c>
      <c r="L1340">
        <v>150</v>
      </c>
      <c r="M1340">
        <v>1292</v>
      </c>
      <c r="N1340">
        <v>600</v>
      </c>
      <c r="O1340">
        <v>692</v>
      </c>
      <c r="P1340">
        <v>0.53560371517027905</v>
      </c>
      <c r="Q1340">
        <v>0</v>
      </c>
      <c r="R1340">
        <v>0</v>
      </c>
      <c r="S1340">
        <v>4</v>
      </c>
      <c r="T1340">
        <v>1292</v>
      </c>
    </row>
    <row r="1341" spans="1:20">
      <c r="A1341" t="s">
        <v>1723</v>
      </c>
      <c r="B1341" s="1">
        <v>45626</v>
      </c>
      <c r="C1341">
        <v>48</v>
      </c>
      <c r="D1341">
        <v>11</v>
      </c>
      <c r="E1341" t="s">
        <v>1516</v>
      </c>
      <c r="F1341" t="s">
        <v>37</v>
      </c>
      <c r="G1341" t="s">
        <v>20</v>
      </c>
      <c r="H1341">
        <v>5</v>
      </c>
      <c r="I1341">
        <v>1989</v>
      </c>
      <c r="J1341">
        <v>15</v>
      </c>
      <c r="K1341" t="s">
        <v>1935</v>
      </c>
      <c r="L1341">
        <v>1300</v>
      </c>
      <c r="M1341">
        <v>9945</v>
      </c>
      <c r="N1341">
        <v>6500</v>
      </c>
      <c r="O1341">
        <v>3445</v>
      </c>
      <c r="P1341">
        <v>0.34640522875816998</v>
      </c>
      <c r="Q1341">
        <v>0</v>
      </c>
      <c r="R1341">
        <v>0</v>
      </c>
      <c r="S1341">
        <v>5</v>
      </c>
      <c r="T1341">
        <v>9945</v>
      </c>
    </row>
    <row r="1342" spans="1:20">
      <c r="A1342" t="s">
        <v>1725</v>
      </c>
      <c r="B1342" s="1">
        <v>45626</v>
      </c>
      <c r="C1342">
        <v>48</v>
      </c>
      <c r="D1342">
        <v>11</v>
      </c>
      <c r="E1342" t="s">
        <v>1516</v>
      </c>
      <c r="F1342" t="s">
        <v>80</v>
      </c>
      <c r="G1342" t="s">
        <v>14</v>
      </c>
      <c r="H1342">
        <v>3</v>
      </c>
      <c r="I1342">
        <v>400</v>
      </c>
      <c r="J1342">
        <v>0</v>
      </c>
      <c r="K1342" t="s">
        <v>1922</v>
      </c>
      <c r="L1342">
        <v>180</v>
      </c>
      <c r="M1342">
        <v>1200</v>
      </c>
      <c r="N1342">
        <v>540</v>
      </c>
      <c r="O1342">
        <v>660</v>
      </c>
      <c r="P1342">
        <v>0.55000000000000004</v>
      </c>
      <c r="Q1342">
        <v>0</v>
      </c>
      <c r="R1342">
        <v>0</v>
      </c>
      <c r="S1342">
        <v>3</v>
      </c>
      <c r="T1342">
        <v>1200</v>
      </c>
    </row>
    <row r="1343" spans="1:20">
      <c r="A1343" t="s">
        <v>1726</v>
      </c>
      <c r="B1343" s="1">
        <v>45626</v>
      </c>
      <c r="C1343">
        <v>48</v>
      </c>
      <c r="D1343">
        <v>11</v>
      </c>
      <c r="E1343" t="s">
        <v>1516</v>
      </c>
      <c r="F1343" t="s">
        <v>13</v>
      </c>
      <c r="G1343" t="s">
        <v>14</v>
      </c>
      <c r="H1343">
        <v>2</v>
      </c>
      <c r="I1343">
        <v>480</v>
      </c>
      <c r="J1343">
        <v>0</v>
      </c>
      <c r="K1343" t="s">
        <v>1925</v>
      </c>
      <c r="L1343">
        <v>220</v>
      </c>
      <c r="M1343">
        <v>960</v>
      </c>
      <c r="N1343">
        <v>440</v>
      </c>
      <c r="O1343">
        <v>520</v>
      </c>
      <c r="P1343">
        <v>0.54166666666666696</v>
      </c>
      <c r="Q1343">
        <v>0</v>
      </c>
      <c r="R1343">
        <v>0</v>
      </c>
      <c r="S1343">
        <v>2</v>
      </c>
      <c r="T1343">
        <v>960</v>
      </c>
    </row>
    <row r="1344" spans="1:20">
      <c r="A1344" t="s">
        <v>1727</v>
      </c>
      <c r="B1344" s="1">
        <v>45626</v>
      </c>
      <c r="C1344">
        <v>48</v>
      </c>
      <c r="D1344">
        <v>11</v>
      </c>
      <c r="E1344" t="s">
        <v>1516</v>
      </c>
      <c r="F1344" t="s">
        <v>37</v>
      </c>
      <c r="G1344" t="s">
        <v>20</v>
      </c>
      <c r="H1344">
        <v>4</v>
      </c>
      <c r="I1344">
        <v>2340</v>
      </c>
      <c r="J1344">
        <v>0</v>
      </c>
      <c r="K1344" t="s">
        <v>1935</v>
      </c>
      <c r="L1344">
        <v>1300</v>
      </c>
      <c r="M1344">
        <v>9360</v>
      </c>
      <c r="N1344">
        <v>5200</v>
      </c>
      <c r="O1344">
        <v>4160</v>
      </c>
      <c r="P1344">
        <v>0.44444444444444398</v>
      </c>
      <c r="Q1344">
        <v>0</v>
      </c>
      <c r="R1344">
        <v>0</v>
      </c>
      <c r="S1344">
        <v>4</v>
      </c>
      <c r="T1344">
        <v>9360</v>
      </c>
    </row>
    <row r="1345" spans="1:20">
      <c r="A1345" t="s">
        <v>1728</v>
      </c>
      <c r="B1345" s="1">
        <v>45626</v>
      </c>
      <c r="C1345">
        <v>48</v>
      </c>
      <c r="D1345">
        <v>11</v>
      </c>
      <c r="E1345" t="s">
        <v>1516</v>
      </c>
      <c r="F1345" t="s">
        <v>25</v>
      </c>
      <c r="G1345" t="s">
        <v>26</v>
      </c>
      <c r="H1345">
        <v>4</v>
      </c>
      <c r="I1345">
        <v>900</v>
      </c>
      <c r="J1345">
        <v>10</v>
      </c>
      <c r="K1345" t="s">
        <v>1940</v>
      </c>
      <c r="L1345">
        <v>400</v>
      </c>
      <c r="M1345">
        <v>3600</v>
      </c>
      <c r="N1345">
        <v>1600</v>
      </c>
      <c r="O1345">
        <v>2000</v>
      </c>
      <c r="P1345">
        <v>0.55555555555555602</v>
      </c>
      <c r="Q1345">
        <v>0</v>
      </c>
      <c r="R1345">
        <v>0</v>
      </c>
      <c r="S1345">
        <v>4</v>
      </c>
      <c r="T1345">
        <v>3600</v>
      </c>
    </row>
    <row r="1346" spans="1:20">
      <c r="A1346" t="s">
        <v>1729</v>
      </c>
      <c r="B1346" s="1">
        <v>45626</v>
      </c>
      <c r="C1346">
        <v>48</v>
      </c>
      <c r="D1346">
        <v>11</v>
      </c>
      <c r="E1346" t="s">
        <v>1516</v>
      </c>
      <c r="F1346" t="s">
        <v>66</v>
      </c>
      <c r="G1346" t="s">
        <v>17</v>
      </c>
      <c r="H1346">
        <v>5</v>
      </c>
      <c r="I1346">
        <v>1249.5</v>
      </c>
      <c r="J1346">
        <v>15</v>
      </c>
      <c r="K1346" t="s">
        <v>1941</v>
      </c>
      <c r="L1346">
        <v>700</v>
      </c>
      <c r="M1346">
        <v>6247.5</v>
      </c>
      <c r="N1346">
        <v>3500</v>
      </c>
      <c r="O1346">
        <v>2747.5</v>
      </c>
      <c r="P1346">
        <v>0.43977591036414598</v>
      </c>
      <c r="Q1346">
        <v>0</v>
      </c>
      <c r="R1346">
        <v>0</v>
      </c>
      <c r="S1346">
        <v>5</v>
      </c>
      <c r="T1346">
        <v>6247.5</v>
      </c>
    </row>
    <row r="1347" spans="1:20">
      <c r="A1347" t="s">
        <v>1730</v>
      </c>
      <c r="B1347" s="1">
        <v>45626</v>
      </c>
      <c r="C1347">
        <v>48</v>
      </c>
      <c r="D1347">
        <v>11</v>
      </c>
      <c r="E1347" t="s">
        <v>1516</v>
      </c>
      <c r="F1347" t="s">
        <v>16</v>
      </c>
      <c r="G1347" t="s">
        <v>17</v>
      </c>
      <c r="H1347">
        <v>5</v>
      </c>
      <c r="I1347">
        <v>468</v>
      </c>
      <c r="J1347">
        <v>10</v>
      </c>
      <c r="K1347" t="s">
        <v>1945</v>
      </c>
      <c r="L1347">
        <v>250</v>
      </c>
      <c r="M1347">
        <v>2340</v>
      </c>
      <c r="N1347">
        <v>1250</v>
      </c>
      <c r="O1347">
        <v>1090</v>
      </c>
      <c r="P1347">
        <v>0.46581196581196599</v>
      </c>
      <c r="Q1347">
        <v>0</v>
      </c>
      <c r="R1347">
        <v>0</v>
      </c>
      <c r="S1347">
        <v>5</v>
      </c>
      <c r="T1347">
        <v>2340</v>
      </c>
    </row>
    <row r="1348" spans="1:20">
      <c r="A1348" t="s">
        <v>1731</v>
      </c>
      <c r="B1348" s="1">
        <v>45626</v>
      </c>
      <c r="C1348">
        <v>48</v>
      </c>
      <c r="D1348">
        <v>11</v>
      </c>
      <c r="E1348" t="s">
        <v>1516</v>
      </c>
      <c r="F1348" t="s">
        <v>68</v>
      </c>
      <c r="G1348" t="s">
        <v>26</v>
      </c>
      <c r="H1348">
        <v>2</v>
      </c>
      <c r="I1348">
        <v>361</v>
      </c>
      <c r="J1348">
        <v>5</v>
      </c>
      <c r="K1348" t="s">
        <v>1937</v>
      </c>
      <c r="L1348">
        <v>150</v>
      </c>
      <c r="M1348">
        <v>722</v>
      </c>
      <c r="N1348">
        <v>300</v>
      </c>
      <c r="O1348">
        <v>422</v>
      </c>
      <c r="P1348">
        <v>0.58448753462603897</v>
      </c>
      <c r="Q1348">
        <v>0</v>
      </c>
      <c r="R1348">
        <v>0</v>
      </c>
      <c r="S1348">
        <v>2</v>
      </c>
      <c r="T1348">
        <v>722</v>
      </c>
    </row>
    <row r="1349" spans="1:20">
      <c r="A1349" t="s">
        <v>1732</v>
      </c>
      <c r="B1349" s="1">
        <v>45627</v>
      </c>
      <c r="C1349">
        <v>48</v>
      </c>
      <c r="D1349">
        <v>12</v>
      </c>
      <c r="E1349" t="s">
        <v>1734</v>
      </c>
      <c r="F1349" t="s">
        <v>25</v>
      </c>
      <c r="G1349" t="s">
        <v>26</v>
      </c>
      <c r="H1349">
        <v>5</v>
      </c>
      <c r="I1349">
        <v>1000</v>
      </c>
      <c r="J1349">
        <v>0</v>
      </c>
      <c r="K1349" t="s">
        <v>1940</v>
      </c>
      <c r="L1349">
        <v>400</v>
      </c>
      <c r="M1349">
        <v>5000</v>
      </c>
      <c r="N1349">
        <v>2000</v>
      </c>
      <c r="O1349">
        <v>3000</v>
      </c>
      <c r="P1349">
        <v>0.6</v>
      </c>
      <c r="Q1349">
        <v>0</v>
      </c>
      <c r="R1349">
        <v>0</v>
      </c>
      <c r="S1349">
        <v>5</v>
      </c>
      <c r="T1349">
        <v>5000</v>
      </c>
    </row>
    <row r="1350" spans="1:20">
      <c r="A1350" t="s">
        <v>1735</v>
      </c>
      <c r="B1350" s="1">
        <v>45627</v>
      </c>
      <c r="C1350">
        <v>48</v>
      </c>
      <c r="D1350">
        <v>12</v>
      </c>
      <c r="E1350" t="s">
        <v>1734</v>
      </c>
      <c r="F1350" t="s">
        <v>39</v>
      </c>
      <c r="G1350" t="s">
        <v>14</v>
      </c>
      <c r="H1350">
        <v>5</v>
      </c>
      <c r="I1350">
        <v>836</v>
      </c>
      <c r="J1350">
        <v>5</v>
      </c>
      <c r="K1350" t="s">
        <v>1921</v>
      </c>
      <c r="L1350">
        <v>400</v>
      </c>
      <c r="M1350">
        <v>4180</v>
      </c>
      <c r="N1350">
        <v>2000</v>
      </c>
      <c r="O1350">
        <v>2180</v>
      </c>
      <c r="P1350">
        <v>0.52153110047846896</v>
      </c>
      <c r="Q1350">
        <v>0</v>
      </c>
      <c r="R1350">
        <v>0</v>
      </c>
      <c r="S1350">
        <v>5</v>
      </c>
      <c r="T1350">
        <v>4180</v>
      </c>
    </row>
    <row r="1351" spans="1:20">
      <c r="A1351" t="s">
        <v>1736</v>
      </c>
      <c r="B1351" s="1">
        <v>45628</v>
      </c>
      <c r="C1351">
        <v>49</v>
      </c>
      <c r="D1351">
        <v>12</v>
      </c>
      <c r="E1351" t="s">
        <v>1734</v>
      </c>
      <c r="F1351" t="s">
        <v>35</v>
      </c>
      <c r="G1351" t="s">
        <v>17</v>
      </c>
      <c r="H1351">
        <v>1</v>
      </c>
      <c r="I1351">
        <v>3150</v>
      </c>
      <c r="J1351">
        <v>0</v>
      </c>
      <c r="K1351" t="s">
        <v>1942</v>
      </c>
      <c r="L1351">
        <v>1500</v>
      </c>
      <c r="M1351">
        <v>3150</v>
      </c>
      <c r="N1351">
        <v>1500</v>
      </c>
      <c r="O1351">
        <v>1650</v>
      </c>
      <c r="P1351">
        <v>0.52380952380952395</v>
      </c>
      <c r="Q1351">
        <v>0</v>
      </c>
      <c r="R1351">
        <v>0</v>
      </c>
      <c r="S1351">
        <v>1</v>
      </c>
      <c r="T1351">
        <v>3150</v>
      </c>
    </row>
    <row r="1352" spans="1:20">
      <c r="A1352" t="s">
        <v>1738</v>
      </c>
      <c r="B1352" s="1">
        <v>45628</v>
      </c>
      <c r="C1352">
        <v>49</v>
      </c>
      <c r="D1352">
        <v>12</v>
      </c>
      <c r="E1352" t="s">
        <v>1734</v>
      </c>
      <c r="F1352" t="s">
        <v>115</v>
      </c>
      <c r="G1352" t="s">
        <v>23</v>
      </c>
      <c r="H1352">
        <v>5</v>
      </c>
      <c r="I1352">
        <v>1200</v>
      </c>
      <c r="J1352">
        <v>0</v>
      </c>
      <c r="K1352" t="s">
        <v>1926</v>
      </c>
      <c r="L1352">
        <v>600</v>
      </c>
      <c r="M1352">
        <v>6000</v>
      </c>
      <c r="N1352">
        <v>3000</v>
      </c>
      <c r="O1352">
        <v>3000</v>
      </c>
      <c r="P1352">
        <v>0.5</v>
      </c>
      <c r="Q1352">
        <v>0</v>
      </c>
      <c r="R1352">
        <v>0</v>
      </c>
      <c r="S1352">
        <v>5</v>
      </c>
      <c r="T1352">
        <v>6000</v>
      </c>
    </row>
    <row r="1353" spans="1:20">
      <c r="A1353" t="s">
        <v>1739</v>
      </c>
      <c r="B1353" s="1">
        <v>45628</v>
      </c>
      <c r="C1353">
        <v>49</v>
      </c>
      <c r="D1353">
        <v>12</v>
      </c>
      <c r="E1353" t="s">
        <v>1734</v>
      </c>
      <c r="F1353" t="s">
        <v>58</v>
      </c>
      <c r="G1353" t="s">
        <v>23</v>
      </c>
      <c r="H1353">
        <v>1</v>
      </c>
      <c r="I1353">
        <v>1000</v>
      </c>
      <c r="J1353">
        <v>0</v>
      </c>
      <c r="K1353" t="s">
        <v>1927</v>
      </c>
      <c r="L1353">
        <v>500</v>
      </c>
      <c r="M1353">
        <v>1000</v>
      </c>
      <c r="N1353">
        <v>500</v>
      </c>
      <c r="O1353">
        <v>500</v>
      </c>
      <c r="P1353">
        <v>0.5</v>
      </c>
      <c r="Q1353">
        <v>0</v>
      </c>
      <c r="R1353">
        <v>0</v>
      </c>
      <c r="S1353">
        <v>1</v>
      </c>
      <c r="T1353">
        <v>1000</v>
      </c>
    </row>
    <row r="1354" spans="1:20">
      <c r="A1354" t="s">
        <v>1740</v>
      </c>
      <c r="B1354" s="1">
        <v>45628</v>
      </c>
      <c r="C1354">
        <v>49</v>
      </c>
      <c r="D1354">
        <v>12</v>
      </c>
      <c r="E1354" t="s">
        <v>1734</v>
      </c>
      <c r="F1354" t="s">
        <v>86</v>
      </c>
      <c r="G1354" t="s">
        <v>17</v>
      </c>
      <c r="H1354">
        <v>3</v>
      </c>
      <c r="I1354">
        <v>940</v>
      </c>
      <c r="J1354">
        <v>0</v>
      </c>
      <c r="K1354" t="s">
        <v>1944</v>
      </c>
      <c r="L1354">
        <v>450</v>
      </c>
      <c r="M1354">
        <v>2820</v>
      </c>
      <c r="N1354">
        <v>1350</v>
      </c>
      <c r="O1354">
        <v>1470</v>
      </c>
      <c r="P1354">
        <v>0.52127659574468099</v>
      </c>
      <c r="Q1354">
        <v>0</v>
      </c>
      <c r="R1354">
        <v>0</v>
      </c>
      <c r="S1354">
        <v>3</v>
      </c>
      <c r="T1354">
        <v>2820</v>
      </c>
    </row>
    <row r="1355" spans="1:20">
      <c r="A1355" t="s">
        <v>1741</v>
      </c>
      <c r="B1355" s="1">
        <v>45629</v>
      </c>
      <c r="C1355">
        <v>49</v>
      </c>
      <c r="D1355">
        <v>12</v>
      </c>
      <c r="E1355" t="s">
        <v>1734</v>
      </c>
      <c r="F1355" t="s">
        <v>51</v>
      </c>
      <c r="G1355" t="s">
        <v>26</v>
      </c>
      <c r="H1355">
        <v>4</v>
      </c>
      <c r="I1355">
        <v>450</v>
      </c>
      <c r="J1355">
        <v>10</v>
      </c>
      <c r="K1355" t="s">
        <v>1936</v>
      </c>
      <c r="L1355">
        <v>200</v>
      </c>
      <c r="M1355">
        <v>1800</v>
      </c>
      <c r="N1355">
        <v>800</v>
      </c>
      <c r="O1355">
        <v>1000</v>
      </c>
      <c r="P1355">
        <v>0.55555555555555602</v>
      </c>
      <c r="Q1355">
        <v>0</v>
      </c>
      <c r="R1355">
        <v>0</v>
      </c>
      <c r="S1355">
        <v>4</v>
      </c>
      <c r="T1355">
        <v>1800</v>
      </c>
    </row>
    <row r="1356" spans="1:20">
      <c r="A1356" t="s">
        <v>1743</v>
      </c>
      <c r="B1356" s="1">
        <v>45629</v>
      </c>
      <c r="C1356">
        <v>49</v>
      </c>
      <c r="D1356">
        <v>12</v>
      </c>
      <c r="E1356" t="s">
        <v>1734</v>
      </c>
      <c r="F1356" t="s">
        <v>119</v>
      </c>
      <c r="G1356" t="s">
        <v>14</v>
      </c>
      <c r="H1356">
        <v>3</v>
      </c>
      <c r="I1356">
        <v>731.5</v>
      </c>
      <c r="J1356">
        <v>5</v>
      </c>
      <c r="K1356" t="s">
        <v>1920</v>
      </c>
      <c r="L1356">
        <v>350</v>
      </c>
      <c r="M1356">
        <v>2194.5</v>
      </c>
      <c r="N1356">
        <v>1050</v>
      </c>
      <c r="O1356">
        <v>1144.5</v>
      </c>
      <c r="P1356">
        <v>0.52153110047846896</v>
      </c>
      <c r="Q1356">
        <v>0</v>
      </c>
      <c r="R1356">
        <v>0</v>
      </c>
      <c r="S1356">
        <v>3</v>
      </c>
      <c r="T1356">
        <v>2194.5</v>
      </c>
    </row>
    <row r="1357" spans="1:20">
      <c r="A1357" t="s">
        <v>1744</v>
      </c>
      <c r="B1357" s="1">
        <v>45629</v>
      </c>
      <c r="C1357">
        <v>49</v>
      </c>
      <c r="D1357">
        <v>12</v>
      </c>
      <c r="E1357" t="s">
        <v>1734</v>
      </c>
      <c r="F1357" t="s">
        <v>94</v>
      </c>
      <c r="G1357" t="s">
        <v>17</v>
      </c>
      <c r="H1357">
        <v>3</v>
      </c>
      <c r="I1357">
        <v>1680</v>
      </c>
      <c r="J1357">
        <v>0</v>
      </c>
      <c r="K1357" t="s">
        <v>1943</v>
      </c>
      <c r="L1357">
        <v>800</v>
      </c>
      <c r="M1357">
        <v>5040</v>
      </c>
      <c r="N1357">
        <v>2400</v>
      </c>
      <c r="O1357">
        <v>2640</v>
      </c>
      <c r="P1357">
        <v>0.52380952380952395</v>
      </c>
      <c r="Q1357">
        <v>0</v>
      </c>
      <c r="R1357">
        <v>0</v>
      </c>
      <c r="S1357">
        <v>3</v>
      </c>
      <c r="T1357">
        <v>5040</v>
      </c>
    </row>
    <row r="1358" spans="1:20">
      <c r="A1358" t="s">
        <v>1745</v>
      </c>
      <c r="B1358" s="1">
        <v>45629</v>
      </c>
      <c r="C1358">
        <v>49</v>
      </c>
      <c r="D1358">
        <v>12</v>
      </c>
      <c r="E1358" t="s">
        <v>1734</v>
      </c>
      <c r="F1358" t="s">
        <v>39</v>
      </c>
      <c r="G1358" t="s">
        <v>14</v>
      </c>
      <c r="H1358">
        <v>3</v>
      </c>
      <c r="I1358">
        <v>836</v>
      </c>
      <c r="J1358">
        <v>5</v>
      </c>
      <c r="K1358" t="s">
        <v>1921</v>
      </c>
      <c r="L1358">
        <v>400</v>
      </c>
      <c r="M1358">
        <v>2508</v>
      </c>
      <c r="N1358">
        <v>1200</v>
      </c>
      <c r="O1358">
        <v>1308</v>
      </c>
      <c r="P1358">
        <v>0.52153110047846896</v>
      </c>
      <c r="Q1358">
        <v>0</v>
      </c>
      <c r="R1358">
        <v>0</v>
      </c>
      <c r="S1358">
        <v>3</v>
      </c>
      <c r="T1358">
        <v>2508</v>
      </c>
    </row>
    <row r="1359" spans="1:20">
      <c r="A1359" t="s">
        <v>1746</v>
      </c>
      <c r="B1359" s="1">
        <v>45630</v>
      </c>
      <c r="C1359">
        <v>49</v>
      </c>
      <c r="D1359">
        <v>12</v>
      </c>
      <c r="E1359" t="s">
        <v>1734</v>
      </c>
      <c r="F1359" t="s">
        <v>146</v>
      </c>
      <c r="G1359" t="s">
        <v>20</v>
      </c>
      <c r="H1359">
        <v>4</v>
      </c>
      <c r="I1359">
        <v>630</v>
      </c>
      <c r="J1359">
        <v>0</v>
      </c>
      <c r="K1359" t="s">
        <v>1934</v>
      </c>
      <c r="L1359">
        <v>350</v>
      </c>
      <c r="M1359">
        <v>2520</v>
      </c>
      <c r="N1359">
        <v>1400</v>
      </c>
      <c r="O1359">
        <v>1120</v>
      </c>
      <c r="P1359">
        <v>0.44444444444444398</v>
      </c>
      <c r="Q1359">
        <v>0</v>
      </c>
      <c r="R1359">
        <v>0</v>
      </c>
      <c r="S1359">
        <v>4</v>
      </c>
      <c r="T1359">
        <v>2520</v>
      </c>
    </row>
    <row r="1360" spans="1:20">
      <c r="A1360" t="s">
        <v>1748</v>
      </c>
      <c r="B1360" s="1">
        <v>45630</v>
      </c>
      <c r="C1360">
        <v>49</v>
      </c>
      <c r="D1360">
        <v>12</v>
      </c>
      <c r="E1360" t="s">
        <v>1734</v>
      </c>
      <c r="F1360" t="s">
        <v>25</v>
      </c>
      <c r="G1360" t="s">
        <v>26</v>
      </c>
      <c r="H1360">
        <v>5</v>
      </c>
      <c r="I1360">
        <v>1000</v>
      </c>
      <c r="J1360">
        <v>0</v>
      </c>
      <c r="K1360" t="s">
        <v>1940</v>
      </c>
      <c r="L1360">
        <v>400</v>
      </c>
      <c r="M1360">
        <v>5000</v>
      </c>
      <c r="N1360">
        <v>2000</v>
      </c>
      <c r="O1360">
        <v>3000</v>
      </c>
      <c r="P1360">
        <v>0.6</v>
      </c>
      <c r="Q1360">
        <v>0</v>
      </c>
      <c r="R1360">
        <v>0</v>
      </c>
      <c r="S1360">
        <v>5</v>
      </c>
      <c r="T1360">
        <v>5000</v>
      </c>
    </row>
    <row r="1361" spans="1:20">
      <c r="A1361" t="s">
        <v>1749</v>
      </c>
      <c r="B1361" s="1">
        <v>45630</v>
      </c>
      <c r="C1361">
        <v>49</v>
      </c>
      <c r="D1361">
        <v>12</v>
      </c>
      <c r="E1361" t="s">
        <v>1734</v>
      </c>
      <c r="F1361" t="s">
        <v>58</v>
      </c>
      <c r="G1361" t="s">
        <v>23</v>
      </c>
      <c r="H1361">
        <v>3</v>
      </c>
      <c r="I1361">
        <v>1000</v>
      </c>
      <c r="J1361">
        <v>0</v>
      </c>
      <c r="K1361" t="s">
        <v>1927</v>
      </c>
      <c r="L1361">
        <v>500</v>
      </c>
      <c r="M1361">
        <v>3000</v>
      </c>
      <c r="N1361">
        <v>1500</v>
      </c>
      <c r="O1361">
        <v>1500</v>
      </c>
      <c r="P1361">
        <v>0.5</v>
      </c>
      <c r="Q1361">
        <v>0</v>
      </c>
      <c r="R1361">
        <v>0</v>
      </c>
      <c r="S1361">
        <v>3</v>
      </c>
      <c r="T1361">
        <v>3000</v>
      </c>
    </row>
    <row r="1362" spans="1:20">
      <c r="A1362" t="s">
        <v>1750</v>
      </c>
      <c r="B1362" s="1">
        <v>45630</v>
      </c>
      <c r="C1362">
        <v>49</v>
      </c>
      <c r="D1362">
        <v>12</v>
      </c>
      <c r="E1362" t="s">
        <v>1734</v>
      </c>
      <c r="F1362" t="s">
        <v>35</v>
      </c>
      <c r="G1362" t="s">
        <v>17</v>
      </c>
      <c r="H1362">
        <v>2</v>
      </c>
      <c r="I1362">
        <v>3150</v>
      </c>
      <c r="J1362">
        <v>0</v>
      </c>
      <c r="K1362" t="s">
        <v>1942</v>
      </c>
      <c r="L1362">
        <v>1500</v>
      </c>
      <c r="M1362">
        <v>6300</v>
      </c>
      <c r="N1362">
        <v>3000</v>
      </c>
      <c r="O1362">
        <v>3300</v>
      </c>
      <c r="P1362">
        <v>0.52380952380952395</v>
      </c>
      <c r="Q1362">
        <v>0</v>
      </c>
      <c r="R1362">
        <v>0</v>
      </c>
      <c r="S1362">
        <v>2</v>
      </c>
      <c r="T1362">
        <v>6300</v>
      </c>
    </row>
    <row r="1363" spans="1:20">
      <c r="A1363" t="s">
        <v>1751</v>
      </c>
      <c r="B1363" s="1">
        <v>45630</v>
      </c>
      <c r="C1363">
        <v>49</v>
      </c>
      <c r="D1363">
        <v>12</v>
      </c>
      <c r="E1363" t="s">
        <v>1734</v>
      </c>
      <c r="F1363" t="s">
        <v>86</v>
      </c>
      <c r="G1363" t="s">
        <v>17</v>
      </c>
      <c r="H1363">
        <v>3</v>
      </c>
      <c r="I1363">
        <v>893</v>
      </c>
      <c r="J1363">
        <v>5</v>
      </c>
      <c r="K1363" t="s">
        <v>1944</v>
      </c>
      <c r="L1363">
        <v>450</v>
      </c>
      <c r="M1363">
        <v>2679</v>
      </c>
      <c r="N1363">
        <v>1350</v>
      </c>
      <c r="O1363">
        <v>1329</v>
      </c>
      <c r="P1363">
        <v>0.496080627099664</v>
      </c>
      <c r="Q1363">
        <v>0</v>
      </c>
      <c r="R1363">
        <v>0</v>
      </c>
      <c r="S1363">
        <v>3</v>
      </c>
      <c r="T1363">
        <v>2679</v>
      </c>
    </row>
    <row r="1364" spans="1:20">
      <c r="A1364" t="s">
        <v>1752</v>
      </c>
      <c r="B1364" s="1">
        <v>45631</v>
      </c>
      <c r="C1364">
        <v>49</v>
      </c>
      <c r="D1364">
        <v>12</v>
      </c>
      <c r="E1364" t="s">
        <v>1734</v>
      </c>
      <c r="F1364" t="s">
        <v>25</v>
      </c>
      <c r="G1364" t="s">
        <v>26</v>
      </c>
      <c r="H1364">
        <v>4</v>
      </c>
      <c r="I1364">
        <v>1000</v>
      </c>
      <c r="J1364">
        <v>0</v>
      </c>
      <c r="K1364" t="s">
        <v>1940</v>
      </c>
      <c r="L1364">
        <v>400</v>
      </c>
      <c r="M1364">
        <v>4000</v>
      </c>
      <c r="N1364">
        <v>1600</v>
      </c>
      <c r="O1364">
        <v>2400</v>
      </c>
      <c r="P1364">
        <v>0.6</v>
      </c>
      <c r="Q1364">
        <v>0</v>
      </c>
      <c r="R1364">
        <v>0</v>
      </c>
      <c r="S1364">
        <v>4</v>
      </c>
      <c r="T1364">
        <v>4000</v>
      </c>
    </row>
    <row r="1365" spans="1:20">
      <c r="A1365" t="s">
        <v>1754</v>
      </c>
      <c r="B1365" s="1">
        <v>45631</v>
      </c>
      <c r="C1365">
        <v>49</v>
      </c>
      <c r="D1365">
        <v>12</v>
      </c>
      <c r="E1365" t="s">
        <v>1734</v>
      </c>
      <c r="F1365" t="s">
        <v>86</v>
      </c>
      <c r="G1365" t="s">
        <v>17</v>
      </c>
      <c r="H1365">
        <v>3</v>
      </c>
      <c r="I1365">
        <v>893</v>
      </c>
      <c r="J1365">
        <v>5</v>
      </c>
      <c r="K1365" t="s">
        <v>1944</v>
      </c>
      <c r="L1365">
        <v>450</v>
      </c>
      <c r="M1365">
        <v>2679</v>
      </c>
      <c r="N1365">
        <v>1350</v>
      </c>
      <c r="O1365">
        <v>1329</v>
      </c>
      <c r="P1365">
        <v>0.496080627099664</v>
      </c>
      <c r="Q1365">
        <v>0</v>
      </c>
      <c r="R1365">
        <v>0</v>
      </c>
      <c r="S1365">
        <v>3</v>
      </c>
      <c r="T1365">
        <v>2679</v>
      </c>
    </row>
    <row r="1366" spans="1:20">
      <c r="A1366" t="s">
        <v>1755</v>
      </c>
      <c r="B1366" s="1">
        <v>45631</v>
      </c>
      <c r="C1366">
        <v>49</v>
      </c>
      <c r="D1366">
        <v>12</v>
      </c>
      <c r="E1366" t="s">
        <v>1734</v>
      </c>
      <c r="F1366" t="s">
        <v>39</v>
      </c>
      <c r="G1366" t="s">
        <v>14</v>
      </c>
      <c r="H1366">
        <v>3</v>
      </c>
      <c r="I1366">
        <v>880</v>
      </c>
      <c r="J1366">
        <v>0</v>
      </c>
      <c r="K1366" t="s">
        <v>1921</v>
      </c>
      <c r="L1366">
        <v>400</v>
      </c>
      <c r="M1366">
        <v>2640</v>
      </c>
      <c r="N1366">
        <v>1200</v>
      </c>
      <c r="O1366">
        <v>1440</v>
      </c>
      <c r="P1366">
        <v>0.54545454545454497</v>
      </c>
      <c r="Q1366">
        <v>0</v>
      </c>
      <c r="R1366">
        <v>0</v>
      </c>
      <c r="S1366">
        <v>3</v>
      </c>
      <c r="T1366">
        <v>2640</v>
      </c>
    </row>
    <row r="1367" spans="1:20">
      <c r="A1367" t="s">
        <v>1756</v>
      </c>
      <c r="B1367" s="1">
        <v>45631</v>
      </c>
      <c r="C1367">
        <v>49</v>
      </c>
      <c r="D1367">
        <v>12</v>
      </c>
      <c r="E1367" t="s">
        <v>1734</v>
      </c>
      <c r="F1367" t="s">
        <v>82</v>
      </c>
      <c r="G1367" t="s">
        <v>20</v>
      </c>
      <c r="H1367">
        <v>1</v>
      </c>
      <c r="I1367">
        <v>900</v>
      </c>
      <c r="J1367">
        <v>0</v>
      </c>
      <c r="K1367" t="s">
        <v>1933</v>
      </c>
      <c r="L1367">
        <v>500</v>
      </c>
      <c r="M1367">
        <v>900</v>
      </c>
      <c r="N1367">
        <v>500</v>
      </c>
      <c r="O1367">
        <v>400</v>
      </c>
      <c r="P1367">
        <v>0.44444444444444398</v>
      </c>
      <c r="Q1367">
        <v>0</v>
      </c>
      <c r="R1367">
        <v>0</v>
      </c>
      <c r="S1367">
        <v>1</v>
      </c>
      <c r="T1367">
        <v>900</v>
      </c>
    </row>
    <row r="1368" spans="1:20">
      <c r="A1368" t="s">
        <v>1757</v>
      </c>
      <c r="B1368" s="1">
        <v>45631</v>
      </c>
      <c r="C1368">
        <v>49</v>
      </c>
      <c r="D1368">
        <v>12</v>
      </c>
      <c r="E1368" t="s">
        <v>1734</v>
      </c>
      <c r="F1368" t="s">
        <v>94</v>
      </c>
      <c r="G1368" t="s">
        <v>17</v>
      </c>
      <c r="H1368">
        <v>4</v>
      </c>
      <c r="I1368">
        <v>1680</v>
      </c>
      <c r="J1368">
        <v>0</v>
      </c>
      <c r="K1368" t="s">
        <v>1943</v>
      </c>
      <c r="L1368">
        <v>800</v>
      </c>
      <c r="M1368">
        <v>6720</v>
      </c>
      <c r="N1368">
        <v>3200</v>
      </c>
      <c r="O1368">
        <v>3520</v>
      </c>
      <c r="P1368">
        <v>0.52380952380952395</v>
      </c>
      <c r="Q1368">
        <v>0</v>
      </c>
      <c r="R1368">
        <v>0</v>
      </c>
      <c r="S1368">
        <v>4</v>
      </c>
      <c r="T1368">
        <v>6720</v>
      </c>
    </row>
    <row r="1369" spans="1:20">
      <c r="A1369" t="s">
        <v>1758</v>
      </c>
      <c r="B1369" s="1">
        <v>45631</v>
      </c>
      <c r="C1369">
        <v>49</v>
      </c>
      <c r="D1369">
        <v>12</v>
      </c>
      <c r="E1369" t="s">
        <v>1734</v>
      </c>
      <c r="F1369" t="s">
        <v>42</v>
      </c>
      <c r="G1369" t="s">
        <v>23</v>
      </c>
      <c r="H1369">
        <v>4</v>
      </c>
      <c r="I1369">
        <v>540</v>
      </c>
      <c r="J1369">
        <v>10</v>
      </c>
      <c r="K1369" t="s">
        <v>1928</v>
      </c>
      <c r="L1369">
        <v>300</v>
      </c>
      <c r="M1369">
        <v>2160</v>
      </c>
      <c r="N1369">
        <v>1200</v>
      </c>
      <c r="O1369">
        <v>960</v>
      </c>
      <c r="P1369">
        <v>0.44444444444444398</v>
      </c>
      <c r="Q1369">
        <v>0</v>
      </c>
      <c r="R1369">
        <v>0</v>
      </c>
      <c r="S1369">
        <v>4</v>
      </c>
      <c r="T1369">
        <v>2160</v>
      </c>
    </row>
    <row r="1370" spans="1:20">
      <c r="A1370" t="s">
        <v>1759</v>
      </c>
      <c r="B1370" s="1">
        <v>45631</v>
      </c>
      <c r="C1370">
        <v>49</v>
      </c>
      <c r="D1370">
        <v>12</v>
      </c>
      <c r="E1370" t="s">
        <v>1734</v>
      </c>
      <c r="F1370" t="s">
        <v>35</v>
      </c>
      <c r="G1370" t="s">
        <v>17</v>
      </c>
      <c r="H1370">
        <v>2</v>
      </c>
      <c r="I1370">
        <v>2677.5</v>
      </c>
      <c r="J1370">
        <v>15</v>
      </c>
      <c r="K1370" t="s">
        <v>1942</v>
      </c>
      <c r="L1370">
        <v>1500</v>
      </c>
      <c r="M1370">
        <v>5355</v>
      </c>
      <c r="N1370">
        <v>3000</v>
      </c>
      <c r="O1370">
        <v>2355</v>
      </c>
      <c r="P1370">
        <v>0.43977591036414598</v>
      </c>
      <c r="Q1370">
        <v>2</v>
      </c>
      <c r="R1370">
        <v>2</v>
      </c>
      <c r="S1370">
        <v>0</v>
      </c>
      <c r="T1370">
        <v>0</v>
      </c>
    </row>
    <row r="1371" spans="1:20">
      <c r="A1371" t="s">
        <v>1760</v>
      </c>
      <c r="B1371" s="1">
        <v>45631</v>
      </c>
      <c r="C1371">
        <v>49</v>
      </c>
      <c r="D1371">
        <v>12</v>
      </c>
      <c r="E1371" t="s">
        <v>1734</v>
      </c>
      <c r="F1371" t="s">
        <v>187</v>
      </c>
      <c r="G1371" t="s">
        <v>14</v>
      </c>
      <c r="H1371">
        <v>4</v>
      </c>
      <c r="I1371">
        <v>3740</v>
      </c>
      <c r="J1371">
        <v>15</v>
      </c>
      <c r="K1371" t="s">
        <v>1924</v>
      </c>
      <c r="L1371">
        <v>2000</v>
      </c>
      <c r="M1371">
        <v>14960</v>
      </c>
      <c r="N1371">
        <v>8000</v>
      </c>
      <c r="O1371">
        <v>6960</v>
      </c>
      <c r="P1371">
        <v>0.46524064171122997</v>
      </c>
      <c r="Q1371">
        <v>0</v>
      </c>
      <c r="R1371">
        <v>0</v>
      </c>
      <c r="S1371">
        <v>4</v>
      </c>
      <c r="T1371">
        <v>14960</v>
      </c>
    </row>
    <row r="1372" spans="1:20">
      <c r="A1372" t="s">
        <v>1761</v>
      </c>
      <c r="B1372" s="1">
        <v>45632</v>
      </c>
      <c r="C1372">
        <v>49</v>
      </c>
      <c r="D1372">
        <v>12</v>
      </c>
      <c r="E1372" t="s">
        <v>1734</v>
      </c>
      <c r="F1372" t="s">
        <v>51</v>
      </c>
      <c r="G1372" t="s">
        <v>26</v>
      </c>
      <c r="H1372">
        <v>4</v>
      </c>
      <c r="I1372">
        <v>475</v>
      </c>
      <c r="J1372">
        <v>5</v>
      </c>
      <c r="K1372" t="s">
        <v>1936</v>
      </c>
      <c r="L1372">
        <v>200</v>
      </c>
      <c r="M1372">
        <v>1900</v>
      </c>
      <c r="N1372">
        <v>800</v>
      </c>
      <c r="O1372">
        <v>1100</v>
      </c>
      <c r="P1372">
        <v>0.57894736842105299</v>
      </c>
      <c r="Q1372">
        <v>0</v>
      </c>
      <c r="R1372">
        <v>0</v>
      </c>
      <c r="S1372">
        <v>4</v>
      </c>
      <c r="T1372">
        <v>1900</v>
      </c>
    </row>
    <row r="1373" spans="1:20">
      <c r="A1373" t="s">
        <v>1763</v>
      </c>
      <c r="B1373" s="1">
        <v>45632</v>
      </c>
      <c r="C1373">
        <v>49</v>
      </c>
      <c r="D1373">
        <v>12</v>
      </c>
      <c r="E1373" t="s">
        <v>1734</v>
      </c>
      <c r="F1373" t="s">
        <v>13</v>
      </c>
      <c r="G1373" t="s">
        <v>14</v>
      </c>
      <c r="H1373">
        <v>5</v>
      </c>
      <c r="I1373">
        <v>432</v>
      </c>
      <c r="J1373">
        <v>10</v>
      </c>
      <c r="K1373" t="s">
        <v>1925</v>
      </c>
      <c r="L1373">
        <v>220</v>
      </c>
      <c r="M1373">
        <v>2160</v>
      </c>
      <c r="N1373">
        <v>1100</v>
      </c>
      <c r="O1373">
        <v>1060</v>
      </c>
      <c r="P1373">
        <v>0.49074074074074098</v>
      </c>
      <c r="Q1373">
        <v>0</v>
      </c>
      <c r="R1373">
        <v>0</v>
      </c>
      <c r="S1373">
        <v>5</v>
      </c>
      <c r="T1373">
        <v>2160</v>
      </c>
    </row>
    <row r="1374" spans="1:20">
      <c r="A1374" t="s">
        <v>1764</v>
      </c>
      <c r="B1374" s="1">
        <v>45633</v>
      </c>
      <c r="C1374">
        <v>49</v>
      </c>
      <c r="D1374">
        <v>12</v>
      </c>
      <c r="E1374" t="s">
        <v>1734</v>
      </c>
      <c r="F1374" t="s">
        <v>97</v>
      </c>
      <c r="G1374" t="s">
        <v>20</v>
      </c>
      <c r="H1374">
        <v>4</v>
      </c>
      <c r="I1374">
        <v>1782</v>
      </c>
      <c r="J1374">
        <v>10</v>
      </c>
      <c r="K1374" t="s">
        <v>1932</v>
      </c>
      <c r="L1374">
        <v>1100</v>
      </c>
      <c r="M1374">
        <v>7128</v>
      </c>
      <c r="N1374">
        <v>4400</v>
      </c>
      <c r="O1374">
        <v>2728</v>
      </c>
      <c r="P1374">
        <v>0.38271604938271597</v>
      </c>
      <c r="Q1374">
        <v>0</v>
      </c>
      <c r="R1374">
        <v>0</v>
      </c>
      <c r="S1374">
        <v>4</v>
      </c>
      <c r="T1374">
        <v>7128</v>
      </c>
    </row>
    <row r="1375" spans="1:20">
      <c r="A1375" t="s">
        <v>1766</v>
      </c>
      <c r="B1375" s="1">
        <v>45633</v>
      </c>
      <c r="C1375">
        <v>49</v>
      </c>
      <c r="D1375">
        <v>12</v>
      </c>
      <c r="E1375" t="s">
        <v>1734</v>
      </c>
      <c r="F1375" t="s">
        <v>25</v>
      </c>
      <c r="G1375" t="s">
        <v>26</v>
      </c>
      <c r="H1375">
        <v>5</v>
      </c>
      <c r="I1375">
        <v>1000</v>
      </c>
      <c r="J1375">
        <v>0</v>
      </c>
      <c r="K1375" t="s">
        <v>1940</v>
      </c>
      <c r="L1375">
        <v>400</v>
      </c>
      <c r="M1375">
        <v>5000</v>
      </c>
      <c r="N1375">
        <v>2000</v>
      </c>
      <c r="O1375">
        <v>3000</v>
      </c>
      <c r="P1375">
        <v>0.6</v>
      </c>
      <c r="Q1375">
        <v>0</v>
      </c>
      <c r="R1375">
        <v>0</v>
      </c>
      <c r="S1375">
        <v>5</v>
      </c>
      <c r="T1375">
        <v>5000</v>
      </c>
    </row>
    <row r="1376" spans="1:20">
      <c r="A1376" t="s">
        <v>1767</v>
      </c>
      <c r="B1376" s="1">
        <v>45633</v>
      </c>
      <c r="C1376">
        <v>49</v>
      </c>
      <c r="D1376">
        <v>12</v>
      </c>
      <c r="E1376" t="s">
        <v>1734</v>
      </c>
      <c r="F1376" t="s">
        <v>82</v>
      </c>
      <c r="G1376" t="s">
        <v>20</v>
      </c>
      <c r="H1376">
        <v>2</v>
      </c>
      <c r="I1376">
        <v>810</v>
      </c>
      <c r="J1376">
        <v>10</v>
      </c>
      <c r="K1376" t="s">
        <v>1933</v>
      </c>
      <c r="L1376">
        <v>500</v>
      </c>
      <c r="M1376">
        <v>1620</v>
      </c>
      <c r="N1376">
        <v>1000</v>
      </c>
      <c r="O1376">
        <v>620</v>
      </c>
      <c r="P1376">
        <v>0.38271604938271597</v>
      </c>
      <c r="Q1376">
        <v>0</v>
      </c>
      <c r="R1376">
        <v>0</v>
      </c>
      <c r="S1376">
        <v>2</v>
      </c>
      <c r="T1376">
        <v>1620</v>
      </c>
    </row>
    <row r="1377" spans="1:20">
      <c r="A1377" t="s">
        <v>1768</v>
      </c>
      <c r="B1377" s="1">
        <v>45633</v>
      </c>
      <c r="C1377">
        <v>49</v>
      </c>
      <c r="D1377">
        <v>12</v>
      </c>
      <c r="E1377" t="s">
        <v>1734</v>
      </c>
      <c r="F1377" t="s">
        <v>25</v>
      </c>
      <c r="G1377" t="s">
        <v>26</v>
      </c>
      <c r="H1377">
        <v>5</v>
      </c>
      <c r="I1377">
        <v>900</v>
      </c>
      <c r="J1377">
        <v>10</v>
      </c>
      <c r="K1377" t="s">
        <v>1940</v>
      </c>
      <c r="L1377">
        <v>400</v>
      </c>
      <c r="M1377">
        <v>4500</v>
      </c>
      <c r="N1377">
        <v>2000</v>
      </c>
      <c r="O1377">
        <v>2500</v>
      </c>
      <c r="P1377">
        <v>0.55555555555555602</v>
      </c>
      <c r="Q1377">
        <v>0</v>
      </c>
      <c r="R1377">
        <v>0</v>
      </c>
      <c r="S1377">
        <v>5</v>
      </c>
      <c r="T1377">
        <v>4500</v>
      </c>
    </row>
    <row r="1378" spans="1:20">
      <c r="A1378" t="s">
        <v>1769</v>
      </c>
      <c r="B1378" s="1">
        <v>45633</v>
      </c>
      <c r="C1378">
        <v>49</v>
      </c>
      <c r="D1378">
        <v>12</v>
      </c>
      <c r="E1378" t="s">
        <v>1734</v>
      </c>
      <c r="F1378" t="s">
        <v>19</v>
      </c>
      <c r="G1378" t="s">
        <v>20</v>
      </c>
      <c r="H1378">
        <v>3</v>
      </c>
      <c r="I1378">
        <v>1620</v>
      </c>
      <c r="J1378">
        <v>0</v>
      </c>
      <c r="K1378" t="s">
        <v>1931</v>
      </c>
      <c r="L1378">
        <v>900</v>
      </c>
      <c r="M1378">
        <v>4860</v>
      </c>
      <c r="N1378">
        <v>2700</v>
      </c>
      <c r="O1378">
        <v>2160</v>
      </c>
      <c r="P1378">
        <v>0.44444444444444398</v>
      </c>
      <c r="Q1378">
        <v>0</v>
      </c>
      <c r="R1378">
        <v>0</v>
      </c>
      <c r="S1378">
        <v>3</v>
      </c>
      <c r="T1378">
        <v>4860</v>
      </c>
    </row>
    <row r="1379" spans="1:20">
      <c r="A1379" t="s">
        <v>1770</v>
      </c>
      <c r="B1379" s="1">
        <v>45634</v>
      </c>
      <c r="C1379">
        <v>49</v>
      </c>
      <c r="D1379">
        <v>12</v>
      </c>
      <c r="E1379" t="s">
        <v>1734</v>
      </c>
      <c r="F1379" t="s">
        <v>68</v>
      </c>
      <c r="G1379" t="s">
        <v>26</v>
      </c>
      <c r="H1379">
        <v>3</v>
      </c>
      <c r="I1379">
        <v>361</v>
      </c>
      <c r="J1379">
        <v>5</v>
      </c>
      <c r="K1379" t="s">
        <v>1937</v>
      </c>
      <c r="L1379">
        <v>150</v>
      </c>
      <c r="M1379">
        <v>1083</v>
      </c>
      <c r="N1379">
        <v>450</v>
      </c>
      <c r="O1379">
        <v>633</v>
      </c>
      <c r="P1379">
        <v>0.58448753462603897</v>
      </c>
      <c r="Q1379">
        <v>0</v>
      </c>
      <c r="R1379">
        <v>0</v>
      </c>
      <c r="S1379">
        <v>3</v>
      </c>
      <c r="T1379">
        <v>1083</v>
      </c>
    </row>
    <row r="1380" spans="1:20">
      <c r="A1380" t="s">
        <v>1772</v>
      </c>
      <c r="B1380" s="1">
        <v>45634</v>
      </c>
      <c r="C1380">
        <v>49</v>
      </c>
      <c r="D1380">
        <v>12</v>
      </c>
      <c r="E1380" t="s">
        <v>1734</v>
      </c>
      <c r="F1380" t="s">
        <v>66</v>
      </c>
      <c r="G1380" t="s">
        <v>17</v>
      </c>
      <c r="H1380">
        <v>1</v>
      </c>
      <c r="I1380">
        <v>1470</v>
      </c>
      <c r="J1380">
        <v>0</v>
      </c>
      <c r="K1380" t="s">
        <v>1941</v>
      </c>
      <c r="L1380">
        <v>700</v>
      </c>
      <c r="M1380">
        <v>1470</v>
      </c>
      <c r="N1380">
        <v>700</v>
      </c>
      <c r="O1380">
        <v>770</v>
      </c>
      <c r="P1380">
        <v>0.52380952380952395</v>
      </c>
      <c r="Q1380">
        <v>0</v>
      </c>
      <c r="R1380">
        <v>0</v>
      </c>
      <c r="S1380">
        <v>1</v>
      </c>
      <c r="T1380">
        <v>1470</v>
      </c>
    </row>
    <row r="1381" spans="1:20">
      <c r="A1381" t="s">
        <v>1773</v>
      </c>
      <c r="B1381" s="1">
        <v>45635</v>
      </c>
      <c r="C1381">
        <v>50</v>
      </c>
      <c r="D1381">
        <v>12</v>
      </c>
      <c r="E1381" t="s">
        <v>1734</v>
      </c>
      <c r="F1381" t="s">
        <v>16</v>
      </c>
      <c r="G1381" t="s">
        <v>17</v>
      </c>
      <c r="H1381">
        <v>3</v>
      </c>
      <c r="I1381">
        <v>468</v>
      </c>
      <c r="J1381">
        <v>10</v>
      </c>
      <c r="K1381" t="s">
        <v>1945</v>
      </c>
      <c r="L1381">
        <v>250</v>
      </c>
      <c r="M1381">
        <v>1404</v>
      </c>
      <c r="N1381">
        <v>750</v>
      </c>
      <c r="O1381">
        <v>654</v>
      </c>
      <c r="P1381">
        <v>0.46581196581196599</v>
      </c>
      <c r="Q1381">
        <v>0</v>
      </c>
      <c r="R1381">
        <v>0</v>
      </c>
      <c r="S1381">
        <v>3</v>
      </c>
      <c r="T1381">
        <v>1404</v>
      </c>
    </row>
    <row r="1382" spans="1:20">
      <c r="A1382" t="s">
        <v>1775</v>
      </c>
      <c r="B1382" s="1">
        <v>45635</v>
      </c>
      <c r="C1382">
        <v>50</v>
      </c>
      <c r="D1382">
        <v>12</v>
      </c>
      <c r="E1382" t="s">
        <v>1734</v>
      </c>
      <c r="F1382" t="s">
        <v>66</v>
      </c>
      <c r="G1382" t="s">
        <v>17</v>
      </c>
      <c r="H1382">
        <v>5</v>
      </c>
      <c r="I1382">
        <v>1323</v>
      </c>
      <c r="J1382">
        <v>10</v>
      </c>
      <c r="K1382" t="s">
        <v>1941</v>
      </c>
      <c r="L1382">
        <v>700</v>
      </c>
      <c r="M1382">
        <v>6615</v>
      </c>
      <c r="N1382">
        <v>3500</v>
      </c>
      <c r="O1382">
        <v>3115</v>
      </c>
      <c r="P1382">
        <v>0.47089947089947098</v>
      </c>
      <c r="Q1382">
        <v>0</v>
      </c>
      <c r="R1382">
        <v>0</v>
      </c>
      <c r="S1382">
        <v>5</v>
      </c>
      <c r="T1382">
        <v>6615</v>
      </c>
    </row>
    <row r="1383" spans="1:20">
      <c r="A1383" t="s">
        <v>1776</v>
      </c>
      <c r="B1383" s="1">
        <v>45635</v>
      </c>
      <c r="C1383">
        <v>50</v>
      </c>
      <c r="D1383">
        <v>12</v>
      </c>
      <c r="E1383" t="s">
        <v>1734</v>
      </c>
      <c r="F1383" t="s">
        <v>146</v>
      </c>
      <c r="G1383" t="s">
        <v>20</v>
      </c>
      <c r="H1383">
        <v>3</v>
      </c>
      <c r="I1383">
        <v>630</v>
      </c>
      <c r="J1383">
        <v>0</v>
      </c>
      <c r="K1383" t="s">
        <v>1934</v>
      </c>
      <c r="L1383">
        <v>350</v>
      </c>
      <c r="M1383">
        <v>1890</v>
      </c>
      <c r="N1383">
        <v>1050</v>
      </c>
      <c r="O1383">
        <v>840</v>
      </c>
      <c r="P1383">
        <v>0.44444444444444398</v>
      </c>
      <c r="Q1383">
        <v>0</v>
      </c>
      <c r="R1383">
        <v>0</v>
      </c>
      <c r="S1383">
        <v>3</v>
      </c>
      <c r="T1383">
        <v>1890</v>
      </c>
    </row>
    <row r="1384" spans="1:20">
      <c r="A1384" t="s">
        <v>1777</v>
      </c>
      <c r="B1384" s="1">
        <v>45635</v>
      </c>
      <c r="C1384">
        <v>50</v>
      </c>
      <c r="D1384">
        <v>12</v>
      </c>
      <c r="E1384" t="s">
        <v>1734</v>
      </c>
      <c r="F1384" t="s">
        <v>31</v>
      </c>
      <c r="G1384" t="s">
        <v>23</v>
      </c>
      <c r="H1384">
        <v>5</v>
      </c>
      <c r="I1384">
        <v>1400</v>
      </c>
      <c r="J1384">
        <v>0</v>
      </c>
      <c r="K1384" t="s">
        <v>1930</v>
      </c>
      <c r="L1384">
        <v>700</v>
      </c>
      <c r="M1384">
        <v>7000</v>
      </c>
      <c r="N1384">
        <v>3500</v>
      </c>
      <c r="O1384">
        <v>3500</v>
      </c>
      <c r="P1384">
        <v>0.5</v>
      </c>
      <c r="Q1384">
        <v>2</v>
      </c>
      <c r="R1384">
        <v>2</v>
      </c>
      <c r="S1384">
        <v>3</v>
      </c>
      <c r="T1384">
        <v>4200</v>
      </c>
    </row>
    <row r="1385" spans="1:20">
      <c r="A1385" t="s">
        <v>1778</v>
      </c>
      <c r="B1385" s="1">
        <v>45635</v>
      </c>
      <c r="C1385">
        <v>50</v>
      </c>
      <c r="D1385">
        <v>12</v>
      </c>
      <c r="E1385" t="s">
        <v>1734</v>
      </c>
      <c r="F1385" t="s">
        <v>94</v>
      </c>
      <c r="G1385" t="s">
        <v>17</v>
      </c>
      <c r="H1385">
        <v>4</v>
      </c>
      <c r="I1385">
        <v>1512</v>
      </c>
      <c r="J1385">
        <v>10</v>
      </c>
      <c r="K1385" t="s">
        <v>1943</v>
      </c>
      <c r="L1385">
        <v>800</v>
      </c>
      <c r="M1385">
        <v>6048</v>
      </c>
      <c r="N1385">
        <v>3200</v>
      </c>
      <c r="O1385">
        <v>2848</v>
      </c>
      <c r="P1385">
        <v>0.47089947089947098</v>
      </c>
      <c r="Q1385">
        <v>0</v>
      </c>
      <c r="R1385">
        <v>0</v>
      </c>
      <c r="S1385">
        <v>4</v>
      </c>
      <c r="T1385">
        <v>6048</v>
      </c>
    </row>
    <row r="1386" spans="1:20">
      <c r="A1386" t="s">
        <v>1779</v>
      </c>
      <c r="B1386" s="1">
        <v>45635</v>
      </c>
      <c r="C1386">
        <v>50</v>
      </c>
      <c r="D1386">
        <v>12</v>
      </c>
      <c r="E1386" t="s">
        <v>1734</v>
      </c>
      <c r="F1386" t="s">
        <v>115</v>
      </c>
      <c r="G1386" t="s">
        <v>23</v>
      </c>
      <c r="H1386">
        <v>5</v>
      </c>
      <c r="I1386">
        <v>1020</v>
      </c>
      <c r="J1386">
        <v>15</v>
      </c>
      <c r="K1386" t="s">
        <v>1926</v>
      </c>
      <c r="L1386">
        <v>600</v>
      </c>
      <c r="M1386">
        <v>5100</v>
      </c>
      <c r="N1386">
        <v>3000</v>
      </c>
      <c r="O1386">
        <v>2100</v>
      </c>
      <c r="P1386">
        <v>0.41176470588235298</v>
      </c>
      <c r="Q1386">
        <v>0</v>
      </c>
      <c r="R1386">
        <v>0</v>
      </c>
      <c r="S1386">
        <v>5</v>
      </c>
      <c r="T1386">
        <v>5100</v>
      </c>
    </row>
    <row r="1387" spans="1:20">
      <c r="A1387" t="s">
        <v>1780</v>
      </c>
      <c r="B1387" s="1">
        <v>45635</v>
      </c>
      <c r="C1387">
        <v>50</v>
      </c>
      <c r="D1387">
        <v>12</v>
      </c>
      <c r="E1387" t="s">
        <v>1734</v>
      </c>
      <c r="F1387" t="s">
        <v>82</v>
      </c>
      <c r="G1387" t="s">
        <v>20</v>
      </c>
      <c r="H1387">
        <v>4</v>
      </c>
      <c r="I1387">
        <v>765</v>
      </c>
      <c r="J1387">
        <v>15</v>
      </c>
      <c r="K1387" t="s">
        <v>1933</v>
      </c>
      <c r="L1387">
        <v>500</v>
      </c>
      <c r="M1387">
        <v>3060</v>
      </c>
      <c r="N1387">
        <v>2000</v>
      </c>
      <c r="O1387">
        <v>1060</v>
      </c>
      <c r="P1387">
        <v>0.34640522875816998</v>
      </c>
      <c r="Q1387">
        <v>0</v>
      </c>
      <c r="R1387">
        <v>0</v>
      </c>
      <c r="S1387">
        <v>4</v>
      </c>
      <c r="T1387">
        <v>3060</v>
      </c>
    </row>
    <row r="1388" spans="1:20">
      <c r="A1388" t="s">
        <v>1781</v>
      </c>
      <c r="B1388" s="1">
        <v>45636</v>
      </c>
      <c r="C1388">
        <v>50</v>
      </c>
      <c r="D1388">
        <v>12</v>
      </c>
      <c r="E1388" t="s">
        <v>1734</v>
      </c>
      <c r="F1388" t="s">
        <v>35</v>
      </c>
      <c r="G1388" t="s">
        <v>17</v>
      </c>
      <c r="H1388">
        <v>1</v>
      </c>
      <c r="I1388">
        <v>2835</v>
      </c>
      <c r="J1388">
        <v>10</v>
      </c>
      <c r="K1388" t="s">
        <v>1942</v>
      </c>
      <c r="L1388">
        <v>1500</v>
      </c>
      <c r="M1388">
        <v>2835</v>
      </c>
      <c r="N1388">
        <v>1500</v>
      </c>
      <c r="O1388">
        <v>1335</v>
      </c>
      <c r="P1388">
        <v>0.47089947089947098</v>
      </c>
      <c r="Q1388">
        <v>0</v>
      </c>
      <c r="R1388">
        <v>0</v>
      </c>
      <c r="S1388">
        <v>1</v>
      </c>
      <c r="T1388">
        <v>2835</v>
      </c>
    </row>
    <row r="1389" spans="1:20">
      <c r="A1389" t="s">
        <v>1783</v>
      </c>
      <c r="B1389" s="1">
        <v>45636</v>
      </c>
      <c r="C1389">
        <v>50</v>
      </c>
      <c r="D1389">
        <v>12</v>
      </c>
      <c r="E1389" t="s">
        <v>1734</v>
      </c>
      <c r="F1389" t="s">
        <v>80</v>
      </c>
      <c r="G1389" t="s">
        <v>14</v>
      </c>
      <c r="H1389">
        <v>2</v>
      </c>
      <c r="I1389">
        <v>380</v>
      </c>
      <c r="J1389">
        <v>5</v>
      </c>
      <c r="K1389" t="s">
        <v>1922</v>
      </c>
      <c r="L1389">
        <v>180</v>
      </c>
      <c r="M1389">
        <v>760</v>
      </c>
      <c r="N1389">
        <v>360</v>
      </c>
      <c r="O1389">
        <v>400</v>
      </c>
      <c r="P1389">
        <v>0.52631578947368396</v>
      </c>
      <c r="Q1389">
        <v>0</v>
      </c>
      <c r="R1389">
        <v>0</v>
      </c>
      <c r="S1389">
        <v>2</v>
      </c>
      <c r="T1389">
        <v>760</v>
      </c>
    </row>
    <row r="1390" spans="1:20">
      <c r="A1390" t="s">
        <v>1784</v>
      </c>
      <c r="B1390" s="1">
        <v>45636</v>
      </c>
      <c r="C1390">
        <v>50</v>
      </c>
      <c r="D1390">
        <v>12</v>
      </c>
      <c r="E1390" t="s">
        <v>1734</v>
      </c>
      <c r="F1390" t="s">
        <v>28</v>
      </c>
      <c r="G1390" t="s">
        <v>26</v>
      </c>
      <c r="H1390">
        <v>2</v>
      </c>
      <c r="I1390">
        <v>1275</v>
      </c>
      <c r="J1390">
        <v>15</v>
      </c>
      <c r="K1390" t="s">
        <v>1939</v>
      </c>
      <c r="L1390">
        <v>600</v>
      </c>
      <c r="M1390">
        <v>2550</v>
      </c>
      <c r="N1390">
        <v>1200</v>
      </c>
      <c r="O1390">
        <v>1350</v>
      </c>
      <c r="P1390">
        <v>0.52941176470588203</v>
      </c>
      <c r="Q1390">
        <v>0</v>
      </c>
      <c r="R1390">
        <v>0</v>
      </c>
      <c r="S1390">
        <v>2</v>
      </c>
      <c r="T1390">
        <v>2550</v>
      </c>
    </row>
    <row r="1391" spans="1:20">
      <c r="A1391" t="s">
        <v>1785</v>
      </c>
      <c r="B1391" s="1">
        <v>45636</v>
      </c>
      <c r="C1391">
        <v>50</v>
      </c>
      <c r="D1391">
        <v>12</v>
      </c>
      <c r="E1391" t="s">
        <v>1734</v>
      </c>
      <c r="F1391" t="s">
        <v>68</v>
      </c>
      <c r="G1391" t="s">
        <v>26</v>
      </c>
      <c r="H1391">
        <v>1</v>
      </c>
      <c r="I1391">
        <v>380</v>
      </c>
      <c r="J1391">
        <v>0</v>
      </c>
      <c r="K1391" t="s">
        <v>1937</v>
      </c>
      <c r="L1391">
        <v>150</v>
      </c>
      <c r="M1391">
        <v>380</v>
      </c>
      <c r="N1391">
        <v>150</v>
      </c>
      <c r="O1391">
        <v>230</v>
      </c>
      <c r="P1391">
        <v>0.60526315789473695</v>
      </c>
      <c r="Q1391">
        <v>0</v>
      </c>
      <c r="R1391">
        <v>0</v>
      </c>
      <c r="S1391">
        <v>1</v>
      </c>
      <c r="T1391">
        <v>380</v>
      </c>
    </row>
    <row r="1392" spans="1:20">
      <c r="A1392" t="s">
        <v>1786</v>
      </c>
      <c r="B1392" s="1">
        <v>45637</v>
      </c>
      <c r="C1392">
        <v>50</v>
      </c>
      <c r="D1392">
        <v>12</v>
      </c>
      <c r="E1392" t="s">
        <v>1734</v>
      </c>
      <c r="F1392" t="s">
        <v>146</v>
      </c>
      <c r="G1392" t="s">
        <v>20</v>
      </c>
      <c r="H1392">
        <v>2</v>
      </c>
      <c r="I1392">
        <v>630</v>
      </c>
      <c r="J1392">
        <v>0</v>
      </c>
      <c r="K1392" t="s">
        <v>1934</v>
      </c>
      <c r="L1392">
        <v>350</v>
      </c>
      <c r="M1392">
        <v>1260</v>
      </c>
      <c r="N1392">
        <v>700</v>
      </c>
      <c r="O1392">
        <v>560</v>
      </c>
      <c r="P1392">
        <v>0.44444444444444398</v>
      </c>
      <c r="Q1392">
        <v>0</v>
      </c>
      <c r="R1392">
        <v>0</v>
      </c>
      <c r="S1392">
        <v>2</v>
      </c>
      <c r="T1392">
        <v>1260</v>
      </c>
    </row>
    <row r="1393" spans="1:20">
      <c r="A1393" t="s">
        <v>1788</v>
      </c>
      <c r="B1393" s="1">
        <v>45637</v>
      </c>
      <c r="C1393">
        <v>50</v>
      </c>
      <c r="D1393">
        <v>12</v>
      </c>
      <c r="E1393" t="s">
        <v>1734</v>
      </c>
      <c r="F1393" t="s">
        <v>45</v>
      </c>
      <c r="G1393" t="s">
        <v>26</v>
      </c>
      <c r="H1393">
        <v>2</v>
      </c>
      <c r="I1393">
        <v>4050</v>
      </c>
      <c r="J1393">
        <v>10</v>
      </c>
      <c r="K1393" t="s">
        <v>1938</v>
      </c>
      <c r="L1393">
        <v>1800</v>
      </c>
      <c r="M1393">
        <v>8100</v>
      </c>
      <c r="N1393">
        <v>3600</v>
      </c>
      <c r="O1393">
        <v>4500</v>
      </c>
      <c r="P1393">
        <v>0.55555555555555602</v>
      </c>
      <c r="Q1393">
        <v>2</v>
      </c>
      <c r="R1393">
        <v>2</v>
      </c>
      <c r="S1393">
        <v>0</v>
      </c>
      <c r="T1393">
        <v>0</v>
      </c>
    </row>
    <row r="1394" spans="1:20">
      <c r="A1394" t="s">
        <v>1789</v>
      </c>
      <c r="B1394" s="1">
        <v>45637</v>
      </c>
      <c r="C1394">
        <v>50</v>
      </c>
      <c r="D1394">
        <v>12</v>
      </c>
      <c r="E1394" t="s">
        <v>1734</v>
      </c>
      <c r="F1394" t="s">
        <v>97</v>
      </c>
      <c r="G1394" t="s">
        <v>20</v>
      </c>
      <c r="H1394">
        <v>4</v>
      </c>
      <c r="I1394">
        <v>1782</v>
      </c>
      <c r="J1394">
        <v>10</v>
      </c>
      <c r="K1394" t="s">
        <v>1932</v>
      </c>
      <c r="L1394">
        <v>1100</v>
      </c>
      <c r="M1394">
        <v>7128</v>
      </c>
      <c r="N1394">
        <v>4400</v>
      </c>
      <c r="O1394">
        <v>2728</v>
      </c>
      <c r="P1394">
        <v>0.38271604938271597</v>
      </c>
      <c r="Q1394">
        <v>0</v>
      </c>
      <c r="R1394">
        <v>0</v>
      </c>
      <c r="S1394">
        <v>4</v>
      </c>
      <c r="T1394">
        <v>7128</v>
      </c>
    </row>
    <row r="1395" spans="1:20">
      <c r="A1395" t="s">
        <v>1790</v>
      </c>
      <c r="B1395" s="1">
        <v>45637</v>
      </c>
      <c r="C1395">
        <v>50</v>
      </c>
      <c r="D1395">
        <v>12</v>
      </c>
      <c r="E1395" t="s">
        <v>1734</v>
      </c>
      <c r="F1395" t="s">
        <v>28</v>
      </c>
      <c r="G1395" t="s">
        <v>26</v>
      </c>
      <c r="H1395">
        <v>4</v>
      </c>
      <c r="I1395">
        <v>1425</v>
      </c>
      <c r="J1395">
        <v>5</v>
      </c>
      <c r="K1395" t="s">
        <v>1939</v>
      </c>
      <c r="L1395">
        <v>600</v>
      </c>
      <c r="M1395">
        <v>5700</v>
      </c>
      <c r="N1395">
        <v>2400</v>
      </c>
      <c r="O1395">
        <v>3300</v>
      </c>
      <c r="P1395">
        <v>0.57894736842105299</v>
      </c>
      <c r="Q1395">
        <v>0</v>
      </c>
      <c r="R1395">
        <v>0</v>
      </c>
      <c r="S1395">
        <v>4</v>
      </c>
      <c r="T1395">
        <v>5700</v>
      </c>
    </row>
    <row r="1396" spans="1:20">
      <c r="A1396" t="s">
        <v>1791</v>
      </c>
      <c r="B1396" s="1">
        <v>45637</v>
      </c>
      <c r="C1396">
        <v>50</v>
      </c>
      <c r="D1396">
        <v>12</v>
      </c>
      <c r="E1396" t="s">
        <v>1734</v>
      </c>
      <c r="F1396" t="s">
        <v>35</v>
      </c>
      <c r="G1396" t="s">
        <v>17</v>
      </c>
      <c r="H1396">
        <v>4</v>
      </c>
      <c r="I1396">
        <v>3150</v>
      </c>
      <c r="J1396">
        <v>0</v>
      </c>
      <c r="K1396" t="s">
        <v>1942</v>
      </c>
      <c r="L1396">
        <v>1500</v>
      </c>
      <c r="M1396">
        <v>12600</v>
      </c>
      <c r="N1396">
        <v>6000</v>
      </c>
      <c r="O1396">
        <v>6600</v>
      </c>
      <c r="P1396">
        <v>0.52380952380952395</v>
      </c>
      <c r="Q1396">
        <v>0</v>
      </c>
      <c r="R1396">
        <v>0</v>
      </c>
      <c r="S1396">
        <v>4</v>
      </c>
      <c r="T1396">
        <v>12600</v>
      </c>
    </row>
    <row r="1397" spans="1:20">
      <c r="A1397" t="s">
        <v>1792</v>
      </c>
      <c r="B1397" s="1">
        <v>45637</v>
      </c>
      <c r="C1397">
        <v>50</v>
      </c>
      <c r="D1397">
        <v>12</v>
      </c>
      <c r="E1397" t="s">
        <v>1734</v>
      </c>
      <c r="F1397" t="s">
        <v>146</v>
      </c>
      <c r="G1397" t="s">
        <v>20</v>
      </c>
      <c r="H1397">
        <v>1</v>
      </c>
      <c r="I1397">
        <v>567</v>
      </c>
      <c r="J1397">
        <v>10</v>
      </c>
      <c r="K1397" t="s">
        <v>1934</v>
      </c>
      <c r="L1397">
        <v>350</v>
      </c>
      <c r="M1397">
        <v>567</v>
      </c>
      <c r="N1397">
        <v>350</v>
      </c>
      <c r="O1397">
        <v>217</v>
      </c>
      <c r="P1397">
        <v>0.38271604938271597</v>
      </c>
      <c r="Q1397">
        <v>0</v>
      </c>
      <c r="R1397">
        <v>0</v>
      </c>
      <c r="S1397">
        <v>1</v>
      </c>
      <c r="T1397">
        <v>567</v>
      </c>
    </row>
    <row r="1398" spans="1:20">
      <c r="A1398" t="s">
        <v>1793</v>
      </c>
      <c r="B1398" s="1">
        <v>45637</v>
      </c>
      <c r="C1398">
        <v>50</v>
      </c>
      <c r="D1398">
        <v>12</v>
      </c>
      <c r="E1398" t="s">
        <v>1734</v>
      </c>
      <c r="F1398" t="s">
        <v>94</v>
      </c>
      <c r="G1398" t="s">
        <v>17</v>
      </c>
      <c r="H1398">
        <v>4</v>
      </c>
      <c r="I1398">
        <v>1428</v>
      </c>
      <c r="J1398">
        <v>15</v>
      </c>
      <c r="K1398" t="s">
        <v>1943</v>
      </c>
      <c r="L1398">
        <v>800</v>
      </c>
      <c r="M1398">
        <v>5712</v>
      </c>
      <c r="N1398">
        <v>3200</v>
      </c>
      <c r="O1398">
        <v>2512</v>
      </c>
      <c r="P1398">
        <v>0.43977591036414598</v>
      </c>
      <c r="Q1398">
        <v>0</v>
      </c>
      <c r="R1398">
        <v>0</v>
      </c>
      <c r="S1398">
        <v>4</v>
      </c>
      <c r="T1398">
        <v>5712</v>
      </c>
    </row>
    <row r="1399" spans="1:20">
      <c r="A1399" t="s">
        <v>1794</v>
      </c>
      <c r="B1399" s="1">
        <v>45637</v>
      </c>
      <c r="C1399">
        <v>50</v>
      </c>
      <c r="D1399">
        <v>12</v>
      </c>
      <c r="E1399" t="s">
        <v>1734</v>
      </c>
      <c r="F1399" t="s">
        <v>68</v>
      </c>
      <c r="G1399" t="s">
        <v>26</v>
      </c>
      <c r="H1399">
        <v>4</v>
      </c>
      <c r="I1399">
        <v>361</v>
      </c>
      <c r="J1399">
        <v>5</v>
      </c>
      <c r="K1399" t="s">
        <v>1937</v>
      </c>
      <c r="L1399">
        <v>150</v>
      </c>
      <c r="M1399">
        <v>1444</v>
      </c>
      <c r="N1399">
        <v>600</v>
      </c>
      <c r="O1399">
        <v>844</v>
      </c>
      <c r="P1399">
        <v>0.58448753462603897</v>
      </c>
      <c r="Q1399">
        <v>0</v>
      </c>
      <c r="R1399">
        <v>0</v>
      </c>
      <c r="S1399">
        <v>4</v>
      </c>
      <c r="T1399">
        <v>1444</v>
      </c>
    </row>
    <row r="1400" spans="1:20">
      <c r="A1400" t="s">
        <v>1795</v>
      </c>
      <c r="B1400" s="1">
        <v>45638</v>
      </c>
      <c r="C1400">
        <v>50</v>
      </c>
      <c r="D1400">
        <v>12</v>
      </c>
      <c r="E1400" t="s">
        <v>1734</v>
      </c>
      <c r="F1400" t="s">
        <v>94</v>
      </c>
      <c r="G1400" t="s">
        <v>17</v>
      </c>
      <c r="H1400">
        <v>3</v>
      </c>
      <c r="I1400">
        <v>1680</v>
      </c>
      <c r="J1400">
        <v>0</v>
      </c>
      <c r="K1400" t="s">
        <v>1943</v>
      </c>
      <c r="L1400">
        <v>800</v>
      </c>
      <c r="M1400">
        <v>5040</v>
      </c>
      <c r="N1400">
        <v>2400</v>
      </c>
      <c r="O1400">
        <v>2640</v>
      </c>
      <c r="P1400">
        <v>0.52380952380952395</v>
      </c>
      <c r="Q1400">
        <v>0</v>
      </c>
      <c r="R1400">
        <v>0</v>
      </c>
      <c r="S1400">
        <v>3</v>
      </c>
      <c r="T1400">
        <v>5040</v>
      </c>
    </row>
    <row r="1401" spans="1:20">
      <c r="A1401" t="s">
        <v>1797</v>
      </c>
      <c r="B1401" s="1">
        <v>45638</v>
      </c>
      <c r="C1401">
        <v>50</v>
      </c>
      <c r="D1401">
        <v>12</v>
      </c>
      <c r="E1401" t="s">
        <v>1734</v>
      </c>
      <c r="F1401" t="s">
        <v>97</v>
      </c>
      <c r="G1401" t="s">
        <v>20</v>
      </c>
      <c r="H1401">
        <v>3</v>
      </c>
      <c r="I1401">
        <v>1980</v>
      </c>
      <c r="J1401">
        <v>0</v>
      </c>
      <c r="K1401" t="s">
        <v>1932</v>
      </c>
      <c r="L1401">
        <v>1100</v>
      </c>
      <c r="M1401">
        <v>5940</v>
      </c>
      <c r="N1401">
        <v>3300</v>
      </c>
      <c r="O1401">
        <v>2640</v>
      </c>
      <c r="P1401">
        <v>0.44444444444444398</v>
      </c>
      <c r="Q1401">
        <v>0</v>
      </c>
      <c r="R1401">
        <v>0</v>
      </c>
      <c r="S1401">
        <v>3</v>
      </c>
      <c r="T1401">
        <v>5940</v>
      </c>
    </row>
    <row r="1402" spans="1:20">
      <c r="A1402" t="s">
        <v>1798</v>
      </c>
      <c r="B1402" s="1">
        <v>45638</v>
      </c>
      <c r="C1402">
        <v>50</v>
      </c>
      <c r="D1402">
        <v>12</v>
      </c>
      <c r="E1402" t="s">
        <v>1734</v>
      </c>
      <c r="F1402" t="s">
        <v>35</v>
      </c>
      <c r="G1402" t="s">
        <v>17</v>
      </c>
      <c r="H1402">
        <v>4</v>
      </c>
      <c r="I1402">
        <v>3150</v>
      </c>
      <c r="J1402">
        <v>0</v>
      </c>
      <c r="K1402" t="s">
        <v>1942</v>
      </c>
      <c r="L1402">
        <v>1500</v>
      </c>
      <c r="M1402">
        <v>12600</v>
      </c>
      <c r="N1402">
        <v>6000</v>
      </c>
      <c r="O1402">
        <v>6600</v>
      </c>
      <c r="P1402">
        <v>0.52380952380952395</v>
      </c>
      <c r="Q1402">
        <v>0</v>
      </c>
      <c r="R1402">
        <v>0</v>
      </c>
      <c r="S1402">
        <v>4</v>
      </c>
      <c r="T1402">
        <v>12600</v>
      </c>
    </row>
    <row r="1403" spans="1:20">
      <c r="A1403" t="s">
        <v>1799</v>
      </c>
      <c r="B1403" s="1">
        <v>45638</v>
      </c>
      <c r="C1403">
        <v>50</v>
      </c>
      <c r="D1403">
        <v>12</v>
      </c>
      <c r="E1403" t="s">
        <v>1734</v>
      </c>
      <c r="F1403" t="s">
        <v>86</v>
      </c>
      <c r="G1403" t="s">
        <v>17</v>
      </c>
      <c r="H1403">
        <v>4</v>
      </c>
      <c r="I1403">
        <v>799</v>
      </c>
      <c r="J1403">
        <v>15</v>
      </c>
      <c r="K1403" t="s">
        <v>1944</v>
      </c>
      <c r="L1403">
        <v>450</v>
      </c>
      <c r="M1403">
        <v>3196</v>
      </c>
      <c r="N1403">
        <v>1800</v>
      </c>
      <c r="O1403">
        <v>1396</v>
      </c>
      <c r="P1403">
        <v>0.436795994993742</v>
      </c>
      <c r="Q1403">
        <v>0</v>
      </c>
      <c r="R1403">
        <v>0</v>
      </c>
      <c r="S1403">
        <v>4</v>
      </c>
      <c r="T1403">
        <v>3196</v>
      </c>
    </row>
    <row r="1404" spans="1:20">
      <c r="A1404" t="s">
        <v>1800</v>
      </c>
      <c r="B1404" s="1">
        <v>45638</v>
      </c>
      <c r="C1404">
        <v>50</v>
      </c>
      <c r="D1404">
        <v>12</v>
      </c>
      <c r="E1404" t="s">
        <v>1734</v>
      </c>
      <c r="F1404" t="s">
        <v>16</v>
      </c>
      <c r="G1404" t="s">
        <v>17</v>
      </c>
      <c r="H1404">
        <v>5</v>
      </c>
      <c r="I1404">
        <v>520</v>
      </c>
      <c r="J1404">
        <v>0</v>
      </c>
      <c r="K1404" t="s">
        <v>1945</v>
      </c>
      <c r="L1404">
        <v>250</v>
      </c>
      <c r="M1404">
        <v>2600</v>
      </c>
      <c r="N1404">
        <v>1250</v>
      </c>
      <c r="O1404">
        <v>1350</v>
      </c>
      <c r="P1404">
        <v>0.51923076923076905</v>
      </c>
      <c r="Q1404">
        <v>3</v>
      </c>
      <c r="R1404">
        <v>3</v>
      </c>
      <c r="S1404">
        <v>2</v>
      </c>
      <c r="T1404">
        <v>1040</v>
      </c>
    </row>
    <row r="1405" spans="1:20">
      <c r="A1405" t="s">
        <v>1801</v>
      </c>
      <c r="B1405" s="1">
        <v>45639</v>
      </c>
      <c r="C1405">
        <v>50</v>
      </c>
      <c r="D1405">
        <v>12</v>
      </c>
      <c r="E1405" t="s">
        <v>1734</v>
      </c>
      <c r="F1405" t="s">
        <v>187</v>
      </c>
      <c r="G1405" t="s">
        <v>14</v>
      </c>
      <c r="H1405">
        <v>2</v>
      </c>
      <c r="I1405">
        <v>3960</v>
      </c>
      <c r="J1405">
        <v>10</v>
      </c>
      <c r="K1405" t="s">
        <v>1924</v>
      </c>
      <c r="L1405">
        <v>2000</v>
      </c>
      <c r="M1405">
        <v>7920</v>
      </c>
      <c r="N1405">
        <v>4000</v>
      </c>
      <c r="O1405">
        <v>3920</v>
      </c>
      <c r="P1405">
        <v>0.49494949494949497</v>
      </c>
      <c r="Q1405">
        <v>0</v>
      </c>
      <c r="R1405">
        <v>0</v>
      </c>
      <c r="S1405">
        <v>2</v>
      </c>
      <c r="T1405">
        <v>7920</v>
      </c>
    </row>
    <row r="1406" spans="1:20">
      <c r="A1406" t="s">
        <v>1803</v>
      </c>
      <c r="B1406" s="1">
        <v>45639</v>
      </c>
      <c r="C1406">
        <v>50</v>
      </c>
      <c r="D1406">
        <v>12</v>
      </c>
      <c r="E1406" t="s">
        <v>1734</v>
      </c>
      <c r="F1406" t="s">
        <v>146</v>
      </c>
      <c r="G1406" t="s">
        <v>20</v>
      </c>
      <c r="H1406">
        <v>3</v>
      </c>
      <c r="I1406">
        <v>630</v>
      </c>
      <c r="J1406">
        <v>0</v>
      </c>
      <c r="K1406" t="s">
        <v>1934</v>
      </c>
      <c r="L1406">
        <v>350</v>
      </c>
      <c r="M1406">
        <v>1890</v>
      </c>
      <c r="N1406">
        <v>1050</v>
      </c>
      <c r="O1406">
        <v>840</v>
      </c>
      <c r="P1406">
        <v>0.44444444444444398</v>
      </c>
      <c r="Q1406">
        <v>0</v>
      </c>
      <c r="R1406">
        <v>0</v>
      </c>
      <c r="S1406">
        <v>3</v>
      </c>
      <c r="T1406">
        <v>1890</v>
      </c>
    </row>
    <row r="1407" spans="1:20">
      <c r="A1407" t="s">
        <v>1804</v>
      </c>
      <c r="B1407" s="1">
        <v>45639</v>
      </c>
      <c r="C1407">
        <v>50</v>
      </c>
      <c r="D1407">
        <v>12</v>
      </c>
      <c r="E1407" t="s">
        <v>1734</v>
      </c>
      <c r="F1407" t="s">
        <v>94</v>
      </c>
      <c r="G1407" t="s">
        <v>17</v>
      </c>
      <c r="H1407">
        <v>3</v>
      </c>
      <c r="I1407">
        <v>1680</v>
      </c>
      <c r="J1407">
        <v>0</v>
      </c>
      <c r="K1407" t="s">
        <v>1943</v>
      </c>
      <c r="L1407">
        <v>800</v>
      </c>
      <c r="M1407">
        <v>5040</v>
      </c>
      <c r="N1407">
        <v>2400</v>
      </c>
      <c r="O1407">
        <v>2640</v>
      </c>
      <c r="P1407">
        <v>0.52380952380952395</v>
      </c>
      <c r="Q1407">
        <v>0</v>
      </c>
      <c r="R1407">
        <v>0</v>
      </c>
      <c r="S1407">
        <v>3</v>
      </c>
      <c r="T1407">
        <v>5040</v>
      </c>
    </row>
    <row r="1408" spans="1:20">
      <c r="A1408" t="s">
        <v>1805</v>
      </c>
      <c r="B1408" s="1">
        <v>45639</v>
      </c>
      <c r="C1408">
        <v>50</v>
      </c>
      <c r="D1408">
        <v>12</v>
      </c>
      <c r="E1408" t="s">
        <v>1734</v>
      </c>
      <c r="F1408" t="s">
        <v>16</v>
      </c>
      <c r="G1408" t="s">
        <v>17</v>
      </c>
      <c r="H1408">
        <v>1</v>
      </c>
      <c r="I1408">
        <v>520</v>
      </c>
      <c r="J1408">
        <v>0</v>
      </c>
      <c r="K1408" t="s">
        <v>1945</v>
      </c>
      <c r="L1408">
        <v>250</v>
      </c>
      <c r="M1408">
        <v>520</v>
      </c>
      <c r="N1408">
        <v>250</v>
      </c>
      <c r="O1408">
        <v>270</v>
      </c>
      <c r="P1408">
        <v>0.51923076923076905</v>
      </c>
      <c r="Q1408">
        <v>0</v>
      </c>
      <c r="R1408">
        <v>0</v>
      </c>
      <c r="S1408">
        <v>1</v>
      </c>
      <c r="T1408">
        <v>520</v>
      </c>
    </row>
    <row r="1409" spans="1:20">
      <c r="A1409" t="s">
        <v>1806</v>
      </c>
      <c r="B1409" s="1">
        <v>45640</v>
      </c>
      <c r="C1409">
        <v>50</v>
      </c>
      <c r="D1409">
        <v>12</v>
      </c>
      <c r="E1409" t="s">
        <v>1734</v>
      </c>
      <c r="F1409" t="s">
        <v>119</v>
      </c>
      <c r="G1409" t="s">
        <v>14</v>
      </c>
      <c r="H1409">
        <v>5</v>
      </c>
      <c r="I1409">
        <v>770</v>
      </c>
      <c r="J1409">
        <v>0</v>
      </c>
      <c r="K1409" t="s">
        <v>1920</v>
      </c>
      <c r="L1409">
        <v>350</v>
      </c>
      <c r="M1409">
        <v>3850</v>
      </c>
      <c r="N1409">
        <v>1750</v>
      </c>
      <c r="O1409">
        <v>2100</v>
      </c>
      <c r="P1409">
        <v>0.54545454545454497</v>
      </c>
      <c r="Q1409">
        <v>0</v>
      </c>
      <c r="R1409">
        <v>0</v>
      </c>
      <c r="S1409">
        <v>5</v>
      </c>
      <c r="T1409">
        <v>3850</v>
      </c>
    </row>
    <row r="1410" spans="1:20">
      <c r="A1410" t="s">
        <v>1808</v>
      </c>
      <c r="B1410" s="1">
        <v>45640</v>
      </c>
      <c r="C1410">
        <v>50</v>
      </c>
      <c r="D1410">
        <v>12</v>
      </c>
      <c r="E1410" t="s">
        <v>1734</v>
      </c>
      <c r="F1410" t="s">
        <v>86</v>
      </c>
      <c r="G1410" t="s">
        <v>17</v>
      </c>
      <c r="H1410">
        <v>3</v>
      </c>
      <c r="I1410">
        <v>893</v>
      </c>
      <c r="J1410">
        <v>5</v>
      </c>
      <c r="K1410" t="s">
        <v>1944</v>
      </c>
      <c r="L1410">
        <v>450</v>
      </c>
      <c r="M1410">
        <v>2679</v>
      </c>
      <c r="N1410">
        <v>1350</v>
      </c>
      <c r="O1410">
        <v>1329</v>
      </c>
      <c r="P1410">
        <v>0.496080627099664</v>
      </c>
      <c r="Q1410">
        <v>0</v>
      </c>
      <c r="R1410">
        <v>0</v>
      </c>
      <c r="S1410">
        <v>3</v>
      </c>
      <c r="T1410">
        <v>2679</v>
      </c>
    </row>
    <row r="1411" spans="1:20">
      <c r="A1411" t="s">
        <v>1809</v>
      </c>
      <c r="B1411" s="1">
        <v>45640</v>
      </c>
      <c r="C1411">
        <v>50</v>
      </c>
      <c r="D1411">
        <v>12</v>
      </c>
      <c r="E1411" t="s">
        <v>1734</v>
      </c>
      <c r="F1411" t="s">
        <v>25</v>
      </c>
      <c r="G1411" t="s">
        <v>26</v>
      </c>
      <c r="H1411">
        <v>3</v>
      </c>
      <c r="I1411">
        <v>900</v>
      </c>
      <c r="J1411">
        <v>10</v>
      </c>
      <c r="K1411" t="s">
        <v>1940</v>
      </c>
      <c r="L1411">
        <v>400</v>
      </c>
      <c r="M1411">
        <v>2700</v>
      </c>
      <c r="N1411">
        <v>1200</v>
      </c>
      <c r="O1411">
        <v>1500</v>
      </c>
      <c r="P1411">
        <v>0.55555555555555602</v>
      </c>
      <c r="Q1411">
        <v>0</v>
      </c>
      <c r="R1411">
        <v>0</v>
      </c>
      <c r="S1411">
        <v>3</v>
      </c>
      <c r="T1411">
        <v>2700</v>
      </c>
    </row>
    <row r="1412" spans="1:20">
      <c r="A1412" t="s">
        <v>1810</v>
      </c>
      <c r="B1412" s="1">
        <v>45640</v>
      </c>
      <c r="C1412">
        <v>50</v>
      </c>
      <c r="D1412">
        <v>12</v>
      </c>
      <c r="E1412" t="s">
        <v>1734</v>
      </c>
      <c r="F1412" t="s">
        <v>82</v>
      </c>
      <c r="G1412" t="s">
        <v>20</v>
      </c>
      <c r="H1412">
        <v>3</v>
      </c>
      <c r="I1412">
        <v>810</v>
      </c>
      <c r="J1412">
        <v>10</v>
      </c>
      <c r="K1412" t="s">
        <v>1933</v>
      </c>
      <c r="L1412">
        <v>500</v>
      </c>
      <c r="M1412">
        <v>2430</v>
      </c>
      <c r="N1412">
        <v>1500</v>
      </c>
      <c r="O1412">
        <v>930</v>
      </c>
      <c r="P1412">
        <v>0.38271604938271597</v>
      </c>
      <c r="Q1412">
        <v>0</v>
      </c>
      <c r="R1412">
        <v>0</v>
      </c>
      <c r="S1412">
        <v>3</v>
      </c>
      <c r="T1412">
        <v>2430</v>
      </c>
    </row>
    <row r="1413" spans="1:20">
      <c r="A1413" t="s">
        <v>1811</v>
      </c>
      <c r="B1413" s="1">
        <v>45640</v>
      </c>
      <c r="C1413">
        <v>50</v>
      </c>
      <c r="D1413">
        <v>12</v>
      </c>
      <c r="E1413" t="s">
        <v>1734</v>
      </c>
      <c r="F1413" t="s">
        <v>94</v>
      </c>
      <c r="G1413" t="s">
        <v>17</v>
      </c>
      <c r="H1413">
        <v>3</v>
      </c>
      <c r="I1413">
        <v>1680</v>
      </c>
      <c r="J1413">
        <v>0</v>
      </c>
      <c r="K1413" t="s">
        <v>1943</v>
      </c>
      <c r="L1413">
        <v>800</v>
      </c>
      <c r="M1413">
        <v>5040</v>
      </c>
      <c r="N1413">
        <v>2400</v>
      </c>
      <c r="O1413">
        <v>2640</v>
      </c>
      <c r="P1413">
        <v>0.52380952380952395</v>
      </c>
      <c r="Q1413">
        <v>0</v>
      </c>
      <c r="R1413">
        <v>0</v>
      </c>
      <c r="S1413">
        <v>3</v>
      </c>
      <c r="T1413">
        <v>5040</v>
      </c>
    </row>
    <row r="1414" spans="1:20">
      <c r="A1414" t="s">
        <v>1812</v>
      </c>
      <c r="B1414" s="1">
        <v>45640</v>
      </c>
      <c r="C1414">
        <v>50</v>
      </c>
      <c r="D1414">
        <v>12</v>
      </c>
      <c r="E1414" t="s">
        <v>1734</v>
      </c>
      <c r="F1414" t="s">
        <v>42</v>
      </c>
      <c r="G1414" t="s">
        <v>23</v>
      </c>
      <c r="H1414">
        <v>3</v>
      </c>
      <c r="I1414">
        <v>540</v>
      </c>
      <c r="J1414">
        <v>10</v>
      </c>
      <c r="K1414" t="s">
        <v>1928</v>
      </c>
      <c r="L1414">
        <v>300</v>
      </c>
      <c r="M1414">
        <v>1620</v>
      </c>
      <c r="N1414">
        <v>900</v>
      </c>
      <c r="O1414">
        <v>720</v>
      </c>
      <c r="P1414">
        <v>0.44444444444444398</v>
      </c>
      <c r="Q1414">
        <v>0</v>
      </c>
      <c r="R1414">
        <v>0</v>
      </c>
      <c r="S1414">
        <v>3</v>
      </c>
      <c r="T1414">
        <v>1620</v>
      </c>
    </row>
    <row r="1415" spans="1:20">
      <c r="A1415" t="s">
        <v>1813</v>
      </c>
      <c r="B1415" s="1">
        <v>45641</v>
      </c>
      <c r="C1415">
        <v>50</v>
      </c>
      <c r="D1415">
        <v>12</v>
      </c>
      <c r="E1415" t="s">
        <v>1734</v>
      </c>
      <c r="F1415" t="s">
        <v>16</v>
      </c>
      <c r="G1415" t="s">
        <v>17</v>
      </c>
      <c r="H1415">
        <v>4</v>
      </c>
      <c r="I1415">
        <v>468</v>
      </c>
      <c r="J1415">
        <v>10</v>
      </c>
      <c r="K1415" t="s">
        <v>1945</v>
      </c>
      <c r="L1415">
        <v>250</v>
      </c>
      <c r="M1415">
        <v>1872</v>
      </c>
      <c r="N1415">
        <v>1000</v>
      </c>
      <c r="O1415">
        <v>872</v>
      </c>
      <c r="P1415">
        <v>0.46581196581196599</v>
      </c>
      <c r="Q1415">
        <v>0</v>
      </c>
      <c r="R1415">
        <v>0</v>
      </c>
      <c r="S1415">
        <v>4</v>
      </c>
      <c r="T1415">
        <v>1872</v>
      </c>
    </row>
    <row r="1416" spans="1:20">
      <c r="A1416" t="s">
        <v>1815</v>
      </c>
      <c r="B1416" s="1">
        <v>45641</v>
      </c>
      <c r="C1416">
        <v>50</v>
      </c>
      <c r="D1416">
        <v>12</v>
      </c>
      <c r="E1416" t="s">
        <v>1734</v>
      </c>
      <c r="F1416" t="s">
        <v>58</v>
      </c>
      <c r="G1416" t="s">
        <v>23</v>
      </c>
      <c r="H1416">
        <v>5</v>
      </c>
      <c r="I1416">
        <v>1000</v>
      </c>
      <c r="J1416">
        <v>0</v>
      </c>
      <c r="K1416" t="s">
        <v>1927</v>
      </c>
      <c r="L1416">
        <v>500</v>
      </c>
      <c r="M1416">
        <v>5000</v>
      </c>
      <c r="N1416">
        <v>2500</v>
      </c>
      <c r="O1416">
        <v>2500</v>
      </c>
      <c r="P1416">
        <v>0.5</v>
      </c>
      <c r="Q1416">
        <v>0</v>
      </c>
      <c r="R1416">
        <v>0</v>
      </c>
      <c r="S1416">
        <v>5</v>
      </c>
      <c r="T1416">
        <v>5000</v>
      </c>
    </row>
    <row r="1417" spans="1:20">
      <c r="A1417" t="s">
        <v>1816</v>
      </c>
      <c r="B1417" s="1">
        <v>45641</v>
      </c>
      <c r="C1417">
        <v>50</v>
      </c>
      <c r="D1417">
        <v>12</v>
      </c>
      <c r="E1417" t="s">
        <v>1734</v>
      </c>
      <c r="F1417" t="s">
        <v>16</v>
      </c>
      <c r="G1417" t="s">
        <v>17</v>
      </c>
      <c r="H1417">
        <v>5</v>
      </c>
      <c r="I1417">
        <v>494</v>
      </c>
      <c r="J1417">
        <v>5</v>
      </c>
      <c r="K1417" t="s">
        <v>1945</v>
      </c>
      <c r="L1417">
        <v>250</v>
      </c>
      <c r="M1417">
        <v>2470</v>
      </c>
      <c r="N1417">
        <v>1250</v>
      </c>
      <c r="O1417">
        <v>1220</v>
      </c>
      <c r="P1417">
        <v>0.49392712550607298</v>
      </c>
      <c r="Q1417">
        <v>0</v>
      </c>
      <c r="R1417">
        <v>0</v>
      </c>
      <c r="S1417">
        <v>5</v>
      </c>
      <c r="T1417">
        <v>2470</v>
      </c>
    </row>
    <row r="1418" spans="1:20">
      <c r="A1418" t="s">
        <v>1817</v>
      </c>
      <c r="B1418" s="1">
        <v>45641</v>
      </c>
      <c r="C1418">
        <v>50</v>
      </c>
      <c r="D1418">
        <v>12</v>
      </c>
      <c r="E1418" t="s">
        <v>1734</v>
      </c>
      <c r="F1418" t="s">
        <v>86</v>
      </c>
      <c r="G1418" t="s">
        <v>17</v>
      </c>
      <c r="H1418">
        <v>3</v>
      </c>
      <c r="I1418">
        <v>940</v>
      </c>
      <c r="J1418">
        <v>0</v>
      </c>
      <c r="K1418" t="s">
        <v>1944</v>
      </c>
      <c r="L1418">
        <v>450</v>
      </c>
      <c r="M1418">
        <v>2820</v>
      </c>
      <c r="N1418">
        <v>1350</v>
      </c>
      <c r="O1418">
        <v>1470</v>
      </c>
      <c r="P1418">
        <v>0.52127659574468099</v>
      </c>
      <c r="Q1418">
        <v>0</v>
      </c>
      <c r="R1418">
        <v>0</v>
      </c>
      <c r="S1418">
        <v>3</v>
      </c>
      <c r="T1418">
        <v>2820</v>
      </c>
    </row>
    <row r="1419" spans="1:20">
      <c r="A1419" t="s">
        <v>1818</v>
      </c>
      <c r="B1419" s="1">
        <v>45641</v>
      </c>
      <c r="C1419">
        <v>50</v>
      </c>
      <c r="D1419">
        <v>12</v>
      </c>
      <c r="E1419" t="s">
        <v>1734</v>
      </c>
      <c r="F1419" t="s">
        <v>68</v>
      </c>
      <c r="G1419" t="s">
        <v>26</v>
      </c>
      <c r="H1419">
        <v>1</v>
      </c>
      <c r="I1419">
        <v>380</v>
      </c>
      <c r="J1419">
        <v>0</v>
      </c>
      <c r="K1419" t="s">
        <v>1937</v>
      </c>
      <c r="L1419">
        <v>150</v>
      </c>
      <c r="M1419">
        <v>380</v>
      </c>
      <c r="N1419">
        <v>150</v>
      </c>
      <c r="O1419">
        <v>230</v>
      </c>
      <c r="P1419">
        <v>0.60526315789473695</v>
      </c>
      <c r="Q1419">
        <v>0</v>
      </c>
      <c r="R1419">
        <v>0</v>
      </c>
      <c r="S1419">
        <v>1</v>
      </c>
      <c r="T1419">
        <v>380</v>
      </c>
    </row>
    <row r="1420" spans="1:20">
      <c r="A1420" t="s">
        <v>1819</v>
      </c>
      <c r="B1420" s="1">
        <v>45642</v>
      </c>
      <c r="C1420">
        <v>51</v>
      </c>
      <c r="D1420">
        <v>12</v>
      </c>
      <c r="E1420" t="s">
        <v>1734</v>
      </c>
      <c r="F1420" t="s">
        <v>115</v>
      </c>
      <c r="G1420" t="s">
        <v>23</v>
      </c>
      <c r="H1420">
        <v>5</v>
      </c>
      <c r="I1420">
        <v>1020</v>
      </c>
      <c r="J1420">
        <v>15</v>
      </c>
      <c r="K1420" t="s">
        <v>1926</v>
      </c>
      <c r="L1420">
        <v>600</v>
      </c>
      <c r="M1420">
        <v>5100</v>
      </c>
      <c r="N1420">
        <v>3000</v>
      </c>
      <c r="O1420">
        <v>2100</v>
      </c>
      <c r="P1420">
        <v>0.41176470588235298</v>
      </c>
      <c r="Q1420">
        <v>0</v>
      </c>
      <c r="R1420">
        <v>0</v>
      </c>
      <c r="S1420">
        <v>5</v>
      </c>
      <c r="T1420">
        <v>5100</v>
      </c>
    </row>
    <row r="1421" spans="1:20">
      <c r="A1421" t="s">
        <v>1821</v>
      </c>
      <c r="B1421" s="1">
        <v>45642</v>
      </c>
      <c r="C1421">
        <v>51</v>
      </c>
      <c r="D1421">
        <v>12</v>
      </c>
      <c r="E1421" t="s">
        <v>1734</v>
      </c>
      <c r="F1421" t="s">
        <v>35</v>
      </c>
      <c r="G1421" t="s">
        <v>17</v>
      </c>
      <c r="H1421">
        <v>3</v>
      </c>
      <c r="I1421">
        <v>3150</v>
      </c>
      <c r="J1421">
        <v>0</v>
      </c>
      <c r="K1421" t="s">
        <v>1942</v>
      </c>
      <c r="L1421">
        <v>1500</v>
      </c>
      <c r="M1421">
        <v>9450</v>
      </c>
      <c r="N1421">
        <v>4500</v>
      </c>
      <c r="O1421">
        <v>4950</v>
      </c>
      <c r="P1421">
        <v>0.52380952380952395</v>
      </c>
      <c r="Q1421">
        <v>3</v>
      </c>
      <c r="R1421">
        <v>3</v>
      </c>
      <c r="S1421">
        <v>0</v>
      </c>
      <c r="T1421">
        <v>0</v>
      </c>
    </row>
    <row r="1422" spans="1:20">
      <c r="A1422" t="s">
        <v>1822</v>
      </c>
      <c r="B1422" s="1">
        <v>45642</v>
      </c>
      <c r="C1422">
        <v>51</v>
      </c>
      <c r="D1422">
        <v>12</v>
      </c>
      <c r="E1422" t="s">
        <v>1734</v>
      </c>
      <c r="F1422" t="s">
        <v>51</v>
      </c>
      <c r="G1422" t="s">
        <v>26</v>
      </c>
      <c r="H1422">
        <v>5</v>
      </c>
      <c r="I1422">
        <v>450</v>
      </c>
      <c r="J1422">
        <v>10</v>
      </c>
      <c r="K1422" t="s">
        <v>1936</v>
      </c>
      <c r="L1422">
        <v>200</v>
      </c>
      <c r="M1422">
        <v>2250</v>
      </c>
      <c r="N1422">
        <v>1000</v>
      </c>
      <c r="O1422">
        <v>1250</v>
      </c>
      <c r="P1422">
        <v>0.55555555555555602</v>
      </c>
      <c r="Q1422">
        <v>0</v>
      </c>
      <c r="R1422">
        <v>0</v>
      </c>
      <c r="S1422">
        <v>5</v>
      </c>
      <c r="T1422">
        <v>2250</v>
      </c>
    </row>
    <row r="1423" spans="1:20">
      <c r="A1423" t="s">
        <v>1823</v>
      </c>
      <c r="B1423" s="1">
        <v>45642</v>
      </c>
      <c r="C1423">
        <v>51</v>
      </c>
      <c r="D1423">
        <v>12</v>
      </c>
      <c r="E1423" t="s">
        <v>1734</v>
      </c>
      <c r="F1423" t="s">
        <v>51</v>
      </c>
      <c r="G1423" t="s">
        <v>26</v>
      </c>
      <c r="H1423">
        <v>5</v>
      </c>
      <c r="I1423">
        <v>500</v>
      </c>
      <c r="J1423">
        <v>0</v>
      </c>
      <c r="K1423" t="s">
        <v>1936</v>
      </c>
      <c r="L1423">
        <v>200</v>
      </c>
      <c r="M1423">
        <v>2500</v>
      </c>
      <c r="N1423">
        <v>1000</v>
      </c>
      <c r="O1423">
        <v>1500</v>
      </c>
      <c r="P1423">
        <v>0.6</v>
      </c>
      <c r="Q1423">
        <v>0</v>
      </c>
      <c r="R1423">
        <v>0</v>
      </c>
      <c r="S1423">
        <v>5</v>
      </c>
      <c r="T1423">
        <v>2500</v>
      </c>
    </row>
    <row r="1424" spans="1:20">
      <c r="A1424" t="s">
        <v>1824</v>
      </c>
      <c r="B1424" s="1">
        <v>45642</v>
      </c>
      <c r="C1424">
        <v>51</v>
      </c>
      <c r="D1424">
        <v>12</v>
      </c>
      <c r="E1424" t="s">
        <v>1734</v>
      </c>
      <c r="F1424" t="s">
        <v>82</v>
      </c>
      <c r="G1424" t="s">
        <v>20</v>
      </c>
      <c r="H1424">
        <v>2</v>
      </c>
      <c r="I1424">
        <v>900</v>
      </c>
      <c r="J1424">
        <v>0</v>
      </c>
      <c r="K1424" t="s">
        <v>1933</v>
      </c>
      <c r="L1424">
        <v>500</v>
      </c>
      <c r="M1424">
        <v>1800</v>
      </c>
      <c r="N1424">
        <v>1000</v>
      </c>
      <c r="O1424">
        <v>800</v>
      </c>
      <c r="P1424">
        <v>0.44444444444444398</v>
      </c>
      <c r="Q1424">
        <v>0</v>
      </c>
      <c r="R1424">
        <v>0</v>
      </c>
      <c r="S1424">
        <v>2</v>
      </c>
      <c r="T1424">
        <v>1800</v>
      </c>
    </row>
    <row r="1425" spans="1:20">
      <c r="A1425" t="s">
        <v>1825</v>
      </c>
      <c r="B1425" s="1">
        <v>45642</v>
      </c>
      <c r="C1425">
        <v>51</v>
      </c>
      <c r="D1425">
        <v>12</v>
      </c>
      <c r="E1425" t="s">
        <v>1734</v>
      </c>
      <c r="F1425" t="s">
        <v>94</v>
      </c>
      <c r="G1425" t="s">
        <v>17</v>
      </c>
      <c r="H1425">
        <v>3</v>
      </c>
      <c r="I1425">
        <v>1512</v>
      </c>
      <c r="J1425">
        <v>10</v>
      </c>
      <c r="K1425" t="s">
        <v>1943</v>
      </c>
      <c r="L1425">
        <v>800</v>
      </c>
      <c r="M1425">
        <v>4536</v>
      </c>
      <c r="N1425">
        <v>2400</v>
      </c>
      <c r="O1425">
        <v>2136</v>
      </c>
      <c r="P1425">
        <v>0.47089947089947098</v>
      </c>
      <c r="Q1425">
        <v>0</v>
      </c>
      <c r="R1425">
        <v>0</v>
      </c>
      <c r="S1425">
        <v>3</v>
      </c>
      <c r="T1425">
        <v>4536</v>
      </c>
    </row>
    <row r="1426" spans="1:20">
      <c r="A1426" t="s">
        <v>1826</v>
      </c>
      <c r="B1426" s="1">
        <v>45643</v>
      </c>
      <c r="C1426">
        <v>51</v>
      </c>
      <c r="D1426">
        <v>12</v>
      </c>
      <c r="E1426" t="s">
        <v>1734</v>
      </c>
      <c r="F1426" t="s">
        <v>119</v>
      </c>
      <c r="G1426" t="s">
        <v>14</v>
      </c>
      <c r="H1426">
        <v>2</v>
      </c>
      <c r="I1426">
        <v>693</v>
      </c>
      <c r="J1426">
        <v>10</v>
      </c>
      <c r="K1426" t="s">
        <v>1920</v>
      </c>
      <c r="L1426">
        <v>350</v>
      </c>
      <c r="M1426">
        <v>1386</v>
      </c>
      <c r="N1426">
        <v>700</v>
      </c>
      <c r="O1426">
        <v>686</v>
      </c>
      <c r="P1426">
        <v>0.49494949494949497</v>
      </c>
      <c r="Q1426">
        <v>0</v>
      </c>
      <c r="R1426">
        <v>0</v>
      </c>
      <c r="S1426">
        <v>2</v>
      </c>
      <c r="T1426">
        <v>1386</v>
      </c>
    </row>
    <row r="1427" spans="1:20">
      <c r="A1427" t="s">
        <v>1828</v>
      </c>
      <c r="B1427" s="1">
        <v>45643</v>
      </c>
      <c r="C1427">
        <v>51</v>
      </c>
      <c r="D1427">
        <v>12</v>
      </c>
      <c r="E1427" t="s">
        <v>1734</v>
      </c>
      <c r="F1427" t="s">
        <v>86</v>
      </c>
      <c r="G1427" t="s">
        <v>17</v>
      </c>
      <c r="H1427">
        <v>1</v>
      </c>
      <c r="I1427">
        <v>940</v>
      </c>
      <c r="J1427">
        <v>0</v>
      </c>
      <c r="K1427" t="s">
        <v>1944</v>
      </c>
      <c r="L1427">
        <v>450</v>
      </c>
      <c r="M1427">
        <v>940</v>
      </c>
      <c r="N1427">
        <v>450</v>
      </c>
      <c r="O1427">
        <v>490</v>
      </c>
      <c r="P1427">
        <v>0.52127659574468099</v>
      </c>
      <c r="Q1427">
        <v>0</v>
      </c>
      <c r="R1427">
        <v>0</v>
      </c>
      <c r="S1427">
        <v>1</v>
      </c>
      <c r="T1427">
        <v>940</v>
      </c>
    </row>
    <row r="1428" spans="1:20">
      <c r="A1428" t="s">
        <v>1829</v>
      </c>
      <c r="B1428" s="1">
        <v>45643</v>
      </c>
      <c r="C1428">
        <v>51</v>
      </c>
      <c r="D1428">
        <v>12</v>
      </c>
      <c r="E1428" t="s">
        <v>1734</v>
      </c>
      <c r="F1428" t="s">
        <v>16</v>
      </c>
      <c r="G1428" t="s">
        <v>17</v>
      </c>
      <c r="H1428">
        <v>4</v>
      </c>
      <c r="I1428">
        <v>468</v>
      </c>
      <c r="J1428">
        <v>10</v>
      </c>
      <c r="K1428" t="s">
        <v>1945</v>
      </c>
      <c r="L1428">
        <v>250</v>
      </c>
      <c r="M1428">
        <v>1872</v>
      </c>
      <c r="N1428">
        <v>1000</v>
      </c>
      <c r="O1428">
        <v>872</v>
      </c>
      <c r="P1428">
        <v>0.46581196581196599</v>
      </c>
      <c r="Q1428">
        <v>0</v>
      </c>
      <c r="R1428">
        <v>0</v>
      </c>
      <c r="S1428">
        <v>4</v>
      </c>
      <c r="T1428">
        <v>1872</v>
      </c>
    </row>
    <row r="1429" spans="1:20">
      <c r="A1429" t="s">
        <v>1830</v>
      </c>
      <c r="B1429" s="1">
        <v>45643</v>
      </c>
      <c r="C1429">
        <v>51</v>
      </c>
      <c r="D1429">
        <v>12</v>
      </c>
      <c r="E1429" t="s">
        <v>1734</v>
      </c>
      <c r="F1429" t="s">
        <v>45</v>
      </c>
      <c r="G1429" t="s">
        <v>26</v>
      </c>
      <c r="H1429">
        <v>2</v>
      </c>
      <c r="I1429">
        <v>4275</v>
      </c>
      <c r="J1429">
        <v>5</v>
      </c>
      <c r="K1429" t="s">
        <v>1938</v>
      </c>
      <c r="L1429">
        <v>1800</v>
      </c>
      <c r="M1429">
        <v>8550</v>
      </c>
      <c r="N1429">
        <v>3600</v>
      </c>
      <c r="O1429">
        <v>4950</v>
      </c>
      <c r="P1429">
        <v>0.57894736842105299</v>
      </c>
      <c r="Q1429">
        <v>0</v>
      </c>
      <c r="R1429">
        <v>0</v>
      </c>
      <c r="S1429">
        <v>2</v>
      </c>
      <c r="T1429">
        <v>8550</v>
      </c>
    </row>
    <row r="1430" spans="1:20">
      <c r="A1430" t="s">
        <v>1831</v>
      </c>
      <c r="B1430" s="1">
        <v>45643</v>
      </c>
      <c r="C1430">
        <v>51</v>
      </c>
      <c r="D1430">
        <v>12</v>
      </c>
      <c r="E1430" t="s">
        <v>1734</v>
      </c>
      <c r="F1430" t="s">
        <v>187</v>
      </c>
      <c r="G1430" t="s">
        <v>14</v>
      </c>
      <c r="H1430">
        <v>4</v>
      </c>
      <c r="I1430">
        <v>4180</v>
      </c>
      <c r="J1430">
        <v>5</v>
      </c>
      <c r="K1430" t="s">
        <v>1924</v>
      </c>
      <c r="L1430">
        <v>2000</v>
      </c>
      <c r="M1430">
        <v>16720</v>
      </c>
      <c r="N1430">
        <v>8000</v>
      </c>
      <c r="O1430">
        <v>8720</v>
      </c>
      <c r="P1430">
        <v>0.52153110047846896</v>
      </c>
      <c r="Q1430">
        <v>0</v>
      </c>
      <c r="R1430">
        <v>0</v>
      </c>
      <c r="S1430">
        <v>4</v>
      </c>
      <c r="T1430">
        <v>16720</v>
      </c>
    </row>
    <row r="1431" spans="1:20">
      <c r="A1431" t="s">
        <v>1832</v>
      </c>
      <c r="B1431" s="1">
        <v>45643</v>
      </c>
      <c r="C1431">
        <v>51</v>
      </c>
      <c r="D1431">
        <v>12</v>
      </c>
      <c r="E1431" t="s">
        <v>1734</v>
      </c>
      <c r="F1431" t="s">
        <v>25</v>
      </c>
      <c r="G1431" t="s">
        <v>26</v>
      </c>
      <c r="H1431">
        <v>2</v>
      </c>
      <c r="I1431">
        <v>950</v>
      </c>
      <c r="J1431">
        <v>5</v>
      </c>
      <c r="K1431" t="s">
        <v>1940</v>
      </c>
      <c r="L1431">
        <v>400</v>
      </c>
      <c r="M1431">
        <v>1900</v>
      </c>
      <c r="N1431">
        <v>800</v>
      </c>
      <c r="O1431">
        <v>1100</v>
      </c>
      <c r="P1431">
        <v>0.57894736842105299</v>
      </c>
      <c r="Q1431">
        <v>0</v>
      </c>
      <c r="R1431">
        <v>0</v>
      </c>
      <c r="S1431">
        <v>2</v>
      </c>
      <c r="T1431">
        <v>1900</v>
      </c>
    </row>
    <row r="1432" spans="1:20">
      <c r="A1432" t="s">
        <v>1833</v>
      </c>
      <c r="B1432" s="1">
        <v>45643</v>
      </c>
      <c r="C1432">
        <v>51</v>
      </c>
      <c r="D1432">
        <v>12</v>
      </c>
      <c r="E1432" t="s">
        <v>1734</v>
      </c>
      <c r="F1432" t="s">
        <v>66</v>
      </c>
      <c r="G1432" t="s">
        <v>17</v>
      </c>
      <c r="H1432">
        <v>2</v>
      </c>
      <c r="I1432">
        <v>1396.5</v>
      </c>
      <c r="J1432">
        <v>5</v>
      </c>
      <c r="K1432" t="s">
        <v>1941</v>
      </c>
      <c r="L1432">
        <v>700</v>
      </c>
      <c r="M1432">
        <v>2793</v>
      </c>
      <c r="N1432">
        <v>1400</v>
      </c>
      <c r="O1432">
        <v>1393</v>
      </c>
      <c r="P1432">
        <v>0.49874686716791999</v>
      </c>
      <c r="Q1432">
        <v>0</v>
      </c>
      <c r="R1432">
        <v>0</v>
      </c>
      <c r="S1432">
        <v>2</v>
      </c>
      <c r="T1432">
        <v>2793</v>
      </c>
    </row>
    <row r="1433" spans="1:20">
      <c r="A1433" t="s">
        <v>1834</v>
      </c>
      <c r="B1433" s="1">
        <v>45643</v>
      </c>
      <c r="C1433">
        <v>51</v>
      </c>
      <c r="D1433">
        <v>12</v>
      </c>
      <c r="E1433" t="s">
        <v>1734</v>
      </c>
      <c r="F1433" t="s">
        <v>82</v>
      </c>
      <c r="G1433" t="s">
        <v>20</v>
      </c>
      <c r="H1433">
        <v>1</v>
      </c>
      <c r="I1433">
        <v>900</v>
      </c>
      <c r="J1433">
        <v>0</v>
      </c>
      <c r="K1433" t="s">
        <v>1933</v>
      </c>
      <c r="L1433">
        <v>500</v>
      </c>
      <c r="M1433">
        <v>900</v>
      </c>
      <c r="N1433">
        <v>500</v>
      </c>
      <c r="O1433">
        <v>400</v>
      </c>
      <c r="P1433">
        <v>0.44444444444444398</v>
      </c>
      <c r="Q1433">
        <v>0</v>
      </c>
      <c r="R1433">
        <v>0</v>
      </c>
      <c r="S1433">
        <v>1</v>
      </c>
      <c r="T1433">
        <v>900</v>
      </c>
    </row>
    <row r="1434" spans="1:20">
      <c r="A1434" t="s">
        <v>1835</v>
      </c>
      <c r="B1434" s="1">
        <v>45643</v>
      </c>
      <c r="C1434">
        <v>51</v>
      </c>
      <c r="D1434">
        <v>12</v>
      </c>
      <c r="E1434" t="s">
        <v>1734</v>
      </c>
      <c r="F1434" t="s">
        <v>39</v>
      </c>
      <c r="G1434" t="s">
        <v>14</v>
      </c>
      <c r="H1434">
        <v>3</v>
      </c>
      <c r="I1434">
        <v>836</v>
      </c>
      <c r="J1434">
        <v>5</v>
      </c>
      <c r="K1434" t="s">
        <v>1921</v>
      </c>
      <c r="L1434">
        <v>400</v>
      </c>
      <c r="M1434">
        <v>2508</v>
      </c>
      <c r="N1434">
        <v>1200</v>
      </c>
      <c r="O1434">
        <v>1308</v>
      </c>
      <c r="P1434">
        <v>0.52153110047846896</v>
      </c>
      <c r="Q1434">
        <v>3</v>
      </c>
      <c r="R1434">
        <v>3</v>
      </c>
      <c r="S1434">
        <v>0</v>
      </c>
      <c r="T1434">
        <v>0</v>
      </c>
    </row>
    <row r="1435" spans="1:20">
      <c r="A1435" t="s">
        <v>1836</v>
      </c>
      <c r="B1435" s="1">
        <v>45644</v>
      </c>
      <c r="C1435">
        <v>51</v>
      </c>
      <c r="D1435">
        <v>12</v>
      </c>
      <c r="E1435" t="s">
        <v>1734</v>
      </c>
      <c r="F1435" t="s">
        <v>94</v>
      </c>
      <c r="G1435" t="s">
        <v>17</v>
      </c>
      <c r="H1435">
        <v>2</v>
      </c>
      <c r="I1435">
        <v>1596</v>
      </c>
      <c r="J1435">
        <v>5</v>
      </c>
      <c r="K1435" t="s">
        <v>1943</v>
      </c>
      <c r="L1435">
        <v>800</v>
      </c>
      <c r="M1435">
        <v>3192</v>
      </c>
      <c r="N1435">
        <v>1600</v>
      </c>
      <c r="O1435">
        <v>1592</v>
      </c>
      <c r="P1435">
        <v>0.49874686716791999</v>
      </c>
      <c r="Q1435">
        <v>0</v>
      </c>
      <c r="R1435">
        <v>0</v>
      </c>
      <c r="S1435">
        <v>2</v>
      </c>
      <c r="T1435">
        <v>3192</v>
      </c>
    </row>
    <row r="1436" spans="1:20">
      <c r="A1436" t="s">
        <v>1838</v>
      </c>
      <c r="B1436" s="1">
        <v>45644</v>
      </c>
      <c r="C1436">
        <v>51</v>
      </c>
      <c r="D1436">
        <v>12</v>
      </c>
      <c r="E1436" t="s">
        <v>1734</v>
      </c>
      <c r="F1436" t="s">
        <v>51</v>
      </c>
      <c r="G1436" t="s">
        <v>26</v>
      </c>
      <c r="H1436">
        <v>2</v>
      </c>
      <c r="I1436">
        <v>500</v>
      </c>
      <c r="J1436">
        <v>0</v>
      </c>
      <c r="K1436" t="s">
        <v>1936</v>
      </c>
      <c r="L1436">
        <v>200</v>
      </c>
      <c r="M1436">
        <v>1000</v>
      </c>
      <c r="N1436">
        <v>400</v>
      </c>
      <c r="O1436">
        <v>600</v>
      </c>
      <c r="P1436">
        <v>0.6</v>
      </c>
      <c r="Q1436">
        <v>0</v>
      </c>
      <c r="R1436">
        <v>0</v>
      </c>
      <c r="S1436">
        <v>2</v>
      </c>
      <c r="T1436">
        <v>1000</v>
      </c>
    </row>
    <row r="1437" spans="1:20">
      <c r="A1437" t="s">
        <v>1839</v>
      </c>
      <c r="B1437" s="1">
        <v>45644</v>
      </c>
      <c r="C1437">
        <v>51</v>
      </c>
      <c r="D1437">
        <v>12</v>
      </c>
      <c r="E1437" t="s">
        <v>1734</v>
      </c>
      <c r="F1437" t="s">
        <v>94</v>
      </c>
      <c r="G1437" t="s">
        <v>17</v>
      </c>
      <c r="H1437">
        <v>5</v>
      </c>
      <c r="I1437">
        <v>1680</v>
      </c>
      <c r="J1437">
        <v>0</v>
      </c>
      <c r="K1437" t="s">
        <v>1943</v>
      </c>
      <c r="L1437">
        <v>800</v>
      </c>
      <c r="M1437">
        <v>8400</v>
      </c>
      <c r="N1437">
        <v>4000</v>
      </c>
      <c r="O1437">
        <v>4400</v>
      </c>
      <c r="P1437">
        <v>0.52380952380952395</v>
      </c>
      <c r="Q1437">
        <v>0</v>
      </c>
      <c r="R1437">
        <v>0</v>
      </c>
      <c r="S1437">
        <v>5</v>
      </c>
      <c r="T1437">
        <v>8400</v>
      </c>
    </row>
    <row r="1438" spans="1:20">
      <c r="A1438" t="s">
        <v>1840</v>
      </c>
      <c r="B1438" s="1">
        <v>45644</v>
      </c>
      <c r="C1438">
        <v>51</v>
      </c>
      <c r="D1438">
        <v>12</v>
      </c>
      <c r="E1438" t="s">
        <v>1734</v>
      </c>
      <c r="F1438" t="s">
        <v>16</v>
      </c>
      <c r="G1438" t="s">
        <v>17</v>
      </c>
      <c r="H1438">
        <v>2</v>
      </c>
      <c r="I1438">
        <v>520</v>
      </c>
      <c r="J1438">
        <v>0</v>
      </c>
      <c r="K1438" t="s">
        <v>1945</v>
      </c>
      <c r="L1438">
        <v>250</v>
      </c>
      <c r="M1438">
        <v>1040</v>
      </c>
      <c r="N1438">
        <v>500</v>
      </c>
      <c r="O1438">
        <v>540</v>
      </c>
      <c r="P1438">
        <v>0.51923076923076905</v>
      </c>
      <c r="Q1438">
        <v>0</v>
      </c>
      <c r="R1438">
        <v>0</v>
      </c>
      <c r="S1438">
        <v>2</v>
      </c>
      <c r="T1438">
        <v>1040</v>
      </c>
    </row>
    <row r="1439" spans="1:20">
      <c r="A1439" t="s">
        <v>1841</v>
      </c>
      <c r="B1439" s="1">
        <v>45644</v>
      </c>
      <c r="C1439">
        <v>51</v>
      </c>
      <c r="D1439">
        <v>12</v>
      </c>
      <c r="E1439" t="s">
        <v>1734</v>
      </c>
      <c r="F1439" t="s">
        <v>119</v>
      </c>
      <c r="G1439" t="s">
        <v>14</v>
      </c>
      <c r="H1439">
        <v>5</v>
      </c>
      <c r="I1439">
        <v>770</v>
      </c>
      <c r="J1439">
        <v>0</v>
      </c>
      <c r="K1439" t="s">
        <v>1920</v>
      </c>
      <c r="L1439">
        <v>350</v>
      </c>
      <c r="M1439">
        <v>3850</v>
      </c>
      <c r="N1439">
        <v>1750</v>
      </c>
      <c r="O1439">
        <v>2100</v>
      </c>
      <c r="P1439">
        <v>0.54545454545454497</v>
      </c>
      <c r="Q1439">
        <v>0</v>
      </c>
      <c r="R1439">
        <v>0</v>
      </c>
      <c r="S1439">
        <v>5</v>
      </c>
      <c r="T1439">
        <v>3850</v>
      </c>
    </row>
    <row r="1440" spans="1:20">
      <c r="A1440" t="s">
        <v>1842</v>
      </c>
      <c r="B1440" s="1">
        <v>45645</v>
      </c>
      <c r="C1440">
        <v>51</v>
      </c>
      <c r="D1440">
        <v>12</v>
      </c>
      <c r="E1440" t="s">
        <v>1734</v>
      </c>
      <c r="F1440" t="s">
        <v>35</v>
      </c>
      <c r="G1440" t="s">
        <v>17</v>
      </c>
      <c r="H1440">
        <v>1</v>
      </c>
      <c r="I1440">
        <v>3150</v>
      </c>
      <c r="J1440">
        <v>0</v>
      </c>
      <c r="K1440" t="s">
        <v>1942</v>
      </c>
      <c r="L1440">
        <v>1500</v>
      </c>
      <c r="M1440">
        <v>3150</v>
      </c>
      <c r="N1440">
        <v>1500</v>
      </c>
      <c r="O1440">
        <v>1650</v>
      </c>
      <c r="P1440">
        <v>0.52380952380952395</v>
      </c>
      <c r="Q1440">
        <v>0</v>
      </c>
      <c r="R1440">
        <v>0</v>
      </c>
      <c r="S1440">
        <v>1</v>
      </c>
      <c r="T1440">
        <v>3150</v>
      </c>
    </row>
    <row r="1441" spans="1:20">
      <c r="A1441" t="s">
        <v>1844</v>
      </c>
      <c r="B1441" s="1">
        <v>45645</v>
      </c>
      <c r="C1441">
        <v>51</v>
      </c>
      <c r="D1441">
        <v>12</v>
      </c>
      <c r="E1441" t="s">
        <v>1734</v>
      </c>
      <c r="F1441" t="s">
        <v>16</v>
      </c>
      <c r="G1441" t="s">
        <v>17</v>
      </c>
      <c r="H1441">
        <v>5</v>
      </c>
      <c r="I1441">
        <v>468</v>
      </c>
      <c r="J1441">
        <v>10</v>
      </c>
      <c r="K1441" t="s">
        <v>1945</v>
      </c>
      <c r="L1441">
        <v>250</v>
      </c>
      <c r="M1441">
        <v>2340</v>
      </c>
      <c r="N1441">
        <v>1250</v>
      </c>
      <c r="O1441">
        <v>1090</v>
      </c>
      <c r="P1441">
        <v>0.46581196581196599</v>
      </c>
      <c r="Q1441">
        <v>0</v>
      </c>
      <c r="R1441">
        <v>0</v>
      </c>
      <c r="S1441">
        <v>5</v>
      </c>
      <c r="T1441">
        <v>2340</v>
      </c>
    </row>
    <row r="1442" spans="1:20">
      <c r="A1442" t="s">
        <v>1845</v>
      </c>
      <c r="B1442" s="1">
        <v>45645</v>
      </c>
      <c r="C1442">
        <v>51</v>
      </c>
      <c r="D1442">
        <v>12</v>
      </c>
      <c r="E1442" t="s">
        <v>1734</v>
      </c>
      <c r="F1442" t="s">
        <v>64</v>
      </c>
      <c r="G1442" t="s">
        <v>14</v>
      </c>
      <c r="H1442">
        <v>3</v>
      </c>
      <c r="I1442">
        <v>2244</v>
      </c>
      <c r="J1442">
        <v>15</v>
      </c>
      <c r="K1442" t="s">
        <v>1923</v>
      </c>
      <c r="L1442">
        <v>1200</v>
      </c>
      <c r="M1442">
        <v>6732</v>
      </c>
      <c r="N1442">
        <v>3600</v>
      </c>
      <c r="O1442">
        <v>3132</v>
      </c>
      <c r="P1442">
        <v>0.46524064171122997</v>
      </c>
      <c r="Q1442">
        <v>0</v>
      </c>
      <c r="R1442">
        <v>0</v>
      </c>
      <c r="S1442">
        <v>3</v>
      </c>
      <c r="T1442">
        <v>6732</v>
      </c>
    </row>
    <row r="1443" spans="1:20">
      <c r="A1443" t="s">
        <v>1846</v>
      </c>
      <c r="B1443" s="1">
        <v>45645</v>
      </c>
      <c r="C1443">
        <v>51</v>
      </c>
      <c r="D1443">
        <v>12</v>
      </c>
      <c r="E1443" t="s">
        <v>1734</v>
      </c>
      <c r="F1443" t="s">
        <v>66</v>
      </c>
      <c r="G1443" t="s">
        <v>17</v>
      </c>
      <c r="H1443">
        <v>2</v>
      </c>
      <c r="I1443">
        <v>1470</v>
      </c>
      <c r="J1443">
        <v>0</v>
      </c>
      <c r="K1443" t="s">
        <v>1941</v>
      </c>
      <c r="L1443">
        <v>700</v>
      </c>
      <c r="M1443">
        <v>2940</v>
      </c>
      <c r="N1443">
        <v>1400</v>
      </c>
      <c r="O1443">
        <v>1540</v>
      </c>
      <c r="P1443">
        <v>0.52380952380952395</v>
      </c>
      <c r="Q1443">
        <v>0</v>
      </c>
      <c r="R1443">
        <v>0</v>
      </c>
      <c r="S1443">
        <v>2</v>
      </c>
      <c r="T1443">
        <v>2940</v>
      </c>
    </row>
    <row r="1444" spans="1:20">
      <c r="A1444" t="s">
        <v>1847</v>
      </c>
      <c r="B1444" s="1">
        <v>45645</v>
      </c>
      <c r="C1444">
        <v>51</v>
      </c>
      <c r="D1444">
        <v>12</v>
      </c>
      <c r="E1444" t="s">
        <v>1734</v>
      </c>
      <c r="F1444" t="s">
        <v>25</v>
      </c>
      <c r="G1444" t="s">
        <v>26</v>
      </c>
      <c r="H1444">
        <v>2</v>
      </c>
      <c r="I1444">
        <v>950</v>
      </c>
      <c r="J1444">
        <v>5</v>
      </c>
      <c r="K1444" t="s">
        <v>1940</v>
      </c>
      <c r="L1444">
        <v>400</v>
      </c>
      <c r="M1444">
        <v>1900</v>
      </c>
      <c r="N1444">
        <v>800</v>
      </c>
      <c r="O1444">
        <v>1100</v>
      </c>
      <c r="P1444">
        <v>0.57894736842105299</v>
      </c>
      <c r="Q1444">
        <v>0</v>
      </c>
      <c r="R1444">
        <v>0</v>
      </c>
      <c r="S1444">
        <v>2</v>
      </c>
      <c r="T1444">
        <v>1900</v>
      </c>
    </row>
    <row r="1445" spans="1:20">
      <c r="A1445" t="s">
        <v>1848</v>
      </c>
      <c r="B1445" s="1">
        <v>45645</v>
      </c>
      <c r="C1445">
        <v>51</v>
      </c>
      <c r="D1445">
        <v>12</v>
      </c>
      <c r="E1445" t="s">
        <v>1734</v>
      </c>
      <c r="F1445" t="s">
        <v>97</v>
      </c>
      <c r="G1445" t="s">
        <v>20</v>
      </c>
      <c r="H1445">
        <v>3</v>
      </c>
      <c r="I1445">
        <v>1782</v>
      </c>
      <c r="J1445">
        <v>10</v>
      </c>
      <c r="K1445" t="s">
        <v>1932</v>
      </c>
      <c r="L1445">
        <v>1100</v>
      </c>
      <c r="M1445">
        <v>5346</v>
      </c>
      <c r="N1445">
        <v>3300</v>
      </c>
      <c r="O1445">
        <v>2046</v>
      </c>
      <c r="P1445">
        <v>0.38271604938271597</v>
      </c>
      <c r="Q1445">
        <v>0</v>
      </c>
      <c r="R1445">
        <v>0</v>
      </c>
      <c r="S1445">
        <v>3</v>
      </c>
      <c r="T1445">
        <v>5346</v>
      </c>
    </row>
    <row r="1446" spans="1:20">
      <c r="A1446" t="s">
        <v>1849</v>
      </c>
      <c r="B1446" s="1">
        <v>45646</v>
      </c>
      <c r="C1446">
        <v>51</v>
      </c>
      <c r="D1446">
        <v>12</v>
      </c>
      <c r="E1446" t="s">
        <v>1734</v>
      </c>
      <c r="F1446" t="s">
        <v>37</v>
      </c>
      <c r="G1446" t="s">
        <v>20</v>
      </c>
      <c r="H1446">
        <v>1</v>
      </c>
      <c r="I1446">
        <v>2223</v>
      </c>
      <c r="J1446">
        <v>5</v>
      </c>
      <c r="K1446" t="s">
        <v>1935</v>
      </c>
      <c r="L1446">
        <v>1300</v>
      </c>
      <c r="M1446">
        <v>2223</v>
      </c>
      <c r="N1446">
        <v>1300</v>
      </c>
      <c r="O1446">
        <v>923</v>
      </c>
      <c r="P1446">
        <v>0.41520467836257302</v>
      </c>
      <c r="Q1446">
        <v>0</v>
      </c>
      <c r="R1446">
        <v>0</v>
      </c>
      <c r="S1446">
        <v>1</v>
      </c>
      <c r="T1446">
        <v>2223</v>
      </c>
    </row>
    <row r="1447" spans="1:20">
      <c r="A1447" t="s">
        <v>1851</v>
      </c>
      <c r="B1447" s="1">
        <v>45646</v>
      </c>
      <c r="C1447">
        <v>51</v>
      </c>
      <c r="D1447">
        <v>12</v>
      </c>
      <c r="E1447" t="s">
        <v>1734</v>
      </c>
      <c r="F1447" t="s">
        <v>16</v>
      </c>
      <c r="G1447" t="s">
        <v>17</v>
      </c>
      <c r="H1447">
        <v>5</v>
      </c>
      <c r="I1447">
        <v>468</v>
      </c>
      <c r="J1447">
        <v>10</v>
      </c>
      <c r="K1447" t="s">
        <v>1945</v>
      </c>
      <c r="L1447">
        <v>250</v>
      </c>
      <c r="M1447">
        <v>2340</v>
      </c>
      <c r="N1447">
        <v>1250</v>
      </c>
      <c r="O1447">
        <v>1090</v>
      </c>
      <c r="P1447">
        <v>0.46581196581196599</v>
      </c>
      <c r="Q1447">
        <v>0</v>
      </c>
      <c r="R1447">
        <v>0</v>
      </c>
      <c r="S1447">
        <v>5</v>
      </c>
      <c r="T1447">
        <v>2340</v>
      </c>
    </row>
    <row r="1448" spans="1:20">
      <c r="A1448" t="s">
        <v>1852</v>
      </c>
      <c r="B1448" s="1">
        <v>45646</v>
      </c>
      <c r="C1448">
        <v>51</v>
      </c>
      <c r="D1448">
        <v>12</v>
      </c>
      <c r="E1448" t="s">
        <v>1734</v>
      </c>
      <c r="F1448" t="s">
        <v>115</v>
      </c>
      <c r="G1448" t="s">
        <v>23</v>
      </c>
      <c r="H1448">
        <v>4</v>
      </c>
      <c r="I1448">
        <v>1140</v>
      </c>
      <c r="J1448">
        <v>5</v>
      </c>
      <c r="K1448" t="s">
        <v>1926</v>
      </c>
      <c r="L1448">
        <v>600</v>
      </c>
      <c r="M1448">
        <v>4560</v>
      </c>
      <c r="N1448">
        <v>2400</v>
      </c>
      <c r="O1448">
        <v>2160</v>
      </c>
      <c r="P1448">
        <v>0.47368421052631599</v>
      </c>
      <c r="Q1448">
        <v>0</v>
      </c>
      <c r="R1448">
        <v>0</v>
      </c>
      <c r="S1448">
        <v>4</v>
      </c>
      <c r="T1448">
        <v>4560</v>
      </c>
    </row>
    <row r="1449" spans="1:20">
      <c r="A1449" t="s">
        <v>1853</v>
      </c>
      <c r="B1449" s="1">
        <v>45647</v>
      </c>
      <c r="C1449">
        <v>51</v>
      </c>
      <c r="D1449">
        <v>12</v>
      </c>
      <c r="E1449" t="s">
        <v>1734</v>
      </c>
      <c r="F1449" t="s">
        <v>86</v>
      </c>
      <c r="G1449" t="s">
        <v>17</v>
      </c>
      <c r="H1449">
        <v>3</v>
      </c>
      <c r="I1449">
        <v>940</v>
      </c>
      <c r="J1449">
        <v>0</v>
      </c>
      <c r="K1449" t="s">
        <v>1944</v>
      </c>
      <c r="L1449">
        <v>450</v>
      </c>
      <c r="M1449">
        <v>2820</v>
      </c>
      <c r="N1449">
        <v>1350</v>
      </c>
      <c r="O1449">
        <v>1470</v>
      </c>
      <c r="P1449">
        <v>0.52127659574468099</v>
      </c>
      <c r="Q1449">
        <v>0</v>
      </c>
      <c r="R1449">
        <v>0</v>
      </c>
      <c r="S1449">
        <v>3</v>
      </c>
      <c r="T1449">
        <v>2820</v>
      </c>
    </row>
    <row r="1450" spans="1:20">
      <c r="A1450" t="s">
        <v>1855</v>
      </c>
      <c r="B1450" s="1">
        <v>45647</v>
      </c>
      <c r="C1450">
        <v>51</v>
      </c>
      <c r="D1450">
        <v>12</v>
      </c>
      <c r="E1450" t="s">
        <v>1734</v>
      </c>
      <c r="F1450" t="s">
        <v>66</v>
      </c>
      <c r="G1450" t="s">
        <v>17</v>
      </c>
      <c r="H1450">
        <v>5</v>
      </c>
      <c r="I1450">
        <v>1249.5</v>
      </c>
      <c r="J1450">
        <v>15</v>
      </c>
      <c r="K1450" t="s">
        <v>1941</v>
      </c>
      <c r="L1450">
        <v>700</v>
      </c>
      <c r="M1450">
        <v>6247.5</v>
      </c>
      <c r="N1450">
        <v>3500</v>
      </c>
      <c r="O1450">
        <v>2747.5</v>
      </c>
      <c r="P1450">
        <v>0.43977591036414598</v>
      </c>
      <c r="Q1450">
        <v>0</v>
      </c>
      <c r="R1450">
        <v>0</v>
      </c>
      <c r="S1450">
        <v>5</v>
      </c>
      <c r="T1450">
        <v>6247.5</v>
      </c>
    </row>
    <row r="1451" spans="1:20">
      <c r="A1451" t="s">
        <v>1856</v>
      </c>
      <c r="B1451" s="1">
        <v>45647</v>
      </c>
      <c r="C1451">
        <v>51</v>
      </c>
      <c r="D1451">
        <v>12</v>
      </c>
      <c r="E1451" t="s">
        <v>1734</v>
      </c>
      <c r="F1451" t="s">
        <v>94</v>
      </c>
      <c r="G1451" t="s">
        <v>17</v>
      </c>
      <c r="H1451">
        <v>5</v>
      </c>
      <c r="I1451">
        <v>1680</v>
      </c>
      <c r="J1451">
        <v>0</v>
      </c>
      <c r="K1451" t="s">
        <v>1943</v>
      </c>
      <c r="L1451">
        <v>800</v>
      </c>
      <c r="M1451">
        <v>8400</v>
      </c>
      <c r="N1451">
        <v>4000</v>
      </c>
      <c r="O1451">
        <v>4400</v>
      </c>
      <c r="P1451">
        <v>0.52380952380952395</v>
      </c>
      <c r="Q1451">
        <v>0</v>
      </c>
      <c r="R1451">
        <v>0</v>
      </c>
      <c r="S1451">
        <v>5</v>
      </c>
      <c r="T1451">
        <v>8400</v>
      </c>
    </row>
    <row r="1452" spans="1:20">
      <c r="A1452" t="s">
        <v>1857</v>
      </c>
      <c r="B1452" s="1">
        <v>45647</v>
      </c>
      <c r="C1452">
        <v>51</v>
      </c>
      <c r="D1452">
        <v>12</v>
      </c>
      <c r="E1452" t="s">
        <v>1734</v>
      </c>
      <c r="F1452" t="s">
        <v>13</v>
      </c>
      <c r="G1452" t="s">
        <v>14</v>
      </c>
      <c r="H1452">
        <v>5</v>
      </c>
      <c r="I1452">
        <v>432</v>
      </c>
      <c r="J1452">
        <v>10</v>
      </c>
      <c r="K1452" t="s">
        <v>1925</v>
      </c>
      <c r="L1452">
        <v>220</v>
      </c>
      <c r="M1452">
        <v>2160</v>
      </c>
      <c r="N1452">
        <v>1100</v>
      </c>
      <c r="O1452">
        <v>1060</v>
      </c>
      <c r="P1452">
        <v>0.49074074074074098</v>
      </c>
      <c r="Q1452">
        <v>0</v>
      </c>
      <c r="R1452">
        <v>0</v>
      </c>
      <c r="S1452">
        <v>5</v>
      </c>
      <c r="T1452">
        <v>2160</v>
      </c>
    </row>
    <row r="1453" spans="1:20">
      <c r="A1453" t="s">
        <v>1858</v>
      </c>
      <c r="B1453" s="1">
        <v>45647</v>
      </c>
      <c r="C1453">
        <v>51</v>
      </c>
      <c r="D1453">
        <v>12</v>
      </c>
      <c r="E1453" t="s">
        <v>1734</v>
      </c>
      <c r="F1453" t="s">
        <v>349</v>
      </c>
      <c r="G1453" t="s">
        <v>221</v>
      </c>
      <c r="H1453">
        <v>1</v>
      </c>
      <c r="I1453">
        <v>400</v>
      </c>
      <c r="J1453">
        <v>0</v>
      </c>
      <c r="K1453" t="s">
        <v>1948</v>
      </c>
      <c r="L1453">
        <v>200</v>
      </c>
      <c r="M1453">
        <v>400</v>
      </c>
      <c r="N1453">
        <v>200</v>
      </c>
      <c r="O1453">
        <v>200</v>
      </c>
      <c r="P1453">
        <v>0.5</v>
      </c>
      <c r="Q1453">
        <v>0</v>
      </c>
      <c r="R1453">
        <v>0</v>
      </c>
      <c r="S1453">
        <v>1</v>
      </c>
      <c r="T1453">
        <v>400</v>
      </c>
    </row>
    <row r="1454" spans="1:20">
      <c r="A1454" t="s">
        <v>1859</v>
      </c>
      <c r="B1454" s="1">
        <v>45647</v>
      </c>
      <c r="C1454">
        <v>51</v>
      </c>
      <c r="D1454">
        <v>12</v>
      </c>
      <c r="E1454" t="s">
        <v>1734</v>
      </c>
      <c r="F1454" t="s">
        <v>68</v>
      </c>
      <c r="G1454" t="s">
        <v>26</v>
      </c>
      <c r="H1454">
        <v>3</v>
      </c>
      <c r="I1454">
        <v>380</v>
      </c>
      <c r="J1454">
        <v>0</v>
      </c>
      <c r="K1454" t="s">
        <v>1937</v>
      </c>
      <c r="L1454">
        <v>150</v>
      </c>
      <c r="M1454">
        <v>1140</v>
      </c>
      <c r="N1454">
        <v>450</v>
      </c>
      <c r="O1454">
        <v>690</v>
      </c>
      <c r="P1454">
        <v>0.60526315789473695</v>
      </c>
      <c r="Q1454">
        <v>3</v>
      </c>
      <c r="R1454">
        <v>3</v>
      </c>
      <c r="S1454">
        <v>0</v>
      </c>
      <c r="T1454">
        <v>0</v>
      </c>
    </row>
    <row r="1455" spans="1:20">
      <c r="A1455" t="s">
        <v>1860</v>
      </c>
      <c r="B1455" s="1">
        <v>45647</v>
      </c>
      <c r="C1455">
        <v>51</v>
      </c>
      <c r="D1455">
        <v>12</v>
      </c>
      <c r="E1455" t="s">
        <v>1734</v>
      </c>
      <c r="F1455" t="s">
        <v>45</v>
      </c>
      <c r="G1455" t="s">
        <v>26</v>
      </c>
      <c r="H1455">
        <v>3</v>
      </c>
      <c r="I1455">
        <v>4500</v>
      </c>
      <c r="J1455">
        <v>0</v>
      </c>
      <c r="K1455" t="s">
        <v>1938</v>
      </c>
      <c r="L1455">
        <v>1800</v>
      </c>
      <c r="M1455">
        <v>13500</v>
      </c>
      <c r="N1455">
        <v>5400</v>
      </c>
      <c r="O1455">
        <v>8100</v>
      </c>
      <c r="P1455">
        <v>0.6</v>
      </c>
      <c r="Q1455">
        <v>0</v>
      </c>
      <c r="R1455">
        <v>0</v>
      </c>
      <c r="S1455">
        <v>3</v>
      </c>
      <c r="T1455">
        <v>13500</v>
      </c>
    </row>
    <row r="1456" spans="1:20">
      <c r="A1456" t="s">
        <v>1861</v>
      </c>
      <c r="B1456" s="1">
        <v>45648</v>
      </c>
      <c r="C1456">
        <v>51</v>
      </c>
      <c r="D1456">
        <v>12</v>
      </c>
      <c r="E1456" t="s">
        <v>1734</v>
      </c>
      <c r="F1456" t="s">
        <v>94</v>
      </c>
      <c r="G1456" t="s">
        <v>17</v>
      </c>
      <c r="H1456">
        <v>3</v>
      </c>
      <c r="I1456">
        <v>1596</v>
      </c>
      <c r="J1456">
        <v>5</v>
      </c>
      <c r="K1456" t="s">
        <v>1943</v>
      </c>
      <c r="L1456">
        <v>800</v>
      </c>
      <c r="M1456">
        <v>4788</v>
      </c>
      <c r="N1456">
        <v>2400</v>
      </c>
      <c r="O1456">
        <v>2388</v>
      </c>
      <c r="P1456">
        <v>0.49874686716791999</v>
      </c>
      <c r="Q1456">
        <v>0</v>
      </c>
      <c r="R1456">
        <v>0</v>
      </c>
      <c r="S1456">
        <v>3</v>
      </c>
      <c r="T1456">
        <v>4788</v>
      </c>
    </row>
    <row r="1457" spans="1:20">
      <c r="A1457" t="s">
        <v>1863</v>
      </c>
      <c r="B1457" s="1">
        <v>45648</v>
      </c>
      <c r="C1457">
        <v>51</v>
      </c>
      <c r="D1457">
        <v>12</v>
      </c>
      <c r="E1457" t="s">
        <v>1734</v>
      </c>
      <c r="F1457" t="s">
        <v>39</v>
      </c>
      <c r="G1457" t="s">
        <v>14</v>
      </c>
      <c r="H1457">
        <v>4</v>
      </c>
      <c r="I1457">
        <v>792</v>
      </c>
      <c r="J1457">
        <v>10</v>
      </c>
      <c r="K1457" t="s">
        <v>1921</v>
      </c>
      <c r="L1457">
        <v>400</v>
      </c>
      <c r="M1457">
        <v>3168</v>
      </c>
      <c r="N1457">
        <v>1600</v>
      </c>
      <c r="O1457">
        <v>1568</v>
      </c>
      <c r="P1457">
        <v>0.49494949494949497</v>
      </c>
      <c r="Q1457">
        <v>0</v>
      </c>
      <c r="R1457">
        <v>0</v>
      </c>
      <c r="S1457">
        <v>4</v>
      </c>
      <c r="T1457">
        <v>3168</v>
      </c>
    </row>
    <row r="1458" spans="1:20">
      <c r="A1458" t="s">
        <v>1864</v>
      </c>
      <c r="B1458" s="1">
        <v>45648</v>
      </c>
      <c r="C1458">
        <v>51</v>
      </c>
      <c r="D1458">
        <v>12</v>
      </c>
      <c r="E1458" t="s">
        <v>1734</v>
      </c>
      <c r="F1458" t="s">
        <v>16</v>
      </c>
      <c r="G1458" t="s">
        <v>17</v>
      </c>
      <c r="H1458">
        <v>1</v>
      </c>
      <c r="I1458">
        <v>520</v>
      </c>
      <c r="J1458">
        <v>0</v>
      </c>
      <c r="K1458" t="s">
        <v>1945</v>
      </c>
      <c r="L1458">
        <v>250</v>
      </c>
      <c r="M1458">
        <v>520</v>
      </c>
      <c r="N1458">
        <v>250</v>
      </c>
      <c r="O1458">
        <v>270</v>
      </c>
      <c r="P1458">
        <v>0.51923076923076905</v>
      </c>
      <c r="Q1458">
        <v>0</v>
      </c>
      <c r="R1458">
        <v>0</v>
      </c>
      <c r="S1458">
        <v>1</v>
      </c>
      <c r="T1458">
        <v>520</v>
      </c>
    </row>
    <row r="1459" spans="1:20">
      <c r="A1459" t="s">
        <v>1865</v>
      </c>
      <c r="B1459" s="1">
        <v>45648</v>
      </c>
      <c r="C1459">
        <v>51</v>
      </c>
      <c r="D1459">
        <v>12</v>
      </c>
      <c r="E1459" t="s">
        <v>1734</v>
      </c>
      <c r="F1459" t="s">
        <v>80</v>
      </c>
      <c r="G1459" t="s">
        <v>14</v>
      </c>
      <c r="H1459">
        <v>2</v>
      </c>
      <c r="I1459">
        <v>340</v>
      </c>
      <c r="J1459">
        <v>15</v>
      </c>
      <c r="K1459" t="s">
        <v>1922</v>
      </c>
      <c r="L1459">
        <v>180</v>
      </c>
      <c r="M1459">
        <v>680</v>
      </c>
      <c r="N1459">
        <v>360</v>
      </c>
      <c r="O1459">
        <v>320</v>
      </c>
      <c r="P1459">
        <v>0.47058823529411797</v>
      </c>
      <c r="Q1459">
        <v>0</v>
      </c>
      <c r="R1459">
        <v>0</v>
      </c>
      <c r="S1459">
        <v>2</v>
      </c>
      <c r="T1459">
        <v>680</v>
      </c>
    </row>
    <row r="1460" spans="1:20">
      <c r="A1460" t="s">
        <v>1866</v>
      </c>
      <c r="B1460" s="1">
        <v>45648</v>
      </c>
      <c r="C1460">
        <v>51</v>
      </c>
      <c r="D1460">
        <v>12</v>
      </c>
      <c r="E1460" t="s">
        <v>1734</v>
      </c>
      <c r="F1460" t="s">
        <v>13</v>
      </c>
      <c r="G1460" t="s">
        <v>14</v>
      </c>
      <c r="H1460">
        <v>2</v>
      </c>
      <c r="I1460">
        <v>432</v>
      </c>
      <c r="J1460">
        <v>10</v>
      </c>
      <c r="K1460" t="s">
        <v>1925</v>
      </c>
      <c r="L1460">
        <v>220</v>
      </c>
      <c r="M1460">
        <v>864</v>
      </c>
      <c r="N1460">
        <v>440</v>
      </c>
      <c r="O1460">
        <v>424</v>
      </c>
      <c r="P1460">
        <v>0.49074074074074098</v>
      </c>
      <c r="Q1460">
        <v>0</v>
      </c>
      <c r="R1460">
        <v>0</v>
      </c>
      <c r="S1460">
        <v>2</v>
      </c>
      <c r="T1460">
        <v>864</v>
      </c>
    </row>
    <row r="1461" spans="1:20">
      <c r="A1461" t="s">
        <v>1867</v>
      </c>
      <c r="B1461" s="1">
        <v>45648</v>
      </c>
      <c r="C1461">
        <v>51</v>
      </c>
      <c r="D1461">
        <v>12</v>
      </c>
      <c r="E1461" t="s">
        <v>1734</v>
      </c>
      <c r="F1461" t="s">
        <v>39</v>
      </c>
      <c r="G1461" t="s">
        <v>14</v>
      </c>
      <c r="H1461">
        <v>1</v>
      </c>
      <c r="I1461">
        <v>836</v>
      </c>
      <c r="J1461">
        <v>5</v>
      </c>
      <c r="K1461" t="s">
        <v>1921</v>
      </c>
      <c r="L1461">
        <v>400</v>
      </c>
      <c r="M1461">
        <v>836</v>
      </c>
      <c r="N1461">
        <v>400</v>
      </c>
      <c r="O1461">
        <v>436</v>
      </c>
      <c r="P1461">
        <v>0.52153110047846896</v>
      </c>
      <c r="Q1461">
        <v>0</v>
      </c>
      <c r="R1461">
        <v>0</v>
      </c>
      <c r="S1461">
        <v>1</v>
      </c>
      <c r="T1461">
        <v>836</v>
      </c>
    </row>
    <row r="1462" spans="1:20">
      <c r="A1462" t="s">
        <v>1868</v>
      </c>
      <c r="B1462" s="1">
        <v>45649</v>
      </c>
      <c r="C1462">
        <v>52</v>
      </c>
      <c r="D1462">
        <v>12</v>
      </c>
      <c r="E1462" t="s">
        <v>1734</v>
      </c>
      <c r="F1462" t="s">
        <v>13</v>
      </c>
      <c r="G1462" t="s">
        <v>14</v>
      </c>
      <c r="H1462">
        <v>5</v>
      </c>
      <c r="I1462">
        <v>480</v>
      </c>
      <c r="J1462">
        <v>0</v>
      </c>
      <c r="K1462" t="s">
        <v>1925</v>
      </c>
      <c r="L1462">
        <v>220</v>
      </c>
      <c r="M1462">
        <v>2400</v>
      </c>
      <c r="N1462">
        <v>1100</v>
      </c>
      <c r="O1462">
        <v>1300</v>
      </c>
      <c r="P1462">
        <v>0.54166666666666696</v>
      </c>
      <c r="Q1462">
        <v>0</v>
      </c>
      <c r="R1462">
        <v>0</v>
      </c>
      <c r="S1462">
        <v>5</v>
      </c>
      <c r="T1462">
        <v>2400</v>
      </c>
    </row>
    <row r="1463" spans="1:20">
      <c r="A1463" t="s">
        <v>1870</v>
      </c>
      <c r="B1463" s="1">
        <v>45649</v>
      </c>
      <c r="C1463">
        <v>52</v>
      </c>
      <c r="D1463">
        <v>12</v>
      </c>
      <c r="E1463" t="s">
        <v>1734</v>
      </c>
      <c r="F1463" t="s">
        <v>31</v>
      </c>
      <c r="G1463" t="s">
        <v>23</v>
      </c>
      <c r="H1463">
        <v>1</v>
      </c>
      <c r="I1463">
        <v>1260</v>
      </c>
      <c r="J1463">
        <v>10</v>
      </c>
      <c r="K1463" t="s">
        <v>1930</v>
      </c>
      <c r="L1463">
        <v>700</v>
      </c>
      <c r="M1463">
        <v>1260</v>
      </c>
      <c r="N1463">
        <v>700</v>
      </c>
      <c r="O1463">
        <v>560</v>
      </c>
      <c r="P1463">
        <v>0.44444444444444398</v>
      </c>
      <c r="Q1463">
        <v>0</v>
      </c>
      <c r="R1463">
        <v>0</v>
      </c>
      <c r="S1463">
        <v>1</v>
      </c>
      <c r="T1463">
        <v>1260</v>
      </c>
    </row>
    <row r="1464" spans="1:20">
      <c r="A1464" t="s">
        <v>1871</v>
      </c>
      <c r="B1464" s="1">
        <v>45649</v>
      </c>
      <c r="C1464">
        <v>52</v>
      </c>
      <c r="D1464">
        <v>12</v>
      </c>
      <c r="E1464" t="s">
        <v>1734</v>
      </c>
      <c r="F1464" t="s">
        <v>51</v>
      </c>
      <c r="G1464" t="s">
        <v>26</v>
      </c>
      <c r="H1464">
        <v>2</v>
      </c>
      <c r="I1464">
        <v>500</v>
      </c>
      <c r="J1464">
        <v>0</v>
      </c>
      <c r="K1464" t="s">
        <v>1936</v>
      </c>
      <c r="L1464">
        <v>200</v>
      </c>
      <c r="M1464">
        <v>1000</v>
      </c>
      <c r="N1464">
        <v>400</v>
      </c>
      <c r="O1464">
        <v>600</v>
      </c>
      <c r="P1464">
        <v>0.6</v>
      </c>
      <c r="Q1464">
        <v>0</v>
      </c>
      <c r="R1464">
        <v>0</v>
      </c>
      <c r="S1464">
        <v>2</v>
      </c>
      <c r="T1464">
        <v>1000</v>
      </c>
    </row>
    <row r="1465" spans="1:20">
      <c r="A1465" t="s">
        <v>1872</v>
      </c>
      <c r="B1465" s="1">
        <v>45649</v>
      </c>
      <c r="C1465">
        <v>52</v>
      </c>
      <c r="D1465">
        <v>12</v>
      </c>
      <c r="E1465" t="s">
        <v>1734</v>
      </c>
      <c r="F1465" t="s">
        <v>58</v>
      </c>
      <c r="G1465" t="s">
        <v>23</v>
      </c>
      <c r="H1465">
        <v>1</v>
      </c>
      <c r="I1465">
        <v>1000</v>
      </c>
      <c r="J1465">
        <v>0</v>
      </c>
      <c r="K1465" t="s">
        <v>1927</v>
      </c>
      <c r="L1465">
        <v>500</v>
      </c>
      <c r="M1465">
        <v>1000</v>
      </c>
      <c r="N1465">
        <v>500</v>
      </c>
      <c r="O1465">
        <v>500</v>
      </c>
      <c r="P1465">
        <v>0.5</v>
      </c>
      <c r="Q1465">
        <v>0</v>
      </c>
      <c r="R1465">
        <v>0</v>
      </c>
      <c r="S1465">
        <v>1</v>
      </c>
      <c r="T1465">
        <v>1000</v>
      </c>
    </row>
    <row r="1466" spans="1:20">
      <c r="A1466" t="s">
        <v>1873</v>
      </c>
      <c r="B1466" s="1">
        <v>45650</v>
      </c>
      <c r="C1466">
        <v>52</v>
      </c>
      <c r="D1466">
        <v>12</v>
      </c>
      <c r="E1466" t="s">
        <v>1734</v>
      </c>
      <c r="F1466" t="s">
        <v>16</v>
      </c>
      <c r="G1466" t="s">
        <v>17</v>
      </c>
      <c r="H1466">
        <v>1</v>
      </c>
      <c r="I1466">
        <v>468</v>
      </c>
      <c r="J1466">
        <v>10</v>
      </c>
      <c r="K1466" t="s">
        <v>1945</v>
      </c>
      <c r="L1466">
        <v>250</v>
      </c>
      <c r="M1466">
        <v>468</v>
      </c>
      <c r="N1466">
        <v>250</v>
      </c>
      <c r="O1466">
        <v>218</v>
      </c>
      <c r="P1466">
        <v>0.46581196581196599</v>
      </c>
      <c r="Q1466">
        <v>0</v>
      </c>
      <c r="R1466">
        <v>0</v>
      </c>
      <c r="S1466">
        <v>1</v>
      </c>
      <c r="T1466">
        <v>468</v>
      </c>
    </row>
    <row r="1467" spans="1:20">
      <c r="A1467" t="s">
        <v>1875</v>
      </c>
      <c r="B1467" s="1">
        <v>45650</v>
      </c>
      <c r="C1467">
        <v>52</v>
      </c>
      <c r="D1467">
        <v>12</v>
      </c>
      <c r="E1467" t="s">
        <v>1734</v>
      </c>
      <c r="F1467" t="s">
        <v>28</v>
      </c>
      <c r="G1467" t="s">
        <v>26</v>
      </c>
      <c r="H1467">
        <v>4</v>
      </c>
      <c r="I1467">
        <v>1500</v>
      </c>
      <c r="J1467">
        <v>0</v>
      </c>
      <c r="K1467" t="s">
        <v>1939</v>
      </c>
      <c r="L1467">
        <v>600</v>
      </c>
      <c r="M1467">
        <v>6000</v>
      </c>
      <c r="N1467">
        <v>2400</v>
      </c>
      <c r="O1467">
        <v>3600</v>
      </c>
      <c r="P1467">
        <v>0.6</v>
      </c>
      <c r="Q1467">
        <v>0</v>
      </c>
      <c r="R1467">
        <v>0</v>
      </c>
      <c r="S1467">
        <v>4</v>
      </c>
      <c r="T1467">
        <v>6000</v>
      </c>
    </row>
    <row r="1468" spans="1:20">
      <c r="A1468" t="s">
        <v>1876</v>
      </c>
      <c r="B1468" s="1">
        <v>45650</v>
      </c>
      <c r="C1468">
        <v>52</v>
      </c>
      <c r="D1468">
        <v>12</v>
      </c>
      <c r="E1468" t="s">
        <v>1734</v>
      </c>
      <c r="F1468" t="s">
        <v>37</v>
      </c>
      <c r="G1468" t="s">
        <v>20</v>
      </c>
      <c r="H1468">
        <v>2</v>
      </c>
      <c r="I1468">
        <v>2340</v>
      </c>
      <c r="J1468">
        <v>0</v>
      </c>
      <c r="K1468" t="s">
        <v>1935</v>
      </c>
      <c r="L1468">
        <v>1300</v>
      </c>
      <c r="M1468">
        <v>4680</v>
      </c>
      <c r="N1468">
        <v>2600</v>
      </c>
      <c r="O1468">
        <v>2080</v>
      </c>
      <c r="P1468">
        <v>0.44444444444444398</v>
      </c>
      <c r="Q1468">
        <v>0</v>
      </c>
      <c r="R1468">
        <v>0</v>
      </c>
      <c r="S1468">
        <v>2</v>
      </c>
      <c r="T1468">
        <v>4680</v>
      </c>
    </row>
    <row r="1469" spans="1:20">
      <c r="A1469" t="s">
        <v>1877</v>
      </c>
      <c r="B1469" s="1">
        <v>45650</v>
      </c>
      <c r="C1469">
        <v>52</v>
      </c>
      <c r="D1469">
        <v>12</v>
      </c>
      <c r="E1469" t="s">
        <v>1734</v>
      </c>
      <c r="F1469" t="s">
        <v>31</v>
      </c>
      <c r="G1469" t="s">
        <v>23</v>
      </c>
      <c r="H1469">
        <v>3</v>
      </c>
      <c r="I1469">
        <v>1400</v>
      </c>
      <c r="J1469">
        <v>0</v>
      </c>
      <c r="K1469" t="s">
        <v>1930</v>
      </c>
      <c r="L1469">
        <v>700</v>
      </c>
      <c r="M1469">
        <v>4200</v>
      </c>
      <c r="N1469">
        <v>2100</v>
      </c>
      <c r="O1469">
        <v>2100</v>
      </c>
      <c r="P1469">
        <v>0.5</v>
      </c>
      <c r="Q1469">
        <v>0</v>
      </c>
      <c r="R1469">
        <v>0</v>
      </c>
      <c r="S1469">
        <v>3</v>
      </c>
      <c r="T1469">
        <v>4200</v>
      </c>
    </row>
    <row r="1470" spans="1:20">
      <c r="A1470" t="s">
        <v>1878</v>
      </c>
      <c r="B1470" s="1">
        <v>45650</v>
      </c>
      <c r="C1470">
        <v>52</v>
      </c>
      <c r="D1470">
        <v>12</v>
      </c>
      <c r="E1470" t="s">
        <v>1734</v>
      </c>
      <c r="F1470" t="s">
        <v>35</v>
      </c>
      <c r="G1470" t="s">
        <v>17</v>
      </c>
      <c r="H1470">
        <v>1</v>
      </c>
      <c r="I1470">
        <v>3150</v>
      </c>
      <c r="J1470">
        <v>0</v>
      </c>
      <c r="K1470" t="s">
        <v>1942</v>
      </c>
      <c r="L1470">
        <v>1500</v>
      </c>
      <c r="M1470">
        <v>3150</v>
      </c>
      <c r="N1470">
        <v>1500</v>
      </c>
      <c r="O1470">
        <v>1650</v>
      </c>
      <c r="P1470">
        <v>0.52380952380952395</v>
      </c>
      <c r="Q1470">
        <v>0</v>
      </c>
      <c r="R1470">
        <v>0</v>
      </c>
      <c r="S1470">
        <v>1</v>
      </c>
      <c r="T1470">
        <v>3150</v>
      </c>
    </row>
    <row r="1471" spans="1:20">
      <c r="A1471" t="s">
        <v>1879</v>
      </c>
      <c r="B1471" s="1">
        <v>45650</v>
      </c>
      <c r="C1471">
        <v>52</v>
      </c>
      <c r="D1471">
        <v>12</v>
      </c>
      <c r="E1471" t="s">
        <v>1734</v>
      </c>
      <c r="F1471" t="s">
        <v>35</v>
      </c>
      <c r="G1471" t="s">
        <v>17</v>
      </c>
      <c r="H1471">
        <v>4</v>
      </c>
      <c r="I1471">
        <v>3150</v>
      </c>
      <c r="J1471">
        <v>0</v>
      </c>
      <c r="K1471" t="s">
        <v>1942</v>
      </c>
      <c r="L1471">
        <v>1500</v>
      </c>
      <c r="M1471">
        <v>12600</v>
      </c>
      <c r="N1471">
        <v>6000</v>
      </c>
      <c r="O1471">
        <v>6600</v>
      </c>
      <c r="P1471">
        <v>0.52380952380952395</v>
      </c>
      <c r="Q1471">
        <v>0</v>
      </c>
      <c r="R1471">
        <v>0</v>
      </c>
      <c r="S1471">
        <v>4</v>
      </c>
      <c r="T1471">
        <v>12600</v>
      </c>
    </row>
    <row r="1472" spans="1:20">
      <c r="A1472" t="s">
        <v>1880</v>
      </c>
      <c r="B1472" s="1">
        <v>45651</v>
      </c>
      <c r="C1472">
        <v>52</v>
      </c>
      <c r="D1472">
        <v>12</v>
      </c>
      <c r="E1472" t="s">
        <v>1734</v>
      </c>
      <c r="F1472" t="s">
        <v>82</v>
      </c>
      <c r="G1472" t="s">
        <v>20</v>
      </c>
      <c r="H1472">
        <v>4</v>
      </c>
      <c r="I1472">
        <v>810</v>
      </c>
      <c r="J1472">
        <v>10</v>
      </c>
      <c r="K1472" t="s">
        <v>1933</v>
      </c>
      <c r="L1472">
        <v>500</v>
      </c>
      <c r="M1472">
        <v>3240</v>
      </c>
      <c r="N1472">
        <v>2000</v>
      </c>
      <c r="O1472">
        <v>1240</v>
      </c>
      <c r="P1472">
        <v>0.38271604938271597</v>
      </c>
      <c r="Q1472">
        <v>3</v>
      </c>
      <c r="R1472">
        <v>3</v>
      </c>
      <c r="S1472">
        <v>1</v>
      </c>
      <c r="T1472">
        <v>810</v>
      </c>
    </row>
    <row r="1473" spans="1:20">
      <c r="A1473" t="s">
        <v>1882</v>
      </c>
      <c r="B1473" s="1">
        <v>45651</v>
      </c>
      <c r="C1473">
        <v>52</v>
      </c>
      <c r="D1473">
        <v>12</v>
      </c>
      <c r="E1473" t="s">
        <v>1734</v>
      </c>
      <c r="F1473" t="s">
        <v>39</v>
      </c>
      <c r="G1473" t="s">
        <v>14</v>
      </c>
      <c r="H1473">
        <v>5</v>
      </c>
      <c r="I1473">
        <v>748</v>
      </c>
      <c r="J1473">
        <v>15</v>
      </c>
      <c r="K1473" t="s">
        <v>1921</v>
      </c>
      <c r="L1473">
        <v>400</v>
      </c>
      <c r="M1473">
        <v>3740</v>
      </c>
      <c r="N1473">
        <v>2000</v>
      </c>
      <c r="O1473">
        <v>1740</v>
      </c>
      <c r="P1473">
        <v>0.46524064171122997</v>
      </c>
      <c r="Q1473">
        <v>0</v>
      </c>
      <c r="R1473">
        <v>0</v>
      </c>
      <c r="S1473">
        <v>5</v>
      </c>
      <c r="T1473">
        <v>3740</v>
      </c>
    </row>
    <row r="1474" spans="1:20">
      <c r="A1474" t="s">
        <v>1883</v>
      </c>
      <c r="B1474" s="1">
        <v>45651</v>
      </c>
      <c r="C1474">
        <v>52</v>
      </c>
      <c r="D1474">
        <v>12</v>
      </c>
      <c r="E1474" t="s">
        <v>1734</v>
      </c>
      <c r="F1474" t="s">
        <v>22</v>
      </c>
      <c r="G1474" t="s">
        <v>23</v>
      </c>
      <c r="H1474">
        <v>3</v>
      </c>
      <c r="I1474">
        <v>450</v>
      </c>
      <c r="J1474">
        <v>10</v>
      </c>
      <c r="K1474" t="s">
        <v>1929</v>
      </c>
      <c r="L1474">
        <v>250</v>
      </c>
      <c r="M1474">
        <v>1350</v>
      </c>
      <c r="N1474">
        <v>750</v>
      </c>
      <c r="O1474">
        <v>600</v>
      </c>
      <c r="P1474">
        <v>0.44444444444444398</v>
      </c>
      <c r="Q1474">
        <v>0</v>
      </c>
      <c r="R1474">
        <v>0</v>
      </c>
      <c r="S1474">
        <v>3</v>
      </c>
      <c r="T1474">
        <v>1350</v>
      </c>
    </row>
    <row r="1475" spans="1:20">
      <c r="A1475" t="s">
        <v>1884</v>
      </c>
      <c r="B1475" s="1">
        <v>45651</v>
      </c>
      <c r="C1475">
        <v>52</v>
      </c>
      <c r="D1475">
        <v>12</v>
      </c>
      <c r="E1475" t="s">
        <v>1734</v>
      </c>
      <c r="F1475" t="s">
        <v>16</v>
      </c>
      <c r="G1475" t="s">
        <v>17</v>
      </c>
      <c r="H1475">
        <v>2</v>
      </c>
      <c r="I1475">
        <v>520</v>
      </c>
      <c r="J1475">
        <v>0</v>
      </c>
      <c r="K1475" t="s">
        <v>1945</v>
      </c>
      <c r="L1475">
        <v>250</v>
      </c>
      <c r="M1475">
        <v>1040</v>
      </c>
      <c r="N1475">
        <v>500</v>
      </c>
      <c r="O1475">
        <v>540</v>
      </c>
      <c r="P1475">
        <v>0.51923076923076905</v>
      </c>
      <c r="Q1475">
        <v>0</v>
      </c>
      <c r="R1475">
        <v>0</v>
      </c>
      <c r="S1475">
        <v>2</v>
      </c>
      <c r="T1475">
        <v>1040</v>
      </c>
    </row>
    <row r="1476" spans="1:20">
      <c r="A1476" t="s">
        <v>1885</v>
      </c>
      <c r="B1476" s="1">
        <v>45651</v>
      </c>
      <c r="C1476">
        <v>52</v>
      </c>
      <c r="D1476">
        <v>12</v>
      </c>
      <c r="E1476" t="s">
        <v>1734</v>
      </c>
      <c r="F1476" t="s">
        <v>94</v>
      </c>
      <c r="G1476" t="s">
        <v>17</v>
      </c>
      <c r="H1476">
        <v>1</v>
      </c>
      <c r="I1476">
        <v>1680</v>
      </c>
      <c r="J1476">
        <v>0</v>
      </c>
      <c r="K1476" t="s">
        <v>1943</v>
      </c>
      <c r="L1476">
        <v>800</v>
      </c>
      <c r="M1476">
        <v>1680</v>
      </c>
      <c r="N1476">
        <v>800</v>
      </c>
      <c r="O1476">
        <v>880</v>
      </c>
      <c r="P1476">
        <v>0.52380952380952395</v>
      </c>
      <c r="Q1476">
        <v>0</v>
      </c>
      <c r="R1476">
        <v>0</v>
      </c>
      <c r="S1476">
        <v>1</v>
      </c>
      <c r="T1476">
        <v>1680</v>
      </c>
    </row>
    <row r="1477" spans="1:20">
      <c r="A1477" t="s">
        <v>1886</v>
      </c>
      <c r="B1477" s="1">
        <v>45651</v>
      </c>
      <c r="C1477">
        <v>52</v>
      </c>
      <c r="D1477">
        <v>12</v>
      </c>
      <c r="E1477" t="s">
        <v>1734</v>
      </c>
      <c r="F1477" t="s">
        <v>80</v>
      </c>
      <c r="G1477" t="s">
        <v>14</v>
      </c>
      <c r="H1477">
        <v>2</v>
      </c>
      <c r="I1477">
        <v>360</v>
      </c>
      <c r="J1477">
        <v>10</v>
      </c>
      <c r="K1477" t="s">
        <v>1922</v>
      </c>
      <c r="L1477">
        <v>180</v>
      </c>
      <c r="M1477">
        <v>720</v>
      </c>
      <c r="N1477">
        <v>360</v>
      </c>
      <c r="O1477">
        <v>360</v>
      </c>
      <c r="P1477">
        <v>0.5</v>
      </c>
      <c r="Q1477">
        <v>0</v>
      </c>
      <c r="R1477">
        <v>0</v>
      </c>
      <c r="S1477">
        <v>2</v>
      </c>
      <c r="T1477">
        <v>720</v>
      </c>
    </row>
    <row r="1478" spans="1:20">
      <c r="A1478" t="s">
        <v>1887</v>
      </c>
      <c r="B1478" s="1">
        <v>45651</v>
      </c>
      <c r="C1478">
        <v>52</v>
      </c>
      <c r="D1478">
        <v>12</v>
      </c>
      <c r="E1478" t="s">
        <v>1734</v>
      </c>
      <c r="F1478" t="s">
        <v>66</v>
      </c>
      <c r="G1478" t="s">
        <v>17</v>
      </c>
      <c r="H1478">
        <v>1</v>
      </c>
      <c r="I1478">
        <v>1396.5</v>
      </c>
      <c r="J1478">
        <v>5</v>
      </c>
      <c r="K1478" t="s">
        <v>1941</v>
      </c>
      <c r="L1478">
        <v>700</v>
      </c>
      <c r="M1478">
        <v>1396.5</v>
      </c>
      <c r="N1478">
        <v>700</v>
      </c>
      <c r="O1478">
        <v>696.5</v>
      </c>
      <c r="P1478">
        <v>0.49874686716791999</v>
      </c>
      <c r="Q1478">
        <v>0</v>
      </c>
      <c r="R1478">
        <v>0</v>
      </c>
      <c r="S1478">
        <v>1</v>
      </c>
      <c r="T1478">
        <v>1396.5</v>
      </c>
    </row>
    <row r="1479" spans="1:20">
      <c r="A1479" t="s">
        <v>1888</v>
      </c>
      <c r="B1479" s="1">
        <v>45652</v>
      </c>
      <c r="C1479">
        <v>52</v>
      </c>
      <c r="D1479">
        <v>12</v>
      </c>
      <c r="E1479" t="s">
        <v>1734</v>
      </c>
      <c r="F1479" t="s">
        <v>86</v>
      </c>
      <c r="G1479" t="s">
        <v>17</v>
      </c>
      <c r="H1479">
        <v>1</v>
      </c>
      <c r="I1479">
        <v>799</v>
      </c>
      <c r="J1479">
        <v>15</v>
      </c>
      <c r="K1479" t="s">
        <v>1944</v>
      </c>
      <c r="L1479">
        <v>450</v>
      </c>
      <c r="M1479">
        <v>799</v>
      </c>
      <c r="N1479">
        <v>450</v>
      </c>
      <c r="O1479">
        <v>349</v>
      </c>
      <c r="P1479">
        <v>0.436795994993742</v>
      </c>
      <c r="Q1479">
        <v>0</v>
      </c>
      <c r="R1479">
        <v>0</v>
      </c>
      <c r="S1479">
        <v>1</v>
      </c>
      <c r="T1479">
        <v>799</v>
      </c>
    </row>
    <row r="1480" spans="1:20">
      <c r="A1480" t="s">
        <v>1890</v>
      </c>
      <c r="B1480" s="1">
        <v>45652</v>
      </c>
      <c r="C1480">
        <v>52</v>
      </c>
      <c r="D1480">
        <v>12</v>
      </c>
      <c r="E1480" t="s">
        <v>1734</v>
      </c>
      <c r="F1480" t="s">
        <v>45</v>
      </c>
      <c r="G1480" t="s">
        <v>26</v>
      </c>
      <c r="H1480">
        <v>5</v>
      </c>
      <c r="I1480">
        <v>3825</v>
      </c>
      <c r="J1480">
        <v>15</v>
      </c>
      <c r="K1480" t="s">
        <v>1938</v>
      </c>
      <c r="L1480">
        <v>1800</v>
      </c>
      <c r="M1480">
        <v>19125</v>
      </c>
      <c r="N1480">
        <v>9000</v>
      </c>
      <c r="O1480">
        <v>10125</v>
      </c>
      <c r="P1480">
        <v>0.52941176470588203</v>
      </c>
      <c r="Q1480">
        <v>0</v>
      </c>
      <c r="R1480">
        <v>0</v>
      </c>
      <c r="S1480">
        <v>5</v>
      </c>
      <c r="T1480">
        <v>19125</v>
      </c>
    </row>
    <row r="1481" spans="1:20">
      <c r="A1481" t="s">
        <v>1891</v>
      </c>
      <c r="B1481" s="1">
        <v>45652</v>
      </c>
      <c r="C1481">
        <v>52</v>
      </c>
      <c r="D1481">
        <v>12</v>
      </c>
      <c r="E1481" t="s">
        <v>1734</v>
      </c>
      <c r="F1481" t="s">
        <v>66</v>
      </c>
      <c r="G1481" t="s">
        <v>17</v>
      </c>
      <c r="H1481">
        <v>1</v>
      </c>
      <c r="I1481">
        <v>1323</v>
      </c>
      <c r="J1481">
        <v>10</v>
      </c>
      <c r="K1481" t="s">
        <v>1941</v>
      </c>
      <c r="L1481">
        <v>700</v>
      </c>
      <c r="M1481">
        <v>1323</v>
      </c>
      <c r="N1481">
        <v>700</v>
      </c>
      <c r="O1481">
        <v>623</v>
      </c>
      <c r="P1481">
        <v>0.47089947089947098</v>
      </c>
      <c r="Q1481">
        <v>0</v>
      </c>
      <c r="R1481">
        <v>0</v>
      </c>
      <c r="S1481">
        <v>1</v>
      </c>
      <c r="T1481">
        <v>1323</v>
      </c>
    </row>
    <row r="1482" spans="1:20">
      <c r="A1482" t="s">
        <v>1892</v>
      </c>
      <c r="B1482" s="1">
        <v>45653</v>
      </c>
      <c r="C1482">
        <v>52</v>
      </c>
      <c r="D1482">
        <v>12</v>
      </c>
      <c r="E1482" t="s">
        <v>1734</v>
      </c>
      <c r="F1482" t="s">
        <v>51</v>
      </c>
      <c r="G1482" t="s">
        <v>26</v>
      </c>
      <c r="H1482">
        <v>5</v>
      </c>
      <c r="I1482">
        <v>500</v>
      </c>
      <c r="J1482">
        <v>0</v>
      </c>
      <c r="K1482" t="s">
        <v>1936</v>
      </c>
      <c r="L1482">
        <v>200</v>
      </c>
      <c r="M1482">
        <v>2500</v>
      </c>
      <c r="N1482">
        <v>1000</v>
      </c>
      <c r="O1482">
        <v>1500</v>
      </c>
      <c r="P1482">
        <v>0.6</v>
      </c>
      <c r="Q1482">
        <v>0</v>
      </c>
      <c r="R1482">
        <v>0</v>
      </c>
      <c r="S1482">
        <v>5</v>
      </c>
      <c r="T1482">
        <v>2500</v>
      </c>
    </row>
    <row r="1483" spans="1:20">
      <c r="A1483" t="s">
        <v>1894</v>
      </c>
      <c r="B1483" s="1">
        <v>45653</v>
      </c>
      <c r="C1483">
        <v>52</v>
      </c>
      <c r="D1483">
        <v>12</v>
      </c>
      <c r="E1483" t="s">
        <v>1734</v>
      </c>
      <c r="F1483" t="s">
        <v>80</v>
      </c>
      <c r="G1483" t="s">
        <v>14</v>
      </c>
      <c r="H1483">
        <v>5</v>
      </c>
      <c r="I1483">
        <v>400</v>
      </c>
      <c r="J1483">
        <v>0</v>
      </c>
      <c r="K1483" t="s">
        <v>1922</v>
      </c>
      <c r="L1483">
        <v>180</v>
      </c>
      <c r="M1483">
        <v>2000</v>
      </c>
      <c r="N1483">
        <v>900</v>
      </c>
      <c r="O1483">
        <v>1100</v>
      </c>
      <c r="P1483">
        <v>0.55000000000000004</v>
      </c>
      <c r="Q1483">
        <v>0</v>
      </c>
      <c r="R1483">
        <v>0</v>
      </c>
      <c r="S1483">
        <v>5</v>
      </c>
      <c r="T1483">
        <v>2000</v>
      </c>
    </row>
    <row r="1484" spans="1:20">
      <c r="A1484" t="s">
        <v>1895</v>
      </c>
      <c r="B1484" s="1">
        <v>45654</v>
      </c>
      <c r="C1484">
        <v>52</v>
      </c>
      <c r="D1484">
        <v>12</v>
      </c>
      <c r="E1484" t="s">
        <v>1734</v>
      </c>
      <c r="F1484" t="s">
        <v>19</v>
      </c>
      <c r="G1484" t="s">
        <v>20</v>
      </c>
      <c r="H1484">
        <v>4</v>
      </c>
      <c r="I1484">
        <v>1377</v>
      </c>
      <c r="J1484">
        <v>15</v>
      </c>
      <c r="K1484" t="s">
        <v>1931</v>
      </c>
      <c r="L1484">
        <v>900</v>
      </c>
      <c r="M1484">
        <v>5508</v>
      </c>
      <c r="N1484">
        <v>3600</v>
      </c>
      <c r="O1484">
        <v>1908</v>
      </c>
      <c r="P1484">
        <v>0.34640522875816998</v>
      </c>
      <c r="Q1484">
        <v>0</v>
      </c>
      <c r="R1484">
        <v>0</v>
      </c>
      <c r="S1484">
        <v>4</v>
      </c>
      <c r="T1484">
        <v>5508</v>
      </c>
    </row>
    <row r="1485" spans="1:20">
      <c r="A1485" t="s">
        <v>1897</v>
      </c>
      <c r="B1485" s="1">
        <v>45654</v>
      </c>
      <c r="C1485">
        <v>52</v>
      </c>
      <c r="D1485">
        <v>12</v>
      </c>
      <c r="E1485" t="s">
        <v>1734</v>
      </c>
      <c r="F1485" t="s">
        <v>28</v>
      </c>
      <c r="G1485" t="s">
        <v>26</v>
      </c>
      <c r="H1485">
        <v>4</v>
      </c>
      <c r="I1485">
        <v>1350</v>
      </c>
      <c r="J1485">
        <v>10</v>
      </c>
      <c r="K1485" t="s">
        <v>1939</v>
      </c>
      <c r="L1485">
        <v>600</v>
      </c>
      <c r="M1485">
        <v>5400</v>
      </c>
      <c r="N1485">
        <v>2400</v>
      </c>
      <c r="O1485">
        <v>3000</v>
      </c>
      <c r="P1485">
        <v>0.55555555555555602</v>
      </c>
      <c r="Q1485">
        <v>0</v>
      </c>
      <c r="R1485">
        <v>0</v>
      </c>
      <c r="S1485">
        <v>4</v>
      </c>
      <c r="T1485">
        <v>5400</v>
      </c>
    </row>
    <row r="1486" spans="1:20">
      <c r="A1486" t="s">
        <v>1898</v>
      </c>
      <c r="B1486" s="1">
        <v>45654</v>
      </c>
      <c r="C1486">
        <v>52</v>
      </c>
      <c r="D1486">
        <v>12</v>
      </c>
      <c r="E1486" t="s">
        <v>1734</v>
      </c>
      <c r="F1486" t="s">
        <v>51</v>
      </c>
      <c r="G1486" t="s">
        <v>26</v>
      </c>
      <c r="H1486">
        <v>2</v>
      </c>
      <c r="I1486">
        <v>500</v>
      </c>
      <c r="J1486">
        <v>0</v>
      </c>
      <c r="K1486" t="s">
        <v>1936</v>
      </c>
      <c r="L1486">
        <v>200</v>
      </c>
      <c r="M1486">
        <v>1000</v>
      </c>
      <c r="N1486">
        <v>400</v>
      </c>
      <c r="O1486">
        <v>600</v>
      </c>
      <c r="P1486">
        <v>0.6</v>
      </c>
      <c r="Q1486">
        <v>0</v>
      </c>
      <c r="R1486">
        <v>0</v>
      </c>
      <c r="S1486">
        <v>2</v>
      </c>
      <c r="T1486">
        <v>1000</v>
      </c>
    </row>
    <row r="1487" spans="1:20">
      <c r="A1487" t="s">
        <v>1899</v>
      </c>
      <c r="B1487" s="1">
        <v>45654</v>
      </c>
      <c r="C1487">
        <v>52</v>
      </c>
      <c r="D1487">
        <v>12</v>
      </c>
      <c r="E1487" t="s">
        <v>1734</v>
      </c>
      <c r="F1487" t="s">
        <v>45</v>
      </c>
      <c r="G1487" t="s">
        <v>26</v>
      </c>
      <c r="H1487">
        <v>5</v>
      </c>
      <c r="I1487">
        <v>3825</v>
      </c>
      <c r="J1487">
        <v>15</v>
      </c>
      <c r="K1487" t="s">
        <v>1938</v>
      </c>
      <c r="L1487">
        <v>1800</v>
      </c>
      <c r="M1487">
        <v>19125</v>
      </c>
      <c r="N1487">
        <v>9000</v>
      </c>
      <c r="O1487">
        <v>10125</v>
      </c>
      <c r="P1487">
        <v>0.52941176470588203</v>
      </c>
      <c r="Q1487">
        <v>0</v>
      </c>
      <c r="R1487">
        <v>0</v>
      </c>
      <c r="S1487">
        <v>5</v>
      </c>
      <c r="T1487">
        <v>19125</v>
      </c>
    </row>
    <row r="1488" spans="1:20">
      <c r="A1488" t="s">
        <v>1900</v>
      </c>
      <c r="B1488" s="1">
        <v>45654</v>
      </c>
      <c r="C1488">
        <v>52</v>
      </c>
      <c r="D1488">
        <v>12</v>
      </c>
      <c r="E1488" t="s">
        <v>1734</v>
      </c>
      <c r="F1488" t="s">
        <v>146</v>
      </c>
      <c r="G1488" t="s">
        <v>20</v>
      </c>
      <c r="H1488">
        <v>2</v>
      </c>
      <c r="I1488">
        <v>630</v>
      </c>
      <c r="J1488">
        <v>0</v>
      </c>
      <c r="K1488" t="s">
        <v>1934</v>
      </c>
      <c r="L1488">
        <v>350</v>
      </c>
      <c r="M1488">
        <v>1260</v>
      </c>
      <c r="N1488">
        <v>700</v>
      </c>
      <c r="O1488">
        <v>560</v>
      </c>
      <c r="P1488">
        <v>0.44444444444444398</v>
      </c>
      <c r="Q1488">
        <v>0</v>
      </c>
      <c r="R1488">
        <v>0</v>
      </c>
      <c r="S1488">
        <v>2</v>
      </c>
      <c r="T1488">
        <v>1260</v>
      </c>
    </row>
    <row r="1489" spans="1:20">
      <c r="A1489" t="s">
        <v>1901</v>
      </c>
      <c r="B1489" s="1">
        <v>45654</v>
      </c>
      <c r="C1489">
        <v>52</v>
      </c>
      <c r="D1489">
        <v>12</v>
      </c>
      <c r="E1489" t="s">
        <v>1734</v>
      </c>
      <c r="F1489" t="s">
        <v>37</v>
      </c>
      <c r="G1489" t="s">
        <v>20</v>
      </c>
      <c r="H1489">
        <v>5</v>
      </c>
      <c r="I1489">
        <v>1989</v>
      </c>
      <c r="J1489">
        <v>15</v>
      </c>
      <c r="K1489" t="s">
        <v>1935</v>
      </c>
      <c r="L1489">
        <v>1300</v>
      </c>
      <c r="M1489">
        <v>9945</v>
      </c>
      <c r="N1489">
        <v>6500</v>
      </c>
      <c r="O1489">
        <v>3445</v>
      </c>
      <c r="P1489">
        <v>0.34640522875816998</v>
      </c>
      <c r="Q1489">
        <v>0</v>
      </c>
      <c r="R1489">
        <v>0</v>
      </c>
      <c r="S1489">
        <v>5</v>
      </c>
      <c r="T1489">
        <v>9945</v>
      </c>
    </row>
    <row r="1490" spans="1:20">
      <c r="A1490" t="s">
        <v>1902</v>
      </c>
      <c r="B1490" s="1">
        <v>45655</v>
      </c>
      <c r="C1490">
        <v>52</v>
      </c>
      <c r="D1490">
        <v>12</v>
      </c>
      <c r="E1490" t="s">
        <v>1734</v>
      </c>
      <c r="F1490" t="s">
        <v>16</v>
      </c>
      <c r="G1490" t="s">
        <v>17</v>
      </c>
      <c r="H1490">
        <v>2</v>
      </c>
      <c r="I1490">
        <v>520</v>
      </c>
      <c r="J1490">
        <v>0</v>
      </c>
      <c r="K1490" t="s">
        <v>1945</v>
      </c>
      <c r="L1490">
        <v>250</v>
      </c>
      <c r="M1490">
        <v>1040</v>
      </c>
      <c r="N1490">
        <v>500</v>
      </c>
      <c r="O1490">
        <v>540</v>
      </c>
      <c r="P1490">
        <v>0.51923076923076905</v>
      </c>
      <c r="Q1490">
        <v>0</v>
      </c>
      <c r="R1490">
        <v>0</v>
      </c>
      <c r="S1490">
        <v>2</v>
      </c>
      <c r="T1490">
        <v>1040</v>
      </c>
    </row>
    <row r="1491" spans="1:20">
      <c r="A1491" t="s">
        <v>1904</v>
      </c>
      <c r="B1491" s="1">
        <v>45655</v>
      </c>
      <c r="C1491">
        <v>52</v>
      </c>
      <c r="D1491">
        <v>12</v>
      </c>
      <c r="E1491" t="s">
        <v>1734</v>
      </c>
      <c r="F1491" t="s">
        <v>42</v>
      </c>
      <c r="G1491" t="s">
        <v>23</v>
      </c>
      <c r="H1491">
        <v>5</v>
      </c>
      <c r="I1491">
        <v>540</v>
      </c>
      <c r="J1491">
        <v>10</v>
      </c>
      <c r="K1491" t="s">
        <v>1928</v>
      </c>
      <c r="L1491">
        <v>300</v>
      </c>
      <c r="M1491">
        <v>2700</v>
      </c>
      <c r="N1491">
        <v>1500</v>
      </c>
      <c r="O1491">
        <v>1200</v>
      </c>
      <c r="P1491">
        <v>0.44444444444444398</v>
      </c>
      <c r="Q1491">
        <v>0</v>
      </c>
      <c r="R1491">
        <v>0</v>
      </c>
      <c r="S1491">
        <v>5</v>
      </c>
      <c r="T1491">
        <v>2700</v>
      </c>
    </row>
    <row r="1492" spans="1:20">
      <c r="A1492" t="s">
        <v>1905</v>
      </c>
      <c r="B1492" s="1">
        <v>45655</v>
      </c>
      <c r="C1492">
        <v>52</v>
      </c>
      <c r="D1492">
        <v>12</v>
      </c>
      <c r="E1492" t="s">
        <v>1734</v>
      </c>
      <c r="F1492" t="s">
        <v>369</v>
      </c>
      <c r="G1492" t="s">
        <v>221</v>
      </c>
      <c r="H1492">
        <v>2</v>
      </c>
      <c r="I1492">
        <v>595</v>
      </c>
      <c r="J1492">
        <v>15</v>
      </c>
      <c r="K1492" t="s">
        <v>1949</v>
      </c>
      <c r="L1492">
        <v>350</v>
      </c>
      <c r="M1492">
        <v>1190</v>
      </c>
      <c r="N1492">
        <v>700</v>
      </c>
      <c r="O1492">
        <v>490</v>
      </c>
      <c r="P1492">
        <v>0.41176470588235298</v>
      </c>
      <c r="Q1492">
        <v>0</v>
      </c>
      <c r="R1492">
        <v>0</v>
      </c>
      <c r="S1492">
        <v>2</v>
      </c>
      <c r="T1492">
        <v>1190</v>
      </c>
    </row>
    <row r="1493" spans="1:20">
      <c r="A1493" t="s">
        <v>1906</v>
      </c>
      <c r="B1493" s="1">
        <v>45655</v>
      </c>
      <c r="C1493">
        <v>52</v>
      </c>
      <c r="D1493">
        <v>12</v>
      </c>
      <c r="E1493" t="s">
        <v>1734</v>
      </c>
      <c r="F1493" t="s">
        <v>94</v>
      </c>
      <c r="G1493" t="s">
        <v>17</v>
      </c>
      <c r="H1493">
        <v>1</v>
      </c>
      <c r="I1493">
        <v>1680</v>
      </c>
      <c r="J1493">
        <v>0</v>
      </c>
      <c r="K1493" t="s">
        <v>1943</v>
      </c>
      <c r="L1493">
        <v>800</v>
      </c>
      <c r="M1493">
        <v>1680</v>
      </c>
      <c r="N1493">
        <v>800</v>
      </c>
      <c r="O1493">
        <v>880</v>
      </c>
      <c r="P1493">
        <v>0.52380952380952395</v>
      </c>
      <c r="Q1493">
        <v>0</v>
      </c>
      <c r="R1493">
        <v>0</v>
      </c>
      <c r="S1493">
        <v>1</v>
      </c>
      <c r="T1493">
        <v>1680</v>
      </c>
    </row>
    <row r="1494" spans="1:20">
      <c r="A1494" t="s">
        <v>1907</v>
      </c>
      <c r="B1494" s="1">
        <v>45656</v>
      </c>
      <c r="C1494">
        <v>1</v>
      </c>
      <c r="D1494">
        <v>12</v>
      </c>
      <c r="E1494" t="s">
        <v>1734</v>
      </c>
      <c r="F1494" t="s">
        <v>37</v>
      </c>
      <c r="G1494" t="s">
        <v>20</v>
      </c>
      <c r="H1494">
        <v>1</v>
      </c>
      <c r="I1494">
        <v>2106</v>
      </c>
      <c r="J1494">
        <v>10</v>
      </c>
      <c r="K1494" t="s">
        <v>1935</v>
      </c>
      <c r="L1494">
        <v>1300</v>
      </c>
      <c r="M1494">
        <v>2106</v>
      </c>
      <c r="N1494">
        <v>1300</v>
      </c>
      <c r="O1494">
        <v>806</v>
      </c>
      <c r="P1494">
        <v>0.38271604938271597</v>
      </c>
      <c r="Q1494">
        <v>0</v>
      </c>
      <c r="R1494">
        <v>0</v>
      </c>
      <c r="S1494">
        <v>1</v>
      </c>
      <c r="T1494">
        <v>2106</v>
      </c>
    </row>
    <row r="1495" spans="1:20">
      <c r="A1495" t="s">
        <v>1909</v>
      </c>
      <c r="B1495" s="1">
        <v>45656</v>
      </c>
      <c r="C1495">
        <v>1</v>
      </c>
      <c r="D1495">
        <v>12</v>
      </c>
      <c r="E1495" t="s">
        <v>1734</v>
      </c>
      <c r="F1495" t="s">
        <v>86</v>
      </c>
      <c r="G1495" t="s">
        <v>17</v>
      </c>
      <c r="H1495">
        <v>5</v>
      </c>
      <c r="I1495">
        <v>893</v>
      </c>
      <c r="J1495">
        <v>5</v>
      </c>
      <c r="K1495" t="s">
        <v>1944</v>
      </c>
      <c r="L1495">
        <v>450</v>
      </c>
      <c r="M1495">
        <v>4465</v>
      </c>
      <c r="N1495">
        <v>2250</v>
      </c>
      <c r="O1495">
        <v>2215</v>
      </c>
      <c r="P1495">
        <v>0.496080627099664</v>
      </c>
      <c r="Q1495">
        <v>0</v>
      </c>
      <c r="R1495">
        <v>0</v>
      </c>
      <c r="S1495">
        <v>5</v>
      </c>
      <c r="T1495">
        <v>4465</v>
      </c>
    </row>
    <row r="1496" spans="1:20">
      <c r="A1496" t="s">
        <v>1910</v>
      </c>
      <c r="B1496" s="1">
        <v>45656</v>
      </c>
      <c r="C1496">
        <v>1</v>
      </c>
      <c r="D1496">
        <v>12</v>
      </c>
      <c r="E1496" t="s">
        <v>1734</v>
      </c>
      <c r="F1496" t="s">
        <v>13</v>
      </c>
      <c r="G1496" t="s">
        <v>14</v>
      </c>
      <c r="H1496">
        <v>2</v>
      </c>
      <c r="I1496">
        <v>432</v>
      </c>
      <c r="J1496">
        <v>10</v>
      </c>
      <c r="K1496" t="s">
        <v>1925</v>
      </c>
      <c r="L1496">
        <v>220</v>
      </c>
      <c r="M1496">
        <v>864</v>
      </c>
      <c r="N1496">
        <v>440</v>
      </c>
      <c r="O1496">
        <v>424</v>
      </c>
      <c r="P1496">
        <v>0.49074074074074098</v>
      </c>
      <c r="Q1496">
        <v>0</v>
      </c>
      <c r="R1496">
        <v>0</v>
      </c>
      <c r="S1496">
        <v>2</v>
      </c>
      <c r="T1496">
        <v>864</v>
      </c>
    </row>
    <row r="1497" spans="1:20">
      <c r="A1497" t="s">
        <v>1911</v>
      </c>
      <c r="B1497" s="1">
        <v>45657</v>
      </c>
      <c r="C1497">
        <v>1</v>
      </c>
      <c r="D1497">
        <v>12</v>
      </c>
      <c r="E1497" t="s">
        <v>1734</v>
      </c>
      <c r="F1497" t="s">
        <v>119</v>
      </c>
      <c r="G1497" t="s">
        <v>14</v>
      </c>
      <c r="H1497">
        <v>4</v>
      </c>
      <c r="I1497">
        <v>770</v>
      </c>
      <c r="J1497">
        <v>0</v>
      </c>
      <c r="K1497" t="s">
        <v>1920</v>
      </c>
      <c r="L1497">
        <v>350</v>
      </c>
      <c r="M1497">
        <v>3080</v>
      </c>
      <c r="N1497">
        <v>1400</v>
      </c>
      <c r="O1497">
        <v>1680</v>
      </c>
      <c r="P1497">
        <v>0.54545454545454497</v>
      </c>
      <c r="Q1497">
        <v>0</v>
      </c>
      <c r="R1497">
        <v>0</v>
      </c>
      <c r="S1497">
        <v>4</v>
      </c>
      <c r="T1497">
        <v>3080</v>
      </c>
    </row>
    <row r="1498" spans="1:20">
      <c r="A1498" t="s">
        <v>1913</v>
      </c>
      <c r="B1498" s="1">
        <v>45657</v>
      </c>
      <c r="C1498">
        <v>1</v>
      </c>
      <c r="D1498">
        <v>12</v>
      </c>
      <c r="E1498" t="s">
        <v>1734</v>
      </c>
      <c r="F1498" t="s">
        <v>25</v>
      </c>
      <c r="G1498" t="s">
        <v>26</v>
      </c>
      <c r="H1498">
        <v>5</v>
      </c>
      <c r="I1498">
        <v>1000</v>
      </c>
      <c r="J1498">
        <v>0</v>
      </c>
      <c r="K1498" t="s">
        <v>1940</v>
      </c>
      <c r="L1498">
        <v>400</v>
      </c>
      <c r="M1498">
        <v>5000</v>
      </c>
      <c r="N1498">
        <v>2000</v>
      </c>
      <c r="O1498">
        <v>3000</v>
      </c>
      <c r="P1498">
        <v>0.6</v>
      </c>
      <c r="Q1498">
        <v>0</v>
      </c>
      <c r="R1498">
        <v>0</v>
      </c>
      <c r="S1498">
        <v>5</v>
      </c>
      <c r="T1498">
        <v>5000</v>
      </c>
    </row>
    <row r="1499" spans="1:20">
      <c r="A1499" t="s">
        <v>1914</v>
      </c>
      <c r="B1499" s="1">
        <v>45657</v>
      </c>
      <c r="C1499">
        <v>1</v>
      </c>
      <c r="D1499">
        <v>12</v>
      </c>
      <c r="E1499" t="s">
        <v>1734</v>
      </c>
      <c r="F1499" t="s">
        <v>97</v>
      </c>
      <c r="G1499" t="s">
        <v>20</v>
      </c>
      <c r="H1499">
        <v>2</v>
      </c>
      <c r="I1499">
        <v>1683</v>
      </c>
      <c r="J1499">
        <v>15</v>
      </c>
      <c r="K1499" t="s">
        <v>1932</v>
      </c>
      <c r="L1499">
        <v>1100</v>
      </c>
      <c r="M1499">
        <v>3366</v>
      </c>
      <c r="N1499">
        <v>2200</v>
      </c>
      <c r="O1499">
        <v>1166</v>
      </c>
      <c r="P1499">
        <v>0.34640522875816998</v>
      </c>
      <c r="Q1499">
        <v>0</v>
      </c>
      <c r="R1499">
        <v>0</v>
      </c>
      <c r="S1499">
        <v>2</v>
      </c>
      <c r="T1499">
        <v>3366</v>
      </c>
    </row>
    <row r="1500" spans="1:20">
      <c r="A1500" t="s">
        <v>1915</v>
      </c>
      <c r="B1500" s="1">
        <v>45657</v>
      </c>
      <c r="C1500">
        <v>1</v>
      </c>
      <c r="D1500">
        <v>12</v>
      </c>
      <c r="E1500" t="s">
        <v>1734</v>
      </c>
      <c r="F1500" t="s">
        <v>146</v>
      </c>
      <c r="G1500" t="s">
        <v>20</v>
      </c>
      <c r="H1500">
        <v>3</v>
      </c>
      <c r="I1500">
        <v>598.5</v>
      </c>
      <c r="J1500">
        <v>5</v>
      </c>
      <c r="K1500" t="s">
        <v>1934</v>
      </c>
      <c r="L1500">
        <v>350</v>
      </c>
      <c r="M1500">
        <v>1795.5</v>
      </c>
      <c r="N1500">
        <v>1050</v>
      </c>
      <c r="O1500">
        <v>745.5</v>
      </c>
      <c r="P1500">
        <v>0.41520467836257302</v>
      </c>
      <c r="Q1500">
        <v>0</v>
      </c>
      <c r="R1500">
        <v>0</v>
      </c>
      <c r="S1500">
        <v>3</v>
      </c>
      <c r="T1500">
        <v>1795.5</v>
      </c>
    </row>
    <row r="1501" spans="1:20">
      <c r="A1501" t="s">
        <v>1916</v>
      </c>
      <c r="B1501" s="1">
        <v>45657</v>
      </c>
      <c r="C1501">
        <v>1</v>
      </c>
      <c r="D1501">
        <v>12</v>
      </c>
      <c r="E1501" t="s">
        <v>1734</v>
      </c>
      <c r="F1501" t="s">
        <v>58</v>
      </c>
      <c r="G1501" t="s">
        <v>23</v>
      </c>
      <c r="H1501">
        <v>1</v>
      </c>
      <c r="I1501">
        <v>1000</v>
      </c>
      <c r="J1501">
        <v>0</v>
      </c>
      <c r="K1501" t="s">
        <v>1927</v>
      </c>
      <c r="L1501">
        <v>500</v>
      </c>
      <c r="M1501">
        <v>1000</v>
      </c>
      <c r="N1501">
        <v>500</v>
      </c>
      <c r="O1501">
        <v>500</v>
      </c>
      <c r="P1501">
        <v>0.5</v>
      </c>
      <c r="Q1501">
        <v>0</v>
      </c>
      <c r="R1501">
        <v>0</v>
      </c>
      <c r="S1501">
        <v>1</v>
      </c>
      <c r="T1501">
        <v>1000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FF22B-6036-4F06-8251-25D7CD91B49E}">
  <sheetPr>
    <tabColor rgb="FF1E4D2B"/>
  </sheetPr>
  <dimension ref="A1:X62"/>
  <sheetViews>
    <sheetView topLeftCell="H1" zoomScale="82" zoomScaleNormal="70" workbookViewId="0">
      <selection activeCell="F48" sqref="F48"/>
    </sheetView>
  </sheetViews>
  <sheetFormatPr defaultRowHeight="14.4"/>
  <cols>
    <col min="1" max="1" width="23.77734375" bestFit="1" customWidth="1"/>
    <col min="2" max="2" width="21.88671875" bestFit="1" customWidth="1"/>
    <col min="3" max="3" width="18.33203125" bestFit="1" customWidth="1"/>
    <col min="4" max="4" width="20" bestFit="1" customWidth="1"/>
    <col min="5" max="5" width="18.5546875" bestFit="1" customWidth="1"/>
    <col min="6" max="6" width="24.88671875" bestFit="1" customWidth="1"/>
    <col min="7" max="7" width="18.5546875" bestFit="1" customWidth="1"/>
    <col min="8" max="8" width="22.33203125" bestFit="1" customWidth="1"/>
    <col min="9" max="9" width="20.109375" bestFit="1" customWidth="1"/>
    <col min="10" max="10" width="22.109375" bestFit="1" customWidth="1"/>
    <col min="11" max="11" width="24.6640625" bestFit="1" customWidth="1"/>
    <col min="12" max="12" width="10" bestFit="1" customWidth="1"/>
    <col min="13" max="13" width="17.5546875" bestFit="1" customWidth="1"/>
    <col min="14" max="14" width="16.5546875" bestFit="1" customWidth="1"/>
    <col min="16" max="16" width="18" bestFit="1" customWidth="1"/>
    <col min="17" max="17" width="17.5546875" bestFit="1" customWidth="1"/>
    <col min="18" max="18" width="17" bestFit="1" customWidth="1"/>
    <col min="20" max="20" width="24.5546875" bestFit="1" customWidth="1"/>
    <col min="21" max="21" width="16.77734375" bestFit="1" customWidth="1"/>
    <col min="23" max="23" width="23.109375" bestFit="1" customWidth="1"/>
    <col min="24" max="24" width="13.33203125" bestFit="1" customWidth="1"/>
  </cols>
  <sheetData>
    <row r="1" spans="1:24">
      <c r="A1" s="17" t="s">
        <v>2073</v>
      </c>
      <c r="B1" s="7"/>
      <c r="C1" s="7"/>
      <c r="D1" s="7"/>
      <c r="E1" s="7"/>
      <c r="F1" s="7"/>
      <c r="G1" s="7"/>
      <c r="H1" s="8"/>
      <c r="J1" s="19" t="s">
        <v>2074</v>
      </c>
      <c r="K1" s="8"/>
      <c r="M1" s="23" t="s">
        <v>2087</v>
      </c>
      <c r="N1" s="8"/>
      <c r="P1" s="22" t="s">
        <v>2088</v>
      </c>
      <c r="Q1" s="7"/>
      <c r="R1" s="8"/>
      <c r="T1" s="25" t="s">
        <v>2103</v>
      </c>
      <c r="U1" s="8"/>
      <c r="W1" s="28" t="s">
        <v>2102</v>
      </c>
      <c r="X1" s="8"/>
    </row>
    <row r="2" spans="1:24">
      <c r="A2" s="9" t="s">
        <v>3</v>
      </c>
      <c r="B2" s="3" t="s">
        <v>4</v>
      </c>
      <c r="C2" s="3" t="s">
        <v>2078</v>
      </c>
      <c r="D2" s="3" t="s">
        <v>2077</v>
      </c>
      <c r="E2" s="3" t="s">
        <v>2072</v>
      </c>
      <c r="F2" s="3" t="s">
        <v>2067</v>
      </c>
      <c r="G2" s="3" t="s">
        <v>2068</v>
      </c>
      <c r="H2" s="10" t="s">
        <v>2069</v>
      </c>
      <c r="J2" s="9" t="s">
        <v>3</v>
      </c>
      <c r="K2" s="10" t="s">
        <v>2130</v>
      </c>
      <c r="M2" s="9" t="s">
        <v>3</v>
      </c>
      <c r="N2" s="10" t="s">
        <v>2080</v>
      </c>
      <c r="P2" s="9" t="s">
        <v>2</v>
      </c>
      <c r="Q2" s="3" t="s">
        <v>2081</v>
      </c>
      <c r="R2" s="10" t="s">
        <v>2082</v>
      </c>
      <c r="T2" s="9" t="s">
        <v>3</v>
      </c>
      <c r="U2" s="10" t="s">
        <v>2083</v>
      </c>
      <c r="W2" s="9" t="s">
        <v>2097</v>
      </c>
      <c r="X2" s="55">
        <f>SUM(Sales_Master[Net_Revenue_INR])</f>
        <v>5428419.5</v>
      </c>
    </row>
    <row r="3" spans="1:24">
      <c r="A3" s="9">
        <v>1</v>
      </c>
      <c r="B3" s="3" t="s">
        <v>12</v>
      </c>
      <c r="C3" s="3">
        <f>SUMIFS(Sales_Master[Units_Sold], Sales_Master[Month],A3)</f>
        <v>442</v>
      </c>
      <c r="D3" s="16">
        <f>SUMIFS(Sales_Master[Revenue_INR],Sales_Master[Month],A3)</f>
        <v>503070.5</v>
      </c>
      <c r="E3" s="4">
        <f>SUMIFS(Sales_Master[Net_Revenue_INR],Sales_Master[Month],A3)</f>
        <v>469314.5</v>
      </c>
      <c r="F3" s="4">
        <f>SUMIFS(Sales_Master[Total_COGS],Sales_Master[Month],A3)</f>
        <v>251380</v>
      </c>
      <c r="G3" s="4">
        <f>SUMIFS(Sales_Master[Gross_Profit],Sales_Master[Month],A3)</f>
        <v>251690.5</v>
      </c>
      <c r="H3" s="11">
        <f>G3/D3</f>
        <v>0.50030860485756967</v>
      </c>
      <c r="J3" s="9">
        <v>1</v>
      </c>
      <c r="K3" s="20">
        <f>SUMIFS(Sales_Master[Net_Revenue_INR],Sales_Master[Month],"&lt;="&amp;J3)</f>
        <v>469314.5</v>
      </c>
      <c r="M3" s="9">
        <v>1</v>
      </c>
      <c r="N3" s="10" t="str">
        <f>"-"</f>
        <v>-</v>
      </c>
      <c r="P3" s="9">
        <v>1</v>
      </c>
      <c r="Q3" s="4">
        <f>SUMIFS(Sales_Master[Net_Revenue_INR],Sales_Master[Week_Number],P3)</f>
        <v>137464</v>
      </c>
      <c r="R3" s="10" t="str">
        <f>"-"</f>
        <v>-</v>
      </c>
      <c r="T3" s="9">
        <v>1</v>
      </c>
      <c r="U3" s="10" t="str">
        <f>"-"</f>
        <v>-</v>
      </c>
      <c r="W3" s="9" t="s">
        <v>2096</v>
      </c>
      <c r="X3" s="10">
        <f>SUM(Sales_Master[Units_Sold])</f>
        <v>4491</v>
      </c>
    </row>
    <row r="4" spans="1:24">
      <c r="A4" s="9">
        <v>2</v>
      </c>
      <c r="B4" s="3" t="s">
        <v>218</v>
      </c>
      <c r="C4" s="3">
        <f>SUMIFS(Sales_Master[Units_Sold], Sales_Master[Month],A4)</f>
        <v>279</v>
      </c>
      <c r="D4" s="16">
        <f>SUMIFS(Sales_Master[Revenue_INR],Sales_Master[Month],A4)</f>
        <v>428956</v>
      </c>
      <c r="E4" s="4">
        <f>SUMIFS(Sales_Master[Net_Revenue_INR],Sales_Master[Month],A4)</f>
        <v>426889</v>
      </c>
      <c r="F4" s="4">
        <f>SUMIFS(Sales_Master[Total_COGS],Sales_Master[Month],A4)</f>
        <v>207410</v>
      </c>
      <c r="G4" s="4">
        <f>SUMIFS(Sales_Master[Gross_Profit],Sales_Master[Month],A4)</f>
        <v>221546</v>
      </c>
      <c r="H4" s="11">
        <f t="shared" ref="H4:H14" si="0">G4/D4</f>
        <v>0.51647721444623695</v>
      </c>
      <c r="J4" s="9">
        <v>2</v>
      </c>
      <c r="K4" s="20">
        <f>SUMIFS(Sales_Master[Net_Revenue_INR],Sales_Master[Month],"&lt;="&amp;J4)</f>
        <v>896203.5</v>
      </c>
      <c r="M4" s="9">
        <v>2</v>
      </c>
      <c r="N4" s="11">
        <f>(E4-E3)/E3</f>
        <v>-9.0398868988705874E-2</v>
      </c>
      <c r="P4" s="9">
        <v>2</v>
      </c>
      <c r="Q4" s="4">
        <f>SUMIFS(Sales_Master[Net_Revenue_INR],Sales_Master[Week_Number],P4)</f>
        <v>104893.5</v>
      </c>
      <c r="R4" s="11">
        <f>(Q4-Q3)/Q3</f>
        <v>-0.23693839841704009</v>
      </c>
      <c r="T4" s="9">
        <v>2</v>
      </c>
      <c r="U4" s="10" t="str">
        <f>"-"</f>
        <v>-</v>
      </c>
      <c r="W4" s="9" t="s">
        <v>2099</v>
      </c>
      <c r="X4" s="11">
        <f>AVERAGE(H3:H14)</f>
        <v>0.50158243739187269</v>
      </c>
    </row>
    <row r="5" spans="1:24">
      <c r="A5" s="9">
        <v>3</v>
      </c>
      <c r="B5" s="3" t="s">
        <v>2079</v>
      </c>
      <c r="C5" s="3">
        <f>SUMIFS(Sales_Master[Units_Sold], Sales_Master[Month],A5)</f>
        <v>293</v>
      </c>
      <c r="D5" s="16">
        <f>SUMIFS(Sales_Master[Revenue_INR],Sales_Master[Month],A5)</f>
        <v>369205</v>
      </c>
      <c r="E5" s="4">
        <f>SUMIFS(Sales_Master[Net_Revenue_INR],Sales_Master[Month],A5)</f>
        <v>354001</v>
      </c>
      <c r="F5" s="4">
        <f>SUMIFS(Sales_Master[Total_COGS],Sales_Master[Month],A5)</f>
        <v>182760</v>
      </c>
      <c r="G5" s="4">
        <f>SUMIFS(Sales_Master[Gross_Profit],Sales_Master[Month],A5)</f>
        <v>186445</v>
      </c>
      <c r="H5" s="11">
        <f t="shared" si="0"/>
        <v>0.50499045245866114</v>
      </c>
      <c r="J5" s="9">
        <v>3</v>
      </c>
      <c r="K5" s="20">
        <f>SUMIFS(Sales_Master[Net_Revenue_INR],Sales_Master[Month],"&lt;="&amp;J5)</f>
        <v>1250204.5</v>
      </c>
      <c r="M5" s="9">
        <v>3</v>
      </c>
      <c r="N5" s="11">
        <f t="shared" ref="N5:N14" si="1">(E5-E4)/E4</f>
        <v>-0.17074227726645569</v>
      </c>
      <c r="P5" s="9">
        <v>3</v>
      </c>
      <c r="Q5" s="4">
        <f>SUMIFS(Sales_Master[Net_Revenue_INR],Sales_Master[Week_Number],P5)</f>
        <v>99817</v>
      </c>
      <c r="R5" s="11">
        <f t="shared" ref="R5:R54" si="2">(Q5-Q4)/Q4</f>
        <v>-4.8396707136285855E-2</v>
      </c>
      <c r="T5" s="9">
        <v>3</v>
      </c>
      <c r="U5" s="26">
        <f>AVERAGE(E3:E5)</f>
        <v>416734.83333333331</v>
      </c>
      <c r="W5" s="9" t="s">
        <v>2098</v>
      </c>
      <c r="X5" s="11">
        <f>SUM(Sales_Master[Units_Returned_Clean])/SUM(Sales_Master[Units_Sold])</f>
        <v>4.8541527499443328E-2</v>
      </c>
    </row>
    <row r="6" spans="1:24">
      <c r="A6" s="9">
        <v>4</v>
      </c>
      <c r="B6" s="3" t="s">
        <v>471</v>
      </c>
      <c r="C6" s="3">
        <f>SUMIFS(Sales_Master[Units_Sold], Sales_Master[Month],A6)</f>
        <v>363</v>
      </c>
      <c r="D6" s="16">
        <f>SUMIFS(Sales_Master[Revenue_INR],Sales_Master[Month],A6)</f>
        <v>439539</v>
      </c>
      <c r="E6" s="4">
        <f>SUMIFS(Sales_Master[Net_Revenue_INR],Sales_Master[Month],A6)</f>
        <v>377846</v>
      </c>
      <c r="F6" s="4">
        <f>SUMIFS(Sales_Master[Total_COGS],Sales_Master[Month],A6)</f>
        <v>212590</v>
      </c>
      <c r="G6" s="4">
        <f>SUMIFS(Sales_Master[Gross_Profit],Sales_Master[Month],A6)</f>
        <v>226949</v>
      </c>
      <c r="H6" s="11">
        <f t="shared" si="0"/>
        <v>0.51633415919861492</v>
      </c>
      <c r="J6" s="9">
        <v>4</v>
      </c>
      <c r="K6" s="20">
        <f>SUMIFS(Sales_Master[Net_Revenue_INR],Sales_Master[Month],"&lt;="&amp;J6)</f>
        <v>1628050.5</v>
      </c>
      <c r="M6" s="9">
        <v>4</v>
      </c>
      <c r="N6" s="11">
        <f t="shared" si="1"/>
        <v>6.7358566783709647E-2</v>
      </c>
      <c r="P6" s="9">
        <v>4</v>
      </c>
      <c r="Q6" s="4">
        <f>SUMIFS(Sales_Master[Net_Revenue_INR],Sales_Master[Week_Number],P6)</f>
        <v>114903.5</v>
      </c>
      <c r="R6" s="11">
        <f t="shared" si="2"/>
        <v>0.15114158910806777</v>
      </c>
      <c r="T6" s="9">
        <v>4</v>
      </c>
      <c r="U6" s="26">
        <f t="shared" ref="U6:U14" si="3">AVERAGE(E4:E6)</f>
        <v>386245.33333333331</v>
      </c>
      <c r="W6" s="9" t="s">
        <v>2100</v>
      </c>
      <c r="X6" s="10" t="str">
        <f>INDEX(B3:B14,MATCH(MAX(E3:E14),E3:E14,0))</f>
        <v>November</v>
      </c>
    </row>
    <row r="7" spans="1:24" ht="15" thickBot="1">
      <c r="A7" s="9">
        <v>5</v>
      </c>
      <c r="B7" s="3" t="s">
        <v>622</v>
      </c>
      <c r="C7" s="3">
        <f>SUMIFS(Sales_Master[Units_Sold], Sales_Master[Month],A7)</f>
        <v>377</v>
      </c>
      <c r="D7" s="16">
        <f>SUMIFS(Sales_Master[Revenue_INR],Sales_Master[Month],A7)</f>
        <v>433028</v>
      </c>
      <c r="E7" s="4">
        <f>SUMIFS(Sales_Master[Net_Revenue_INR],Sales_Master[Month],A7)</f>
        <v>399022</v>
      </c>
      <c r="F7" s="4">
        <f>SUMIFS(Sales_Master[Total_COGS],Sales_Master[Month],A7)</f>
        <v>219920</v>
      </c>
      <c r="G7" s="4">
        <f>SUMIFS(Sales_Master[Gross_Profit],Sales_Master[Month],A7)</f>
        <v>213108</v>
      </c>
      <c r="H7" s="11">
        <f t="shared" si="0"/>
        <v>0.49213445781797022</v>
      </c>
      <c r="J7" s="9">
        <v>5</v>
      </c>
      <c r="K7" s="20">
        <f>SUMIFS(Sales_Master[Net_Revenue_INR],Sales_Master[Month],"&lt;="&amp;J7)</f>
        <v>2027072.5</v>
      </c>
      <c r="M7" s="9">
        <v>5</v>
      </c>
      <c r="N7" s="11">
        <f t="shared" si="1"/>
        <v>5.6043996760585003E-2</v>
      </c>
      <c r="P7" s="9">
        <v>5</v>
      </c>
      <c r="Q7" s="4">
        <f>SUMIFS(Sales_Master[Net_Revenue_INR],Sales_Master[Week_Number],P7)</f>
        <v>91494</v>
      </c>
      <c r="R7" s="11">
        <f t="shared" si="2"/>
        <v>-0.20373182714190605</v>
      </c>
      <c r="T7" s="9">
        <v>5</v>
      </c>
      <c r="U7" s="26">
        <f t="shared" si="3"/>
        <v>376956.33333333331</v>
      </c>
      <c r="W7" s="12" t="s">
        <v>2101</v>
      </c>
      <c r="X7" s="29" t="str">
        <f>INDEX(G19:G24,MATCH(MAX(H19:H24),H19:H24,0))</f>
        <v>Topwear</v>
      </c>
    </row>
    <row r="8" spans="1:24">
      <c r="A8" s="9">
        <v>6</v>
      </c>
      <c r="B8" s="3" t="s">
        <v>786</v>
      </c>
      <c r="C8" s="3">
        <f>SUMIFS(Sales_Master[Units_Sold], Sales_Master[Month],A8)</f>
        <v>371</v>
      </c>
      <c r="D8" s="16">
        <f>SUMIFS(Sales_Master[Revenue_INR],Sales_Master[Month],A8)</f>
        <v>435714.5</v>
      </c>
      <c r="E8" s="4">
        <f>SUMIFS(Sales_Master[Net_Revenue_INR],Sales_Master[Month],A8)</f>
        <v>407301.5</v>
      </c>
      <c r="F8" s="4">
        <f>SUMIFS(Sales_Master[Total_COGS],Sales_Master[Month],A8)</f>
        <v>214800</v>
      </c>
      <c r="G8" s="4">
        <f>SUMIFS(Sales_Master[Gross_Profit],Sales_Master[Month],A8)</f>
        <v>220914.5</v>
      </c>
      <c r="H8" s="11">
        <f t="shared" si="0"/>
        <v>0.5070166358934578</v>
      </c>
      <c r="J8" s="9">
        <v>6</v>
      </c>
      <c r="K8" s="20">
        <f>SUMIFS(Sales_Master[Net_Revenue_INR],Sales_Master[Month],"&lt;="&amp;J8)</f>
        <v>2434374</v>
      </c>
      <c r="M8" s="9">
        <v>6</v>
      </c>
      <c r="N8" s="11">
        <f t="shared" si="1"/>
        <v>2.0749482484675029E-2</v>
      </c>
      <c r="P8" s="9">
        <v>6</v>
      </c>
      <c r="Q8" s="4">
        <f>SUMIFS(Sales_Master[Net_Revenue_INR],Sales_Master[Week_Number],P8)</f>
        <v>143837</v>
      </c>
      <c r="R8" s="11">
        <f t="shared" si="2"/>
        <v>0.57209215904868083</v>
      </c>
      <c r="T8" s="9">
        <v>6</v>
      </c>
      <c r="U8" s="26">
        <f t="shared" si="3"/>
        <v>394723.16666666669</v>
      </c>
    </row>
    <row r="9" spans="1:24">
      <c r="A9" s="9">
        <v>7</v>
      </c>
      <c r="B9" s="3" t="s">
        <v>938</v>
      </c>
      <c r="C9" s="3">
        <f>SUMIFS(Sales_Master[Units_Sold], Sales_Master[Month],A9)</f>
        <v>234</v>
      </c>
      <c r="D9" s="16">
        <f>SUMIFS(Sales_Master[Revenue_INR],Sales_Master[Month],A9)</f>
        <v>356959</v>
      </c>
      <c r="E9" s="4">
        <f>SUMIFS(Sales_Master[Net_Revenue_INR],Sales_Master[Month],A9)</f>
        <v>345535</v>
      </c>
      <c r="F9" s="4">
        <f>SUMIFS(Sales_Master[Total_COGS],Sales_Master[Month],A9)</f>
        <v>177060</v>
      </c>
      <c r="G9" s="4">
        <f>SUMIFS(Sales_Master[Gross_Profit],Sales_Master[Month],A9)</f>
        <v>179899</v>
      </c>
      <c r="H9" s="11">
        <f t="shared" si="0"/>
        <v>0.5039766471779672</v>
      </c>
      <c r="J9" s="9">
        <v>7</v>
      </c>
      <c r="K9" s="20">
        <f>SUMIFS(Sales_Master[Net_Revenue_INR],Sales_Master[Month],"&lt;="&amp;J9)</f>
        <v>2779909</v>
      </c>
      <c r="M9" s="9">
        <v>7</v>
      </c>
      <c r="N9" s="11">
        <f t="shared" si="1"/>
        <v>-0.15164810343197851</v>
      </c>
      <c r="P9" s="9">
        <v>7</v>
      </c>
      <c r="Q9" s="4">
        <f>SUMIFS(Sales_Master[Net_Revenue_INR],Sales_Master[Week_Number],P9)</f>
        <v>80795</v>
      </c>
      <c r="R9" s="11">
        <f t="shared" si="2"/>
        <v>-0.43828778408893398</v>
      </c>
      <c r="T9" s="9">
        <v>7</v>
      </c>
      <c r="U9" s="26">
        <f t="shared" si="3"/>
        <v>383952.83333333331</v>
      </c>
    </row>
    <row r="10" spans="1:24">
      <c r="A10" s="9">
        <v>8</v>
      </c>
      <c r="B10" s="3" t="s">
        <v>1056</v>
      </c>
      <c r="C10" s="3">
        <f>SUMIFS(Sales_Master[Units_Sold], Sales_Master[Month],A10)</f>
        <v>263</v>
      </c>
      <c r="D10" s="16">
        <f>SUMIFS(Sales_Master[Revenue_INR],Sales_Master[Month],A10)</f>
        <v>340673</v>
      </c>
      <c r="E10" s="4">
        <f>SUMIFS(Sales_Master[Net_Revenue_INR],Sales_Master[Month],A10)</f>
        <v>321812</v>
      </c>
      <c r="F10" s="4">
        <f>SUMIFS(Sales_Master[Total_COGS],Sales_Master[Month],A10)</f>
        <v>177590</v>
      </c>
      <c r="G10" s="4">
        <f>SUMIFS(Sales_Master[Gross_Profit],Sales_Master[Month],A10)</f>
        <v>163083</v>
      </c>
      <c r="H10" s="11">
        <f t="shared" si="0"/>
        <v>0.47870832146956172</v>
      </c>
      <c r="J10" s="9">
        <v>8</v>
      </c>
      <c r="K10" s="20">
        <f>SUMIFS(Sales_Master[Net_Revenue_INR],Sales_Master[Month],"&lt;="&amp;J10)</f>
        <v>3101721</v>
      </c>
      <c r="M10" s="9">
        <v>8</v>
      </c>
      <c r="N10" s="11">
        <f t="shared" si="1"/>
        <v>-6.8655852518558172E-2</v>
      </c>
      <c r="P10" s="9">
        <v>8</v>
      </c>
      <c r="Q10" s="4">
        <f>SUMIFS(Sales_Master[Net_Revenue_INR],Sales_Master[Week_Number],P10)</f>
        <v>73131.5</v>
      </c>
      <c r="R10" s="11">
        <f t="shared" si="2"/>
        <v>-9.4851166532582465E-2</v>
      </c>
      <c r="T10" s="9">
        <v>8</v>
      </c>
      <c r="U10" s="26">
        <f t="shared" si="3"/>
        <v>358216.16666666669</v>
      </c>
    </row>
    <row r="11" spans="1:24">
      <c r="A11" s="9">
        <v>9</v>
      </c>
      <c r="B11" s="3" t="s">
        <v>1178</v>
      </c>
      <c r="C11" s="3">
        <f>SUMIFS(Sales_Master[Units_Sold], Sales_Master[Month],A11)</f>
        <v>347</v>
      </c>
      <c r="D11" s="16">
        <f>SUMIFS(Sales_Master[Revenue_INR],Sales_Master[Month],A11)</f>
        <v>464544.5</v>
      </c>
      <c r="E11" s="4">
        <f>SUMIFS(Sales_Master[Net_Revenue_INR],Sales_Master[Month],A11)</f>
        <v>453764.5</v>
      </c>
      <c r="F11" s="4">
        <f>SUMIFS(Sales_Master[Total_COGS],Sales_Master[Month],A11)</f>
        <v>228970</v>
      </c>
      <c r="G11" s="4">
        <f>SUMIFS(Sales_Master[Gross_Profit],Sales_Master[Month],A11)</f>
        <v>235574.5</v>
      </c>
      <c r="H11" s="11">
        <f t="shared" si="0"/>
        <v>0.5071085762504991</v>
      </c>
      <c r="J11" s="9">
        <v>9</v>
      </c>
      <c r="K11" s="20">
        <f>SUMIFS(Sales_Master[Net_Revenue_INR],Sales_Master[Month],"&lt;="&amp;J11)</f>
        <v>3555485.5</v>
      </c>
      <c r="M11" s="9">
        <v>9</v>
      </c>
      <c r="N11" s="11">
        <f t="shared" si="1"/>
        <v>0.41002976893341453</v>
      </c>
      <c r="P11" s="9">
        <v>9</v>
      </c>
      <c r="Q11" s="4">
        <f>SUMIFS(Sales_Master[Net_Revenue_INR],Sales_Master[Week_Number],P11)</f>
        <v>95268.5</v>
      </c>
      <c r="R11" s="11">
        <f t="shared" si="2"/>
        <v>0.30270129834612991</v>
      </c>
      <c r="T11" s="9">
        <v>9</v>
      </c>
      <c r="U11" s="26">
        <f t="shared" si="3"/>
        <v>373703.83333333331</v>
      </c>
    </row>
    <row r="12" spans="1:24">
      <c r="A12" s="9">
        <v>10</v>
      </c>
      <c r="B12" s="3" t="s">
        <v>1319</v>
      </c>
      <c r="C12" s="3">
        <f>SUMIFS(Sales_Master[Units_Sold], Sales_Master[Month],A12)</f>
        <v>496</v>
      </c>
      <c r="D12" s="16">
        <f>SUMIFS(Sales_Master[Revenue_INR],Sales_Master[Month],A12)</f>
        <v>668522.5</v>
      </c>
      <c r="E12" s="4">
        <f>SUMIFS(Sales_Master[Net_Revenue_INR],Sales_Master[Month],A12)</f>
        <v>625725.5</v>
      </c>
      <c r="F12" s="4">
        <f>SUMIFS(Sales_Master[Total_COGS],Sales_Master[Month],A12)</f>
        <v>334650</v>
      </c>
      <c r="G12" s="4">
        <f>SUMIFS(Sales_Master[Gross_Profit],Sales_Master[Month],A12)</f>
        <v>333872.5</v>
      </c>
      <c r="H12" s="11">
        <f t="shared" si="0"/>
        <v>0.49941849376797343</v>
      </c>
      <c r="J12" s="9">
        <v>10</v>
      </c>
      <c r="K12" s="20">
        <f>SUMIFS(Sales_Master[Net_Revenue_INR],Sales_Master[Month],"&lt;="&amp;J12)</f>
        <v>4181211</v>
      </c>
      <c r="M12" s="9">
        <v>10</v>
      </c>
      <c r="N12" s="11">
        <f t="shared" si="1"/>
        <v>0.37896530028241521</v>
      </c>
      <c r="P12" s="9">
        <v>10</v>
      </c>
      <c r="Q12" s="4">
        <f>SUMIFS(Sales_Master[Net_Revenue_INR],Sales_Master[Week_Number],P12)</f>
        <v>66203</v>
      </c>
      <c r="R12" s="11">
        <f t="shared" si="2"/>
        <v>-0.30509034990579259</v>
      </c>
      <c r="T12" s="9">
        <v>10</v>
      </c>
      <c r="U12" s="26">
        <f t="shared" si="3"/>
        <v>467100.66666666669</v>
      </c>
    </row>
    <row r="13" spans="1:24">
      <c r="A13" s="9">
        <v>11</v>
      </c>
      <c r="B13" s="3" t="s">
        <v>1516</v>
      </c>
      <c r="C13" s="3">
        <f>SUMIFS(Sales_Master[Units_Sold], Sales_Master[Month],A13)</f>
        <v>555</v>
      </c>
      <c r="D13" s="16">
        <f>SUMIFS(Sales_Master[Revenue_INR],Sales_Master[Month],A13)</f>
        <v>742288.5</v>
      </c>
      <c r="E13" s="4">
        <f>SUMIFS(Sales_Master[Net_Revenue_INR],Sales_Master[Month],A13)</f>
        <v>698527.5</v>
      </c>
      <c r="F13" s="4">
        <f>SUMIFS(Sales_Master[Total_COGS],Sales_Master[Month],A13)</f>
        <v>377340</v>
      </c>
      <c r="G13" s="4">
        <f>SUMIFS(Sales_Master[Gross_Profit],Sales_Master[Month],A13)</f>
        <v>364948.5</v>
      </c>
      <c r="H13" s="11">
        <f t="shared" si="0"/>
        <v>0.49165317797594871</v>
      </c>
      <c r="J13" s="9">
        <v>11</v>
      </c>
      <c r="K13" s="20">
        <f>SUMIFS(Sales_Master[Net_Revenue_INR],Sales_Master[Month],"&lt;="&amp;J13)</f>
        <v>4879738.5</v>
      </c>
      <c r="M13" s="9">
        <v>11</v>
      </c>
      <c r="N13" s="11">
        <f t="shared" si="1"/>
        <v>0.11634814307551794</v>
      </c>
      <c r="P13" s="9">
        <v>11</v>
      </c>
      <c r="Q13" s="4">
        <f>SUMIFS(Sales_Master[Net_Revenue_INR],Sales_Master[Week_Number],P13)</f>
        <v>97104</v>
      </c>
      <c r="R13" s="11">
        <f t="shared" si="2"/>
        <v>0.46676132501548268</v>
      </c>
      <c r="T13" s="9">
        <v>11</v>
      </c>
      <c r="U13" s="26">
        <f t="shared" si="3"/>
        <v>592672.5</v>
      </c>
    </row>
    <row r="14" spans="1:24" ht="15" thickBot="1">
      <c r="A14" s="12">
        <v>12</v>
      </c>
      <c r="B14" s="13" t="s">
        <v>1734</v>
      </c>
      <c r="C14" s="13">
        <f>SUMIFS(Sales_Master[Units_Sold], Sales_Master[Month],A14)</f>
        <v>471</v>
      </c>
      <c r="D14" s="18">
        <f>SUMIFS(Sales_Master[Revenue_INR],Sales_Master[Month],A14)</f>
        <v>582024</v>
      </c>
      <c r="E14" s="14">
        <f>SUMIFS(Sales_Master[Net_Revenue_INR],Sales_Master[Month],A14)</f>
        <v>548681</v>
      </c>
      <c r="F14" s="14">
        <f>SUMIFS(Sales_Master[Total_COGS],Sales_Master[Month],A14)</f>
        <v>290510</v>
      </c>
      <c r="G14" s="14">
        <f>SUMIFS(Sales_Master[Gross_Profit],Sales_Master[Month],A14)</f>
        <v>291514</v>
      </c>
      <c r="H14" s="15">
        <f t="shared" si="0"/>
        <v>0.50086250738801152</v>
      </c>
      <c r="J14" s="12">
        <v>12</v>
      </c>
      <c r="K14" s="21">
        <f>SUMIFS(Sales_Master[Net_Revenue_INR],Sales_Master[Month],"&lt;="&amp;J14)</f>
        <v>5428419.5</v>
      </c>
      <c r="M14" s="12">
        <v>12</v>
      </c>
      <c r="N14" s="15">
        <f t="shared" si="1"/>
        <v>-0.21451768183786607</v>
      </c>
      <c r="P14" s="9">
        <v>12</v>
      </c>
      <c r="Q14" s="4">
        <f>SUMIFS(Sales_Master[Net_Revenue_INR],Sales_Master[Week_Number],P14)</f>
        <v>94169.5</v>
      </c>
      <c r="R14" s="11">
        <f t="shared" si="2"/>
        <v>-3.0220176305816443E-2</v>
      </c>
      <c r="T14" s="12">
        <v>12</v>
      </c>
      <c r="U14" s="27">
        <f t="shared" si="3"/>
        <v>624311.33333333337</v>
      </c>
    </row>
    <row r="15" spans="1:24">
      <c r="H15" s="2"/>
      <c r="P15" s="9">
        <v>13</v>
      </c>
      <c r="Q15" s="4">
        <f>SUMIFS(Sales_Master[Net_Revenue_INR],Sales_Master[Week_Number],P15)</f>
        <v>72800.5</v>
      </c>
      <c r="R15" s="11">
        <f t="shared" si="2"/>
        <v>-0.22692060592867117</v>
      </c>
    </row>
    <row r="16" spans="1:24" ht="15" thickBot="1">
      <c r="P16" s="9">
        <v>14</v>
      </c>
      <c r="Q16" s="4">
        <f>SUMIFS(Sales_Master[Net_Revenue_INR],Sales_Master[Week_Number],P16)</f>
        <v>81632</v>
      </c>
      <c r="R16" s="11">
        <f t="shared" si="2"/>
        <v>0.12131098000700545</v>
      </c>
    </row>
    <row r="17" spans="1:18">
      <c r="A17" s="6" t="s">
        <v>2075</v>
      </c>
      <c r="B17" s="7"/>
      <c r="C17" s="7"/>
      <c r="D17" s="8"/>
      <c r="F17" s="32" t="s">
        <v>2090</v>
      </c>
      <c r="G17" s="7"/>
      <c r="H17" s="7"/>
      <c r="I17" s="8"/>
      <c r="P17" s="9">
        <v>15</v>
      </c>
      <c r="Q17" s="4">
        <f>SUMIFS(Sales_Master[Net_Revenue_INR],Sales_Master[Week_Number],P17)</f>
        <v>110638.5</v>
      </c>
      <c r="R17" s="11">
        <f t="shared" si="2"/>
        <v>0.3553324676597413</v>
      </c>
    </row>
    <row r="18" spans="1:18">
      <c r="A18" s="9" t="s">
        <v>2084</v>
      </c>
      <c r="B18" s="3" t="s">
        <v>1917</v>
      </c>
      <c r="C18" s="3" t="s">
        <v>2085</v>
      </c>
      <c r="D18" s="10" t="s">
        <v>2086</v>
      </c>
      <c r="F18" s="9" t="s">
        <v>2084</v>
      </c>
      <c r="G18" s="3" t="s">
        <v>6</v>
      </c>
      <c r="H18" s="30" t="s">
        <v>2085</v>
      </c>
      <c r="I18" s="10" t="s">
        <v>2069</v>
      </c>
      <c r="P18" s="9">
        <v>16</v>
      </c>
      <c r="Q18" s="4">
        <f>SUMIFS(Sales_Master[Net_Revenue_INR],Sales_Master[Week_Number],P18)</f>
        <v>69786.5</v>
      </c>
      <c r="R18" s="11">
        <f t="shared" si="2"/>
        <v>-0.36923855619879153</v>
      </c>
    </row>
    <row r="19" spans="1:18">
      <c r="A19" s="9">
        <v>1</v>
      </c>
      <c r="B19" s="3" t="str">
        <f>INDEX($B$33:$B$62,MATCH(C19,$C$33:$C$62,0))</f>
        <v>Wrist Watch</v>
      </c>
      <c r="C19" s="4">
        <f>LARGE($C$33:$C$62,A19)</f>
        <v>812925</v>
      </c>
      <c r="D19" s="11">
        <f>C19/SUM($C$33:$C$62)</f>
        <v>0.14975353323375248</v>
      </c>
      <c r="F19" s="9"/>
      <c r="G19" s="3" t="s">
        <v>14</v>
      </c>
      <c r="H19" s="31">
        <f>SUMIFS(Sales_Master[Net_Revenue_INR],Sales_Master[Category],G19)</f>
        <v>1352934.5</v>
      </c>
      <c r="I19" s="11">
        <f>SUMIFS(Sales_Master[Gross_Profit],Sales_Master[Category],G19)/H19</f>
        <v>0.55889364932300867</v>
      </c>
      <c r="P19" s="9">
        <v>17</v>
      </c>
      <c r="Q19" s="4">
        <f>SUMIFS(Sales_Master[Net_Revenue_INR],Sales_Master[Week_Number],P19)</f>
        <v>98429</v>
      </c>
      <c r="R19" s="11">
        <f t="shared" si="2"/>
        <v>0.41043038410007665</v>
      </c>
    </row>
    <row r="20" spans="1:18">
      <c r="A20" s="9">
        <v>2</v>
      </c>
      <c r="B20" s="3" t="str">
        <f t="shared" ref="B20:B23" si="4">INDEX($B$33:$B$62,MATCH(C20,$C$33:$C$62,0))</f>
        <v>Ethnic Sherwani</v>
      </c>
      <c r="C20" s="4">
        <f t="shared" ref="C20:C22" si="5">LARGE($C$33:$C$62,A20)</f>
        <v>566280</v>
      </c>
      <c r="D20" s="11">
        <f t="shared" ref="D20:D23" si="6">C20/SUM($C$33:$C$62)</f>
        <v>0.10431765636388271</v>
      </c>
      <c r="F20" s="9"/>
      <c r="G20" s="3" t="s">
        <v>23</v>
      </c>
      <c r="H20" s="31">
        <f>SUMIFS(Sales_Master[Net_Revenue_INR],Sales_Master[Category],G20)</f>
        <v>574800</v>
      </c>
      <c r="I20" s="11">
        <f>SUMIFS(Sales_Master[Gross_Profit],Sales_Master[Category],G20)/H20</f>
        <v>0.5061847599164927</v>
      </c>
      <c r="P20" s="9">
        <v>18</v>
      </c>
      <c r="Q20" s="4">
        <f>SUMIFS(Sales_Master[Net_Revenue_INR],Sales_Master[Week_Number],P20)</f>
        <v>81315</v>
      </c>
      <c r="R20" s="11">
        <f t="shared" si="2"/>
        <v>-0.17387152160440519</v>
      </c>
    </row>
    <row r="21" spans="1:18">
      <c r="A21" s="9">
        <v>3</v>
      </c>
      <c r="B21" s="3" t="str">
        <f t="shared" si="4"/>
        <v>Formal Blazer</v>
      </c>
      <c r="C21" s="4">
        <f t="shared" si="5"/>
        <v>378048</v>
      </c>
      <c r="D21" s="11">
        <f t="shared" si="6"/>
        <v>6.964237012264804E-2</v>
      </c>
      <c r="F21" s="9"/>
      <c r="G21" s="3" t="s">
        <v>20</v>
      </c>
      <c r="H21" s="31">
        <f>SUMIFS(Sales_Master[Net_Revenue_INR],Sales_Master[Category],G21)</f>
        <v>1008900</v>
      </c>
      <c r="I21" s="11">
        <f>SUMIFS(Sales_Master[Gross_Profit],Sales_Master[Category],G21)/H21</f>
        <v>0.4380701754385965</v>
      </c>
      <c r="P21" s="9">
        <v>19</v>
      </c>
      <c r="Q21" s="4">
        <f>SUMIFS(Sales_Master[Net_Revenue_INR],Sales_Master[Week_Number],P21)</f>
        <v>92455</v>
      </c>
      <c r="R21" s="11">
        <f t="shared" si="2"/>
        <v>0.13699809383262621</v>
      </c>
    </row>
    <row r="22" spans="1:18">
      <c r="A22" s="9">
        <v>4</v>
      </c>
      <c r="B22" s="3" t="str">
        <f t="shared" si="4"/>
        <v>Quilted Jacket</v>
      </c>
      <c r="C22" s="4">
        <f t="shared" si="5"/>
        <v>359415</v>
      </c>
      <c r="D22" s="11">
        <f t="shared" si="6"/>
        <v>6.6209879321227849E-2</v>
      </c>
      <c r="F22" s="9"/>
      <c r="G22" s="3" t="s">
        <v>26</v>
      </c>
      <c r="H22" s="31">
        <f>SUMIFS(Sales_Master[Net_Revenue_INR],Sales_Master[Category],G22)</f>
        <v>1253172</v>
      </c>
      <c r="I22" s="11">
        <f>SUMIFS(Sales_Master[Gross_Profit],Sales_Master[Category],G22)/H22</f>
        <v>0.60919251307881117</v>
      </c>
      <c r="P22" s="9">
        <v>20</v>
      </c>
      <c r="Q22" s="4">
        <f>SUMIFS(Sales_Master[Net_Revenue_INR],Sales_Master[Week_Number],P22)</f>
        <v>83151</v>
      </c>
      <c r="R22" s="11">
        <f t="shared" si="2"/>
        <v>-0.10063274025201449</v>
      </c>
    </row>
    <row r="23" spans="1:18" ht="15" thickBot="1">
      <c r="A23" s="12">
        <v>5</v>
      </c>
      <c r="B23" s="13" t="str">
        <f t="shared" si="4"/>
        <v>Running Sneakers</v>
      </c>
      <c r="C23" s="14">
        <f>LARGE($C$33:$C$62,A23)</f>
        <v>320364</v>
      </c>
      <c r="D23" s="15">
        <f t="shared" si="6"/>
        <v>5.9016072726140636E-2</v>
      </c>
      <c r="F23" s="9"/>
      <c r="G23" s="3" t="s">
        <v>17</v>
      </c>
      <c r="H23" s="31">
        <f>SUMIFS(Sales_Master[Net_Revenue_INR],Sales_Master[Category],G23)</f>
        <v>939186</v>
      </c>
      <c r="I23" s="11">
        <f>SUMIFS(Sales_Master[Gross_Profit],Sales_Master[Category],G23)/H23</f>
        <v>0.51756521072503214</v>
      </c>
      <c r="P23" s="9">
        <v>21</v>
      </c>
      <c r="Q23" s="4">
        <f>SUMIFS(Sales_Master[Net_Revenue_INR],Sales_Master[Week_Number],P23)</f>
        <v>92048</v>
      </c>
      <c r="R23" s="11">
        <f t="shared" si="2"/>
        <v>0.10699811186876887</v>
      </c>
    </row>
    <row r="24" spans="1:18" ht="15" thickBot="1">
      <c r="F24" s="12"/>
      <c r="G24" s="13" t="s">
        <v>221</v>
      </c>
      <c r="H24" s="33">
        <f>SUMIFS(Sales_Master[Net_Revenue_INR],Sales_Master[Category],G24)</f>
        <v>299427</v>
      </c>
      <c r="I24" s="15">
        <f>SUMIFS(Sales_Master[Gross_Profit],Sales_Master[Category],G24)/H24</f>
        <v>0.50416629094904597</v>
      </c>
      <c r="P24" s="9">
        <v>22</v>
      </c>
      <c r="Q24" s="4">
        <f>SUMIFS(Sales_Master[Net_Revenue_INR],Sales_Master[Week_Number],P24)</f>
        <v>85119.5</v>
      </c>
      <c r="R24" s="11">
        <f t="shared" si="2"/>
        <v>-7.5270511037719451E-2</v>
      </c>
    </row>
    <row r="25" spans="1:18">
      <c r="P25" s="9">
        <v>23</v>
      </c>
      <c r="Q25" s="4">
        <f>SUMIFS(Sales_Master[Net_Revenue_INR],Sales_Master[Week_Number],P25)</f>
        <v>80625</v>
      </c>
      <c r="R25" s="11">
        <f t="shared" si="2"/>
        <v>-5.2802236855244683E-2</v>
      </c>
    </row>
    <row r="26" spans="1:18" ht="15" thickBot="1">
      <c r="P26" s="9">
        <v>24</v>
      </c>
      <c r="Q26" s="4">
        <f>SUMIFS(Sales_Master[Net_Revenue_INR],Sales_Master[Week_Number],P26)</f>
        <v>130420</v>
      </c>
      <c r="R26" s="11">
        <f t="shared" si="2"/>
        <v>0.61761240310077514</v>
      </c>
    </row>
    <row r="27" spans="1:18">
      <c r="F27" s="34" t="s">
        <v>2076</v>
      </c>
      <c r="G27" s="7"/>
      <c r="H27" s="7"/>
      <c r="I27" s="7"/>
      <c r="J27" s="7"/>
      <c r="K27" s="7"/>
      <c r="L27" s="8"/>
      <c r="P27" s="9">
        <v>25</v>
      </c>
      <c r="Q27" s="4">
        <f>SUMIFS(Sales_Master[Net_Revenue_INR],Sales_Master[Week_Number],P27)</f>
        <v>82782</v>
      </c>
      <c r="R27" s="11">
        <f t="shared" si="2"/>
        <v>-0.3652660634871952</v>
      </c>
    </row>
    <row r="28" spans="1:18">
      <c r="F28" s="9" t="s">
        <v>3</v>
      </c>
      <c r="G28" s="3" t="s">
        <v>4</v>
      </c>
      <c r="H28" s="3" t="s">
        <v>2091</v>
      </c>
      <c r="I28" s="3" t="s">
        <v>2092</v>
      </c>
      <c r="J28" s="3" t="s">
        <v>2093</v>
      </c>
      <c r="K28" s="3" t="s">
        <v>2094</v>
      </c>
      <c r="L28" s="10" t="s">
        <v>2095</v>
      </c>
      <c r="P28" s="9">
        <v>26</v>
      </c>
      <c r="Q28" s="4">
        <f>SUMIFS(Sales_Master[Net_Revenue_INR],Sales_Master[Week_Number],P28)</f>
        <v>95768</v>
      </c>
      <c r="R28" s="11">
        <f t="shared" si="2"/>
        <v>0.15686985093377787</v>
      </c>
    </row>
    <row r="29" spans="1:18">
      <c r="F29" s="9">
        <v>1</v>
      </c>
      <c r="G29" s="3" t="s">
        <v>12</v>
      </c>
      <c r="H29" s="4">
        <f>SUMIFS(Sales_Master[Net_Revenue_INR],Sales_Master[Month],F29)</f>
        <v>469314.5</v>
      </c>
      <c r="I29" s="4">
        <f>SUMIFS(tbl_Budget[Budgeted_Revenue_INR],tbl_Budget[Month],F29)</f>
        <v>499300</v>
      </c>
      <c r="J29" s="24">
        <f>H29-I29</f>
        <v>-29985.5</v>
      </c>
      <c r="K29" s="5">
        <f>J29/I29</f>
        <v>-6.0055077107951133E-2</v>
      </c>
      <c r="L29" s="10" t="str">
        <f>IF(J29&gt;0,"✅ Over","❌ Under")</f>
        <v>❌ Under</v>
      </c>
      <c r="P29" s="9">
        <v>27</v>
      </c>
      <c r="Q29" s="4">
        <f>SUMIFS(Sales_Master[Net_Revenue_INR],Sales_Master[Week_Number],P29)</f>
        <v>69297</v>
      </c>
      <c r="R29" s="11">
        <f t="shared" si="2"/>
        <v>-0.27640756829003427</v>
      </c>
    </row>
    <row r="30" spans="1:18">
      <c r="F30" s="9">
        <v>2</v>
      </c>
      <c r="G30" s="3" t="s">
        <v>218</v>
      </c>
      <c r="H30" s="4">
        <f>SUMIFS(Sales_Master[Net_Revenue_INR],Sales_Master[Month],F30)</f>
        <v>426889</v>
      </c>
      <c r="I30" s="4">
        <f>SUMIFS(tbl_Budget[Budgeted_Revenue_INR],tbl_Budget[Month],F30)</f>
        <v>457400</v>
      </c>
      <c r="J30" s="24">
        <f t="shared" ref="J30:J40" si="7">H30-I30</f>
        <v>-30511</v>
      </c>
      <c r="K30" s="5">
        <f t="shared" ref="K30:K40" si="8">J30/I30</f>
        <v>-6.6705290773939663E-2</v>
      </c>
      <c r="L30" s="10" t="str">
        <f t="shared" ref="L30:L40" si="9">IF(J30&gt;0,"✅ Over","❌ Under")</f>
        <v>❌ Under</v>
      </c>
      <c r="P30" s="9">
        <v>28</v>
      </c>
      <c r="Q30" s="4">
        <f>SUMIFS(Sales_Master[Net_Revenue_INR],Sales_Master[Week_Number],P30)</f>
        <v>81195</v>
      </c>
      <c r="R30" s="11">
        <f t="shared" si="2"/>
        <v>0.17169574440451968</v>
      </c>
    </row>
    <row r="31" spans="1:18">
      <c r="A31" s="37" t="s">
        <v>2104</v>
      </c>
      <c r="B31" s="37"/>
      <c r="C31" s="37"/>
      <c r="F31" s="9">
        <v>3</v>
      </c>
      <c r="G31" s="3" t="s">
        <v>2079</v>
      </c>
      <c r="H31" s="4">
        <f>SUMIFS(Sales_Master[Net_Revenue_INR],Sales_Master[Month],F31)</f>
        <v>354001</v>
      </c>
      <c r="I31" s="4">
        <f>SUMIFS(tbl_Budget[Budgeted_Revenue_INR],tbl_Budget[Month],F31)</f>
        <v>377000</v>
      </c>
      <c r="J31" s="24">
        <f t="shared" si="7"/>
        <v>-22999</v>
      </c>
      <c r="K31" s="5">
        <f t="shared" si="8"/>
        <v>-6.1005305039787801E-2</v>
      </c>
      <c r="L31" s="10" t="str">
        <f t="shared" si="9"/>
        <v>❌ Under</v>
      </c>
      <c r="P31" s="9">
        <v>29</v>
      </c>
      <c r="Q31" s="4">
        <f>SUMIFS(Sales_Master[Net_Revenue_INR],Sales_Master[Week_Number],P31)</f>
        <v>57168</v>
      </c>
      <c r="R31" s="11">
        <f t="shared" si="2"/>
        <v>-0.29591723628302236</v>
      </c>
    </row>
    <row r="32" spans="1:18">
      <c r="A32" s="37" t="s">
        <v>5</v>
      </c>
      <c r="B32" s="37" t="s">
        <v>1917</v>
      </c>
      <c r="C32" s="37" t="s">
        <v>2089</v>
      </c>
      <c r="F32" s="9">
        <v>4</v>
      </c>
      <c r="G32" s="3" t="s">
        <v>471</v>
      </c>
      <c r="H32" s="4">
        <f>SUMIFS(Sales_Master[Net_Revenue_INR],Sales_Master[Month],F32)</f>
        <v>377846</v>
      </c>
      <c r="I32" s="4">
        <f>SUMIFS(tbl_Budget[Budgeted_Revenue_INR],tbl_Budget[Month],F32)</f>
        <v>439100</v>
      </c>
      <c r="J32" s="24">
        <f t="shared" si="7"/>
        <v>-61254</v>
      </c>
      <c r="K32" s="5">
        <f t="shared" si="8"/>
        <v>-0.13949897517649737</v>
      </c>
      <c r="L32" s="10" t="str">
        <f t="shared" si="9"/>
        <v>❌ Under</v>
      </c>
      <c r="P32" s="9">
        <v>30</v>
      </c>
      <c r="Q32" s="4">
        <f>SUMIFS(Sales_Master[Net_Revenue_INR],Sales_Master[Week_Number],P32)</f>
        <v>91299</v>
      </c>
      <c r="R32" s="11">
        <f t="shared" si="2"/>
        <v>0.59702980688497065</v>
      </c>
    </row>
    <row r="33" spans="1:18">
      <c r="A33" s="37" t="s">
        <v>119</v>
      </c>
      <c r="B33" s="37" t="str">
        <f>INDEX(Sales_Master[Product_Name],MATCH(A33,Sales_Master[Product_ID],0))</f>
        <v>Classic Cotton Kurta</v>
      </c>
      <c r="C33" s="38">
        <f>SUMIFS(Sales_Master[Net_Revenue_INR],Sales_Master[Product_ID],A33)</f>
        <v>126934.5</v>
      </c>
      <c r="F33" s="9">
        <v>5</v>
      </c>
      <c r="G33" s="3" t="s">
        <v>622</v>
      </c>
      <c r="H33" s="4">
        <f>SUMIFS(Sales_Master[Net_Revenue_INR],Sales_Master[Month],F33)</f>
        <v>399022</v>
      </c>
      <c r="I33" s="4">
        <f>SUMIFS(tbl_Budget[Budgeted_Revenue_INR],tbl_Budget[Month],F33)</f>
        <v>429400</v>
      </c>
      <c r="J33" s="24">
        <f t="shared" si="7"/>
        <v>-30378</v>
      </c>
      <c r="K33" s="5">
        <f t="shared" si="8"/>
        <v>-7.07452258965999E-2</v>
      </c>
      <c r="L33" s="10" t="str">
        <f t="shared" si="9"/>
        <v>❌ Under</v>
      </c>
      <c r="P33" s="9">
        <v>31</v>
      </c>
      <c r="Q33" s="4">
        <f>SUMIFS(Sales_Master[Net_Revenue_INR],Sales_Master[Week_Number],P33)</f>
        <v>94287</v>
      </c>
      <c r="R33" s="11">
        <f t="shared" si="2"/>
        <v>3.2727631189826835E-2</v>
      </c>
    </row>
    <row r="34" spans="1:18">
      <c r="A34" s="37" t="s">
        <v>39</v>
      </c>
      <c r="B34" s="37" t="str">
        <f>INDEX(Sales_Master[Product_Name],MATCH(A34,Sales_Master[Product_ID],0))</f>
        <v>Slim Fit Shirt</v>
      </c>
      <c r="C34" s="38">
        <f>SUMIFS(Sales_Master[Net_Revenue_INR],Sales_Master[Product_ID],A34)</f>
        <v>137060</v>
      </c>
      <c r="F34" s="9">
        <v>6</v>
      </c>
      <c r="G34" s="3" t="s">
        <v>786</v>
      </c>
      <c r="H34" s="4">
        <f>SUMIFS(Sales_Master[Net_Revenue_INR],Sales_Master[Month],F34)</f>
        <v>407301.5</v>
      </c>
      <c r="I34" s="4">
        <f>SUMIFS(tbl_Budget[Budgeted_Revenue_INR],tbl_Budget[Month],F34)</f>
        <v>470200</v>
      </c>
      <c r="J34" s="24">
        <f t="shared" si="7"/>
        <v>-62898.5</v>
      </c>
      <c r="K34" s="5">
        <f t="shared" si="8"/>
        <v>-0.13376967247979582</v>
      </c>
      <c r="L34" s="10" t="str">
        <f t="shared" si="9"/>
        <v>❌ Under</v>
      </c>
      <c r="P34" s="9">
        <v>32</v>
      </c>
      <c r="Q34" s="4">
        <f>SUMIFS(Sales_Master[Net_Revenue_INR],Sales_Master[Week_Number],P34)</f>
        <v>48026</v>
      </c>
      <c r="R34" s="11">
        <f t="shared" si="2"/>
        <v>-0.49064027914770858</v>
      </c>
    </row>
    <row r="35" spans="1:18">
      <c r="A35" s="37" t="s">
        <v>80</v>
      </c>
      <c r="B35" s="37" t="str">
        <f>INDEX(Sales_Master[Product_Name],MATCH(A35,Sales_Master[Product_ID],0))</f>
        <v>Casual T-Shirt</v>
      </c>
      <c r="C35" s="38">
        <f>SUMIFS(Sales_Master[Net_Revenue_INR],Sales_Master[Product_ID],A35)</f>
        <v>67620</v>
      </c>
      <c r="F35" s="9">
        <v>7</v>
      </c>
      <c r="G35" s="3" t="s">
        <v>938</v>
      </c>
      <c r="H35" s="4">
        <f>SUMIFS(Sales_Master[Net_Revenue_INR],Sales_Master[Month],F35)</f>
        <v>345535</v>
      </c>
      <c r="I35" s="4">
        <f>SUMIFS(tbl_Budget[Budgeted_Revenue_INR],tbl_Budget[Month],F35)</f>
        <v>370800</v>
      </c>
      <c r="J35" s="24">
        <f t="shared" si="7"/>
        <v>-25265</v>
      </c>
      <c r="K35" s="5">
        <f t="shared" si="8"/>
        <v>-6.8136461704422863E-2</v>
      </c>
      <c r="L35" s="10" t="str">
        <f t="shared" si="9"/>
        <v>❌ Under</v>
      </c>
      <c r="P35" s="9">
        <v>33</v>
      </c>
      <c r="Q35" s="4">
        <f>SUMIFS(Sales_Master[Net_Revenue_INR],Sales_Master[Week_Number],P35)</f>
        <v>119890</v>
      </c>
      <c r="R35" s="11">
        <f t="shared" si="2"/>
        <v>1.4963561404239369</v>
      </c>
    </row>
    <row r="36" spans="1:18">
      <c r="A36" s="37" t="s">
        <v>64</v>
      </c>
      <c r="B36" s="37" t="str">
        <f>INDEX(Sales_Master[Product_Name],MATCH(A36,Sales_Master[Product_ID],0))</f>
        <v>Formal Blazer</v>
      </c>
      <c r="C36" s="38">
        <f>SUMIFS(Sales_Master[Net_Revenue_INR],Sales_Master[Product_ID],A36)</f>
        <v>378048</v>
      </c>
      <c r="F36" s="9">
        <v>8</v>
      </c>
      <c r="G36" s="3" t="s">
        <v>1056</v>
      </c>
      <c r="H36" s="4">
        <f>SUMIFS(Sales_Master[Net_Revenue_INR],Sales_Master[Month],F36)</f>
        <v>321812</v>
      </c>
      <c r="I36" s="4">
        <f>SUMIFS(tbl_Budget[Budgeted_Revenue_INR],tbl_Budget[Month],F36)</f>
        <v>343800</v>
      </c>
      <c r="J36" s="24">
        <f t="shared" si="7"/>
        <v>-21988</v>
      </c>
      <c r="K36" s="5">
        <f t="shared" si="8"/>
        <v>-6.395578824898196E-2</v>
      </c>
      <c r="L36" s="10" t="str">
        <f t="shared" si="9"/>
        <v>❌ Under</v>
      </c>
      <c r="P36" s="9">
        <v>34</v>
      </c>
      <c r="Q36" s="4">
        <f>SUMIFS(Sales_Master[Net_Revenue_INR],Sales_Master[Week_Number],P36)</f>
        <v>23628</v>
      </c>
      <c r="R36" s="11">
        <f t="shared" si="2"/>
        <v>-0.80291934273083665</v>
      </c>
    </row>
    <row r="37" spans="1:18">
      <c r="A37" s="37" t="s">
        <v>187</v>
      </c>
      <c r="B37" s="37" t="str">
        <f>INDEX(Sales_Master[Product_Name],MATCH(A37,Sales_Master[Product_ID],0))</f>
        <v>Ethnic Sherwani</v>
      </c>
      <c r="C37" s="38">
        <f>SUMIFS(Sales_Master[Net_Revenue_INR],Sales_Master[Product_ID],A37)</f>
        <v>566280</v>
      </c>
      <c r="F37" s="9">
        <v>9</v>
      </c>
      <c r="G37" s="3" t="s">
        <v>1178</v>
      </c>
      <c r="H37" s="4">
        <f>SUMIFS(Sales_Master[Net_Revenue_INR],Sales_Master[Month],F37)</f>
        <v>453764.5</v>
      </c>
      <c r="I37" s="4">
        <f>SUMIFS(tbl_Budget[Budgeted_Revenue_INR],tbl_Budget[Month],F37)</f>
        <v>484200</v>
      </c>
      <c r="J37" s="24">
        <f t="shared" si="7"/>
        <v>-30435.5</v>
      </c>
      <c r="K37" s="5">
        <f t="shared" si="8"/>
        <v>-6.2857290375877742E-2</v>
      </c>
      <c r="L37" s="10" t="str">
        <f t="shared" si="9"/>
        <v>❌ Under</v>
      </c>
      <c r="P37" s="9">
        <v>35</v>
      </c>
      <c r="Q37" s="4">
        <f>SUMIFS(Sales_Master[Net_Revenue_INR],Sales_Master[Week_Number],P37)</f>
        <v>85377</v>
      </c>
      <c r="R37" s="11">
        <f t="shared" si="2"/>
        <v>2.6133824276282378</v>
      </c>
    </row>
    <row r="38" spans="1:18">
      <c r="A38" s="37" t="s">
        <v>13</v>
      </c>
      <c r="B38" s="37" t="str">
        <f>INDEX(Sales_Master[Product_Name],MATCH(A38,Sales_Master[Product_ID],0))</f>
        <v>Polo Neck Tee</v>
      </c>
      <c r="C38" s="38">
        <f>SUMIFS(Sales_Master[Net_Revenue_INR],Sales_Master[Product_ID],A38)</f>
        <v>76992</v>
      </c>
      <c r="F38" s="9">
        <v>10</v>
      </c>
      <c r="G38" s="3" t="s">
        <v>1319</v>
      </c>
      <c r="H38" s="4">
        <f>SUMIFS(Sales_Master[Net_Revenue_INR],Sales_Master[Month],F38)</f>
        <v>625725.5</v>
      </c>
      <c r="I38" s="4">
        <f>SUMIFS(tbl_Budget[Budgeted_Revenue_INR],tbl_Budget[Month],F38)</f>
        <v>703400</v>
      </c>
      <c r="J38" s="24">
        <f t="shared" si="7"/>
        <v>-77674.5</v>
      </c>
      <c r="K38" s="5">
        <f t="shared" si="8"/>
        <v>-0.11042721069092977</v>
      </c>
      <c r="L38" s="10" t="str">
        <f t="shared" si="9"/>
        <v>❌ Under</v>
      </c>
      <c r="P38" s="9">
        <v>36</v>
      </c>
      <c r="Q38" s="4">
        <f>SUMIFS(Sales_Master[Net_Revenue_INR],Sales_Master[Week_Number],P38)</f>
        <v>133456</v>
      </c>
      <c r="R38" s="11">
        <f t="shared" si="2"/>
        <v>0.56313761317450839</v>
      </c>
    </row>
    <row r="39" spans="1:18">
      <c r="A39" s="37" t="s">
        <v>115</v>
      </c>
      <c r="B39" s="37" t="str">
        <f>INDEX(Sales_Master[Product_Name],MATCH(A39,Sales_Master[Product_ID],0))</f>
        <v>Slim Fit Jeans</v>
      </c>
      <c r="C39" s="38">
        <f>SUMIFS(Sales_Master[Net_Revenue_INR],Sales_Master[Product_ID],A39)</f>
        <v>162300</v>
      </c>
      <c r="F39" s="9">
        <v>11</v>
      </c>
      <c r="G39" s="3" t="s">
        <v>1516</v>
      </c>
      <c r="H39" s="4">
        <f>SUMIFS(Sales_Master[Net_Revenue_INR],Sales_Master[Month],F39)</f>
        <v>698527.5</v>
      </c>
      <c r="I39" s="4">
        <f>SUMIFS(tbl_Budget[Budgeted_Revenue_INR],tbl_Budget[Month],F39)</f>
        <v>813700</v>
      </c>
      <c r="J39" s="24">
        <f t="shared" si="7"/>
        <v>-115172.5</v>
      </c>
      <c r="K39" s="5">
        <f t="shared" si="8"/>
        <v>-0.14154172299373233</v>
      </c>
      <c r="L39" s="10" t="str">
        <f t="shared" si="9"/>
        <v>❌ Under</v>
      </c>
      <c r="P39" s="9">
        <v>37</v>
      </c>
      <c r="Q39" s="4">
        <f>SUMIFS(Sales_Master[Net_Revenue_INR],Sales_Master[Week_Number],P39)</f>
        <v>85495.5</v>
      </c>
      <c r="R39" s="11">
        <f t="shared" si="2"/>
        <v>-0.35937312672341448</v>
      </c>
    </row>
    <row r="40" spans="1:18" ht="15" thickBot="1">
      <c r="A40" s="37" t="s">
        <v>58</v>
      </c>
      <c r="B40" s="37" t="str">
        <f>INDEX(Sales_Master[Product_Name],MATCH(A40,Sales_Master[Product_ID],0))</f>
        <v>Chino Trousers</v>
      </c>
      <c r="C40" s="38">
        <f>SUMIFS(Sales_Master[Net_Revenue_INR],Sales_Master[Product_ID],A40)</f>
        <v>117900</v>
      </c>
      <c r="F40" s="12">
        <v>12</v>
      </c>
      <c r="G40" s="13" t="s">
        <v>1734</v>
      </c>
      <c r="H40" s="14">
        <f>SUMIFS(Sales_Master[Net_Revenue_INR],Sales_Master[Month],F40)</f>
        <v>548681</v>
      </c>
      <c r="I40" s="14">
        <f>SUMIFS(tbl_Budget[Budgeted_Revenue_INR],tbl_Budget[Month],F40)</f>
        <v>624100</v>
      </c>
      <c r="J40" s="35">
        <f t="shared" si="7"/>
        <v>-75419</v>
      </c>
      <c r="K40" s="36">
        <f t="shared" si="8"/>
        <v>-0.12084441595898093</v>
      </c>
      <c r="L40" s="29" t="str">
        <f t="shared" si="9"/>
        <v>❌ Under</v>
      </c>
      <c r="P40" s="9">
        <v>38</v>
      </c>
      <c r="Q40" s="4">
        <f>SUMIFS(Sales_Master[Net_Revenue_INR],Sales_Master[Week_Number],P40)</f>
        <v>132318</v>
      </c>
      <c r="R40" s="11">
        <f t="shared" si="2"/>
        <v>0.54766040317911469</v>
      </c>
    </row>
    <row r="41" spans="1:18">
      <c r="A41" s="37" t="s">
        <v>42</v>
      </c>
      <c r="B41" s="37" t="str">
        <f>INDEX(Sales_Master[Product_Name],MATCH(A41,Sales_Master[Product_ID],0))</f>
        <v>Ethnic Pyjama</v>
      </c>
      <c r="C41" s="38">
        <f>SUMIFS(Sales_Master[Net_Revenue_INR],Sales_Master[Product_ID],A41)</f>
        <v>73650</v>
      </c>
      <c r="P41" s="9">
        <v>39</v>
      </c>
      <c r="Q41" s="4">
        <f>SUMIFS(Sales_Master[Net_Revenue_INR],Sales_Master[Week_Number],P41)</f>
        <v>75798</v>
      </c>
      <c r="R41" s="11">
        <f t="shared" si="2"/>
        <v>-0.42715276833083932</v>
      </c>
    </row>
    <row r="42" spans="1:18">
      <c r="A42" s="37" t="s">
        <v>22</v>
      </c>
      <c r="B42" s="37" t="str">
        <f>INDEX(Sales_Master[Product_Name],MATCH(A42,Sales_Master[Product_ID],0))</f>
        <v>Track Pants</v>
      </c>
      <c r="C42" s="38">
        <f>SUMIFS(Sales_Master[Net_Revenue_INR],Sales_Master[Product_ID],A42)</f>
        <v>64150</v>
      </c>
      <c r="P42" s="9">
        <v>40</v>
      </c>
      <c r="Q42" s="4">
        <f>SUMIFS(Sales_Master[Net_Revenue_INR],Sales_Master[Week_Number],P42)</f>
        <v>125934</v>
      </c>
      <c r="R42" s="11">
        <f t="shared" si="2"/>
        <v>0.66144225441304516</v>
      </c>
    </row>
    <row r="43" spans="1:18">
      <c r="A43" s="37" t="s">
        <v>31</v>
      </c>
      <c r="B43" s="37" t="str">
        <f>INDEX(Sales_Master[Product_Name],MATCH(A43,Sales_Master[Product_ID],0))</f>
        <v>Formal Trousers</v>
      </c>
      <c r="C43" s="38">
        <f>SUMIFS(Sales_Master[Net_Revenue_INR],Sales_Master[Product_ID],A43)</f>
        <v>156800</v>
      </c>
      <c r="P43" s="9">
        <v>41</v>
      </c>
      <c r="Q43" s="4">
        <f>SUMIFS(Sales_Master[Net_Revenue_INR],Sales_Master[Week_Number],P43)</f>
        <v>146806</v>
      </c>
      <c r="R43" s="11">
        <f t="shared" si="2"/>
        <v>0.1657376085886258</v>
      </c>
    </row>
    <row r="44" spans="1:18">
      <c r="A44" s="37" t="s">
        <v>19</v>
      </c>
      <c r="B44" s="37" t="str">
        <f>INDEX(Sales_Master[Product_Name],MATCH(A44,Sales_Master[Product_ID],0))</f>
        <v>Leather Loafers</v>
      </c>
      <c r="C44" s="38">
        <f>SUMIFS(Sales_Master[Net_Revenue_INR],Sales_Master[Product_ID],A44)</f>
        <v>226719</v>
      </c>
      <c r="P44" s="9">
        <v>42</v>
      </c>
      <c r="Q44" s="4">
        <f>SUMIFS(Sales_Master[Net_Revenue_INR],Sales_Master[Week_Number],P44)</f>
        <v>152031</v>
      </c>
      <c r="R44" s="11">
        <f t="shared" si="2"/>
        <v>3.5591188371047508E-2</v>
      </c>
    </row>
    <row r="45" spans="1:18">
      <c r="A45" s="37" t="s">
        <v>97</v>
      </c>
      <c r="B45" s="37" t="str">
        <f>INDEX(Sales_Master[Product_Name],MATCH(A45,Sales_Master[Product_ID],0))</f>
        <v>Running Sneakers</v>
      </c>
      <c r="C45" s="38">
        <f>SUMIFS(Sales_Master[Net_Revenue_INR],Sales_Master[Product_ID],A45)</f>
        <v>320364</v>
      </c>
      <c r="P45" s="9">
        <v>43</v>
      </c>
      <c r="Q45" s="4">
        <f>SUMIFS(Sales_Master[Net_Revenue_INR],Sales_Master[Week_Number],P45)</f>
        <v>145571</v>
      </c>
      <c r="R45" s="11">
        <f t="shared" si="2"/>
        <v>-4.2491334004249134E-2</v>
      </c>
    </row>
    <row r="46" spans="1:18">
      <c r="A46" s="37" t="s">
        <v>82</v>
      </c>
      <c r="B46" s="37" t="str">
        <f>INDEX(Sales_Master[Product_Name],MATCH(A46,Sales_Master[Product_ID],0))</f>
        <v>Ethnic Juttis</v>
      </c>
      <c r="C46" s="38">
        <f>SUMIFS(Sales_Master[Net_Revenue_INR],Sales_Master[Product_ID],A46)</f>
        <v>121995</v>
      </c>
      <c r="P46" s="9">
        <v>44</v>
      </c>
      <c r="Q46" s="4">
        <f>SUMIFS(Sales_Master[Net_Revenue_INR],Sales_Master[Week_Number],P46)</f>
        <v>159371.5</v>
      </c>
      <c r="R46" s="11">
        <f t="shared" si="2"/>
        <v>9.4802536219439307E-2</v>
      </c>
    </row>
    <row r="47" spans="1:18">
      <c r="A47" s="37" t="s">
        <v>146</v>
      </c>
      <c r="B47" s="37" t="str">
        <f>INDEX(Sales_Master[Product_Name],MATCH(A47,Sales_Master[Product_ID],0))</f>
        <v>Casual Sandals</v>
      </c>
      <c r="C47" s="38">
        <f>SUMIFS(Sales_Master[Net_Revenue_INR],Sales_Master[Product_ID],A47)</f>
        <v>94941</v>
      </c>
      <c r="P47" s="9">
        <v>45</v>
      </c>
      <c r="Q47" s="4">
        <f>SUMIFS(Sales_Master[Net_Revenue_INR],Sales_Master[Week_Number],P47)</f>
        <v>176026</v>
      </c>
      <c r="R47" s="11">
        <f t="shared" si="2"/>
        <v>0.10450111845593472</v>
      </c>
    </row>
    <row r="48" spans="1:18">
      <c r="A48" s="37" t="s">
        <v>37</v>
      </c>
      <c r="B48" s="37" t="str">
        <f>INDEX(Sales_Master[Product_Name],MATCH(A48,Sales_Master[Product_ID],0))</f>
        <v>Formal Oxford Shoes</v>
      </c>
      <c r="C48" s="38">
        <f>SUMIFS(Sales_Master[Net_Revenue_INR],Sales_Master[Product_ID],A48)</f>
        <v>244881</v>
      </c>
      <c r="P48" s="9">
        <v>46</v>
      </c>
      <c r="Q48" s="4">
        <f>SUMIFS(Sales_Master[Net_Revenue_INR],Sales_Master[Week_Number],P48)</f>
        <v>178682</v>
      </c>
      <c r="R48" s="11">
        <f t="shared" si="2"/>
        <v>1.5088680081351618E-2</v>
      </c>
    </row>
    <row r="49" spans="1:18">
      <c r="A49" s="37" t="s">
        <v>51</v>
      </c>
      <c r="B49" s="37" t="str">
        <f>INDEX(Sales_Master[Product_Name],MATCH(A49,Sales_Master[Product_ID],0))</f>
        <v>Leather Belt</v>
      </c>
      <c r="C49" s="38">
        <f>SUMIFS(Sales_Master[Net_Revenue_INR],Sales_Master[Product_ID],A49)</f>
        <v>71925</v>
      </c>
      <c r="P49" s="9">
        <v>47</v>
      </c>
      <c r="Q49" s="4">
        <f>SUMIFS(Sales_Master[Net_Revenue_INR],Sales_Master[Week_Number],P49)</f>
        <v>115402.5</v>
      </c>
      <c r="R49" s="11">
        <f t="shared" si="2"/>
        <v>-0.3541459128507628</v>
      </c>
    </row>
    <row r="50" spans="1:18">
      <c r="A50" s="37" t="s">
        <v>68</v>
      </c>
      <c r="B50" s="37" t="str">
        <f>INDEX(Sales_Master[Product_Name],MATCH(A50,Sales_Master[Product_ID],0))</f>
        <v>Silk Pocket Square</v>
      </c>
      <c r="C50" s="38">
        <f>SUMIFS(Sales_Master[Net_Revenue_INR],Sales_Master[Product_ID],A50)</f>
        <v>44897</v>
      </c>
      <c r="P50" s="9">
        <v>48</v>
      </c>
      <c r="Q50" s="4">
        <f>SUMIFS(Sales_Master[Net_Revenue_INR],Sales_Master[Week_Number],P50)</f>
        <v>157486</v>
      </c>
      <c r="R50" s="11">
        <f t="shared" si="2"/>
        <v>0.36466714325946142</v>
      </c>
    </row>
    <row r="51" spans="1:18">
      <c r="A51" s="37" t="s">
        <v>45</v>
      </c>
      <c r="B51" s="37" t="str">
        <f>INDEX(Sales_Master[Product_Name],MATCH(A51,Sales_Master[Product_ID],0))</f>
        <v>Wrist Watch</v>
      </c>
      <c r="C51" s="38">
        <f>SUMIFS(Sales_Master[Net_Revenue_INR],Sales_Master[Product_ID],A51)</f>
        <v>812925</v>
      </c>
      <c r="P51" s="9">
        <v>49</v>
      </c>
      <c r="Q51" s="4">
        <f>SUMIFS(Sales_Master[Net_Revenue_INR],Sales_Master[Week_Number],P51)</f>
        <v>107791.5</v>
      </c>
      <c r="R51" s="11">
        <f t="shared" si="2"/>
        <v>-0.31554868369251871</v>
      </c>
    </row>
    <row r="52" spans="1:18">
      <c r="A52" s="37" t="s">
        <v>28</v>
      </c>
      <c r="B52" s="37" t="str">
        <f>INDEX(Sales_Master[Product_Name],MATCH(A52,Sales_Master[Product_ID],0))</f>
        <v>Sunglasses</v>
      </c>
      <c r="C52" s="38">
        <f>SUMIFS(Sales_Master[Net_Revenue_INR],Sales_Master[Product_ID],A52)</f>
        <v>207825</v>
      </c>
      <c r="P52" s="9">
        <v>50</v>
      </c>
      <c r="Q52" s="4">
        <f>SUMIFS(Sales_Master[Net_Revenue_INR],Sales_Master[Week_Number],P52)</f>
        <v>143300</v>
      </c>
      <c r="R52" s="11">
        <f t="shared" si="2"/>
        <v>0.32941836786759626</v>
      </c>
    </row>
    <row r="53" spans="1:18">
      <c r="A53" s="37" t="s">
        <v>25</v>
      </c>
      <c r="B53" s="37" t="str">
        <f>INDEX(Sales_Master[Product_Name],MATCH(A53,Sales_Master[Product_ID],0))</f>
        <v>Leather Wallet</v>
      </c>
      <c r="C53" s="38">
        <f>SUMIFS(Sales_Master[Net_Revenue_INR],Sales_Master[Product_ID],A53)</f>
        <v>115600</v>
      </c>
      <c r="P53" s="9">
        <v>51</v>
      </c>
      <c r="Q53" s="4">
        <f>SUMIFS(Sales_Master[Net_Revenue_INR],Sales_Master[Week_Number],P53)</f>
        <v>144643.5</v>
      </c>
      <c r="R53" s="11">
        <f t="shared" si="2"/>
        <v>9.3754361479413822E-3</v>
      </c>
    </row>
    <row r="54" spans="1:18" ht="15" thickBot="1">
      <c r="A54" s="37" t="s">
        <v>66</v>
      </c>
      <c r="B54" s="37" t="str">
        <f>INDEX(Sales_Master[Product_Name],MATCH(A54,Sales_Master[Product_ID],0))</f>
        <v>Woolen Sweater</v>
      </c>
      <c r="C54" s="38">
        <f>SUMIFS(Sales_Master[Net_Revenue_INR],Sales_Master[Product_ID],A54)</f>
        <v>164787</v>
      </c>
      <c r="P54" s="12">
        <v>52</v>
      </c>
      <c r="Q54" s="14">
        <f>SUMIFS(Sales_Master[Net_Revenue_INR],Sales_Master[Week_Number],P54)</f>
        <v>122089.5</v>
      </c>
      <c r="R54" s="15">
        <f t="shared" si="2"/>
        <v>-0.15592819587468501</v>
      </c>
    </row>
    <row r="55" spans="1:18">
      <c r="A55" s="37" t="s">
        <v>35</v>
      </c>
      <c r="B55" s="37" t="str">
        <f>INDEX(Sales_Master[Product_Name],MATCH(A55,Sales_Master[Product_ID],0))</f>
        <v>Quilted Jacket</v>
      </c>
      <c r="C55" s="38">
        <f>SUMIFS(Sales_Master[Net_Revenue_INR],Sales_Master[Product_ID],A55)</f>
        <v>359415</v>
      </c>
    </row>
    <row r="56" spans="1:18">
      <c r="A56" s="37" t="s">
        <v>94</v>
      </c>
      <c r="B56" s="37" t="str">
        <f>INDEX(Sales_Master[Product_Name],MATCH(A56,Sales_Master[Product_ID],0))</f>
        <v>Fleece Hoodie</v>
      </c>
      <c r="C56" s="38">
        <f>SUMIFS(Sales_Master[Net_Revenue_INR],Sales_Master[Product_ID],A56)</f>
        <v>203616</v>
      </c>
    </row>
    <row r="57" spans="1:18">
      <c r="A57" s="37" t="s">
        <v>86</v>
      </c>
      <c r="B57" s="37" t="str">
        <f>INDEX(Sales_Master[Product_Name],MATCH(A57,Sales_Master[Product_ID],0))</f>
        <v>Thermal Innerwear Set</v>
      </c>
      <c r="C57" s="38">
        <f>SUMIFS(Sales_Master[Net_Revenue_INR],Sales_Master[Product_ID],A57)</f>
        <v>126712</v>
      </c>
    </row>
    <row r="58" spans="1:18">
      <c r="A58" s="37" t="s">
        <v>16</v>
      </c>
      <c r="B58" s="37" t="str">
        <f>INDEX(Sales_Master[Product_Name],MATCH(A58,Sales_Master[Product_ID],0))</f>
        <v>Woolen Muffler</v>
      </c>
      <c r="C58" s="38">
        <f>SUMIFS(Sales_Master[Net_Revenue_INR],Sales_Master[Product_ID],A58)</f>
        <v>84656</v>
      </c>
    </row>
    <row r="59" spans="1:18">
      <c r="A59" s="37" t="s">
        <v>364</v>
      </c>
      <c r="B59" s="37" t="str">
        <f>INDEX(Sales_Master[Product_Name],MATCH(A59,Sales_Master[Product_ID],0))</f>
        <v>Linen Shirt</v>
      </c>
      <c r="C59" s="38">
        <f>SUMIFS(Sales_Master[Net_Revenue_INR],Sales_Master[Product_ID],A59)</f>
        <v>89712</v>
      </c>
    </row>
    <row r="60" spans="1:18">
      <c r="A60" s="37" t="s">
        <v>220</v>
      </c>
      <c r="B60" s="37" t="str">
        <f>INDEX(Sales_Master[Product_Name],MATCH(A60,Sales_Master[Product_ID],0))</f>
        <v>Cotton Shorts</v>
      </c>
      <c r="C60" s="38">
        <f>SUMIFS(Sales_Master[Net_Revenue_INR],Sales_Master[Product_ID],A60)</f>
        <v>73740</v>
      </c>
    </row>
    <row r="61" spans="1:18">
      <c r="A61" s="37" t="s">
        <v>349</v>
      </c>
      <c r="B61" s="37" t="str">
        <f>INDEX(Sales_Master[Product_Name],MATCH(A61,Sales_Master[Product_ID],0))</f>
        <v>Sleeveless Vest</v>
      </c>
      <c r="C61" s="38">
        <f>SUMIFS(Sales_Master[Net_Revenue_INR],Sales_Master[Product_ID],A61)</f>
        <v>55300</v>
      </c>
    </row>
    <row r="62" spans="1:18">
      <c r="A62" s="37" t="s">
        <v>369</v>
      </c>
      <c r="B62" s="37" t="str">
        <f>INDEX(Sales_Master[Product_Name],MATCH(A62,Sales_Master[Product_ID],0))</f>
        <v>Breathable Joggers</v>
      </c>
      <c r="C62" s="38">
        <f>SUMIFS(Sales_Master[Net_Revenue_INR],Sales_Master[Product_ID],A62)</f>
        <v>80675</v>
      </c>
    </row>
  </sheetData>
  <phoneticPr fontId="2" type="noConversion"/>
  <conditionalFormatting sqref="H3:H14">
    <cfRule type="dataBar" priority="2">
      <dataBar>
        <cfvo type="min"/>
        <cfvo type="max"/>
        <color rgb="FF008AEF"/>
      </dataBar>
      <extLst>
        <ext xmlns:x14="http://schemas.microsoft.com/office/spreadsheetml/2009/9/main" uri="{B025F937-C7B1-47D3-B67F-A62EFF666E3E}">
          <x14:id>{4DF7EE9E-7ADB-4A45-BEDC-0793862295C9}</x14:id>
        </ext>
      </extLst>
    </cfRule>
  </conditionalFormatting>
  <conditionalFormatting sqref="N4:N14">
    <cfRule type="colorScale" priority="1">
      <colorScale>
        <cfvo type="min"/>
        <cfvo type="percentile" val="50"/>
        <cfvo type="max"/>
        <color rgb="FFF35035"/>
        <color theme="0"/>
        <color rgb="FF53EB35"/>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DF7EE9E-7ADB-4A45-BEDC-0793862295C9}">
            <x14:dataBar minLength="0" maxLength="100" border="1" negativeBarBorderColorSameAsPositive="0">
              <x14:cfvo type="autoMin"/>
              <x14:cfvo type="autoMax"/>
              <x14:borderColor rgb="FF008AEF"/>
              <x14:negativeFillColor rgb="FFFF0000"/>
              <x14:negativeBorderColor rgb="FFFF0000"/>
              <x14:axisColor rgb="FF000000"/>
            </x14:dataBar>
          </x14:cfRule>
          <xm:sqref>H3:H14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83CF4-45E2-4198-8555-D4CCEC6171D6}">
  <sheetPr>
    <tabColor theme="1" tint="0.249977111117893"/>
  </sheetPr>
  <dimension ref="A1:R173"/>
  <sheetViews>
    <sheetView tabSelected="1" topLeftCell="A165" zoomScale="63" workbookViewId="0">
      <selection activeCell="N132" sqref="N132"/>
    </sheetView>
  </sheetViews>
  <sheetFormatPr defaultRowHeight="14.4"/>
  <cols>
    <col min="1" max="1" width="16.5546875" bestFit="1" customWidth="1"/>
    <col min="2" max="2" width="12.44140625" bestFit="1" customWidth="1"/>
    <col min="3" max="3" width="9.6640625" bestFit="1" customWidth="1"/>
    <col min="4" max="4" width="20" bestFit="1" customWidth="1"/>
    <col min="5" max="5" width="16.5546875" bestFit="1" customWidth="1"/>
    <col min="6" max="6" width="10.21875" bestFit="1" customWidth="1"/>
    <col min="7" max="7" width="16.5546875" bestFit="1" customWidth="1"/>
    <col min="8" max="8" width="15.33203125" bestFit="1" customWidth="1"/>
    <col min="9" max="9" width="23.109375" bestFit="1" customWidth="1"/>
    <col min="10" max="10" width="23.88671875" bestFit="1" customWidth="1"/>
    <col min="11" max="11" width="16.88671875" bestFit="1" customWidth="1"/>
    <col min="12" max="12" width="21.21875" bestFit="1" customWidth="1"/>
    <col min="13" max="13" width="10.5546875" bestFit="1" customWidth="1"/>
    <col min="14" max="14" width="11.6640625" bestFit="1" customWidth="1"/>
    <col min="15" max="15" width="12" customWidth="1"/>
    <col min="16" max="16" width="12.77734375" customWidth="1"/>
    <col min="17" max="17" width="11.88671875" customWidth="1"/>
    <col min="18" max="18" width="12.88671875" customWidth="1"/>
    <col min="19" max="19" width="10.77734375" bestFit="1" customWidth="1"/>
    <col min="20" max="28" width="11.88671875" customWidth="1"/>
  </cols>
  <sheetData>
    <row r="1" spans="1:2">
      <c r="A1" s="42" t="s">
        <v>2118</v>
      </c>
    </row>
    <row r="2" spans="1:2">
      <c r="A2" s="39" t="s">
        <v>2105</v>
      </c>
      <c r="B2" t="s">
        <v>2131</v>
      </c>
    </row>
    <row r="3" spans="1:2">
      <c r="A3" s="40" t="s">
        <v>12</v>
      </c>
      <c r="B3" s="58">
        <v>469314.5</v>
      </c>
    </row>
    <row r="4" spans="1:2">
      <c r="A4" s="40" t="s">
        <v>218</v>
      </c>
      <c r="B4" s="58">
        <v>426889</v>
      </c>
    </row>
    <row r="5" spans="1:2">
      <c r="A5" s="40" t="s">
        <v>338</v>
      </c>
      <c r="B5" s="58">
        <v>354001</v>
      </c>
    </row>
    <row r="6" spans="1:2">
      <c r="A6" s="40" t="s">
        <v>471</v>
      </c>
      <c r="B6" s="58">
        <v>377846</v>
      </c>
    </row>
    <row r="7" spans="1:2">
      <c r="A7" s="40" t="s">
        <v>622</v>
      </c>
      <c r="B7" s="58">
        <v>399022</v>
      </c>
    </row>
    <row r="8" spans="1:2">
      <c r="A8" s="40" t="s">
        <v>786</v>
      </c>
      <c r="B8" s="58">
        <v>407301.5</v>
      </c>
    </row>
    <row r="9" spans="1:2">
      <c r="A9" s="40" t="s">
        <v>938</v>
      </c>
      <c r="B9" s="58">
        <v>345535</v>
      </c>
    </row>
    <row r="10" spans="1:2">
      <c r="A10" s="40" t="s">
        <v>1056</v>
      </c>
      <c r="B10" s="58">
        <v>321812</v>
      </c>
    </row>
    <row r="11" spans="1:2">
      <c r="A11" s="40" t="s">
        <v>1178</v>
      </c>
      <c r="B11" s="58">
        <v>453764.5</v>
      </c>
    </row>
    <row r="12" spans="1:2">
      <c r="A12" s="40" t="s">
        <v>1319</v>
      </c>
      <c r="B12" s="58">
        <v>625725.5</v>
      </c>
    </row>
    <row r="13" spans="1:2">
      <c r="A13" s="40" t="s">
        <v>1516</v>
      </c>
      <c r="B13" s="58">
        <v>698527.5</v>
      </c>
    </row>
    <row r="14" spans="1:2">
      <c r="A14" s="40" t="s">
        <v>1734</v>
      </c>
      <c r="B14" s="58">
        <v>548681</v>
      </c>
    </row>
    <row r="15" spans="1:2">
      <c r="A15" s="40" t="s">
        <v>2106</v>
      </c>
      <c r="B15" s="58">
        <v>5428419.5</v>
      </c>
    </row>
    <row r="20" spans="1:9">
      <c r="A20" s="42" t="s">
        <v>2119</v>
      </c>
      <c r="H20" t="s">
        <v>2126</v>
      </c>
    </row>
    <row r="21" spans="1:9">
      <c r="A21" s="39" t="s">
        <v>2105</v>
      </c>
      <c r="B21" t="s">
        <v>2085</v>
      </c>
      <c r="C21" t="s">
        <v>2109</v>
      </c>
      <c r="D21" t="s">
        <v>2108</v>
      </c>
      <c r="E21" t="s">
        <v>2110</v>
      </c>
      <c r="H21" s="39" t="s">
        <v>2105</v>
      </c>
      <c r="I21" t="s">
        <v>2085</v>
      </c>
    </row>
    <row r="22" spans="1:9">
      <c r="A22" s="40" t="s">
        <v>14</v>
      </c>
      <c r="B22" s="58">
        <v>1352934.5</v>
      </c>
      <c r="C22" s="58">
        <v>756146.5</v>
      </c>
      <c r="D22" s="58">
        <v>1035</v>
      </c>
      <c r="E22" s="2">
        <v>0.5179665668038852</v>
      </c>
      <c r="H22" s="40" t="s">
        <v>14</v>
      </c>
      <c r="I22" s="58">
        <v>1352934.5</v>
      </c>
    </row>
    <row r="23" spans="1:9">
      <c r="A23" s="40" t="s">
        <v>26</v>
      </c>
      <c r="B23" s="58">
        <v>1253172</v>
      </c>
      <c r="C23" s="58">
        <v>763423</v>
      </c>
      <c r="D23" s="58">
        <v>772</v>
      </c>
      <c r="E23" s="2">
        <v>0.57583236345890287</v>
      </c>
      <c r="H23" s="40" t="s">
        <v>26</v>
      </c>
      <c r="I23" s="58">
        <v>1253172</v>
      </c>
    </row>
    <row r="24" spans="1:9">
      <c r="A24" s="40" t="s">
        <v>20</v>
      </c>
      <c r="B24" s="58">
        <v>1008900</v>
      </c>
      <c r="C24" s="58">
        <v>441969</v>
      </c>
      <c r="D24" s="58">
        <v>758</v>
      </c>
      <c r="E24" s="2">
        <v>0.41655144724081283</v>
      </c>
      <c r="H24" s="40" t="s">
        <v>20</v>
      </c>
      <c r="I24" s="58">
        <v>1008900</v>
      </c>
    </row>
    <row r="25" spans="1:9">
      <c r="A25" s="40" t="s">
        <v>17</v>
      </c>
      <c r="B25" s="58">
        <v>939186</v>
      </c>
      <c r="C25" s="58">
        <v>486090</v>
      </c>
      <c r="D25" s="58">
        <v>702</v>
      </c>
      <c r="E25" s="2">
        <v>0.49741107609185053</v>
      </c>
      <c r="H25" s="40" t="s">
        <v>17</v>
      </c>
      <c r="I25" s="58">
        <v>939186</v>
      </c>
    </row>
    <row r="26" spans="1:9">
      <c r="A26" s="40" t="s">
        <v>23</v>
      </c>
      <c r="B26" s="58">
        <v>574800</v>
      </c>
      <c r="C26" s="58">
        <v>290955</v>
      </c>
      <c r="D26" s="58">
        <v>702</v>
      </c>
      <c r="E26" s="2">
        <v>0.46765677363358005</v>
      </c>
      <c r="H26" s="40" t="s">
        <v>23</v>
      </c>
      <c r="I26" s="58">
        <v>574800</v>
      </c>
    </row>
    <row r="27" spans="1:9">
      <c r="A27" s="40" t="s">
        <v>221</v>
      </c>
      <c r="B27" s="58">
        <v>299427</v>
      </c>
      <c r="C27" s="58">
        <v>150961</v>
      </c>
      <c r="D27" s="58">
        <v>522</v>
      </c>
      <c r="E27" s="2">
        <v>0.47397339411807182</v>
      </c>
      <c r="H27" s="40" t="s">
        <v>221</v>
      </c>
      <c r="I27" s="58">
        <v>299427</v>
      </c>
    </row>
    <row r="28" spans="1:9">
      <c r="A28" s="40" t="s">
        <v>2106</v>
      </c>
      <c r="B28" s="58">
        <v>5428419.5</v>
      </c>
      <c r="C28" s="58">
        <v>2889544.5</v>
      </c>
      <c r="D28" s="58">
        <v>4491</v>
      </c>
      <c r="E28" s="2">
        <v>0.50126328719740887</v>
      </c>
      <c r="H28" s="40" t="s">
        <v>2106</v>
      </c>
      <c r="I28" s="58">
        <v>5428419.5</v>
      </c>
    </row>
    <row r="35" spans="1:9">
      <c r="A35" s="42" t="s">
        <v>2120</v>
      </c>
      <c r="H35" t="s">
        <v>2127</v>
      </c>
    </row>
    <row r="36" spans="1:9">
      <c r="A36" s="39" t="s">
        <v>2105</v>
      </c>
      <c r="B36" t="s">
        <v>2111</v>
      </c>
      <c r="C36" t="s">
        <v>2108</v>
      </c>
      <c r="H36" s="39" t="s">
        <v>2105</v>
      </c>
      <c r="I36" t="s">
        <v>2107</v>
      </c>
    </row>
    <row r="37" spans="1:9">
      <c r="A37" s="40" t="s">
        <v>1938</v>
      </c>
      <c r="B37" s="58">
        <v>812925</v>
      </c>
      <c r="C37" s="58">
        <v>206</v>
      </c>
      <c r="H37" s="40" t="s">
        <v>1938</v>
      </c>
      <c r="I37" s="58">
        <v>812925</v>
      </c>
    </row>
    <row r="38" spans="1:9">
      <c r="A38" s="40" t="s">
        <v>1924</v>
      </c>
      <c r="B38" s="58">
        <v>566280</v>
      </c>
      <c r="C38" s="58">
        <v>155</v>
      </c>
      <c r="H38" s="40" t="s">
        <v>1924</v>
      </c>
      <c r="I38" s="58">
        <v>566280</v>
      </c>
    </row>
    <row r="39" spans="1:9">
      <c r="A39" s="40" t="s">
        <v>1923</v>
      </c>
      <c r="B39" s="58">
        <v>378048</v>
      </c>
      <c r="C39" s="58">
        <v>155</v>
      </c>
      <c r="H39" s="40" t="s">
        <v>1923</v>
      </c>
      <c r="I39" s="58">
        <v>378048</v>
      </c>
    </row>
    <row r="40" spans="1:9">
      <c r="A40" s="40" t="s">
        <v>1942</v>
      </c>
      <c r="B40" s="58">
        <v>359415</v>
      </c>
      <c r="C40" s="58">
        <v>129</v>
      </c>
      <c r="H40" s="40" t="s">
        <v>1942</v>
      </c>
      <c r="I40" s="58">
        <v>359415</v>
      </c>
    </row>
    <row r="41" spans="1:9">
      <c r="A41" s="40" t="s">
        <v>1932</v>
      </c>
      <c r="B41" s="58">
        <v>320364</v>
      </c>
      <c r="C41" s="58">
        <v>178</v>
      </c>
      <c r="H41" s="40" t="s">
        <v>1932</v>
      </c>
      <c r="I41" s="58">
        <v>320364</v>
      </c>
    </row>
    <row r="42" spans="1:9">
      <c r="A42" s="40" t="s">
        <v>1935</v>
      </c>
      <c r="B42" s="58">
        <v>244881</v>
      </c>
      <c r="C42" s="58">
        <v>120</v>
      </c>
      <c r="H42" s="40" t="s">
        <v>2106</v>
      </c>
      <c r="I42" s="58">
        <v>2437032</v>
      </c>
    </row>
    <row r="43" spans="1:9">
      <c r="A43" s="40" t="s">
        <v>1931</v>
      </c>
      <c r="B43" s="58">
        <v>226719</v>
      </c>
      <c r="C43" s="58">
        <v>152</v>
      </c>
    </row>
    <row r="44" spans="1:9">
      <c r="A44" s="40" t="s">
        <v>1939</v>
      </c>
      <c r="B44" s="58">
        <v>207825</v>
      </c>
      <c r="C44" s="58">
        <v>148</v>
      </c>
    </row>
    <row r="45" spans="1:9">
      <c r="A45" s="40" t="s">
        <v>1943</v>
      </c>
      <c r="B45" s="58">
        <v>203616</v>
      </c>
      <c r="C45" s="58">
        <v>129</v>
      </c>
    </row>
    <row r="46" spans="1:9">
      <c r="A46" s="40" t="s">
        <v>1941</v>
      </c>
      <c r="B46" s="58">
        <v>164787</v>
      </c>
      <c r="C46" s="58">
        <v>121</v>
      </c>
    </row>
    <row r="47" spans="1:9">
      <c r="A47" s="40" t="s">
        <v>2106</v>
      </c>
      <c r="B47" s="58">
        <v>3484860</v>
      </c>
      <c r="C47" s="58">
        <v>1493</v>
      </c>
    </row>
    <row r="60" spans="1:3">
      <c r="A60" s="42" t="s">
        <v>2121</v>
      </c>
    </row>
    <row r="61" spans="1:3">
      <c r="A61" t="s">
        <v>4</v>
      </c>
      <c r="B61" t="s">
        <v>2128</v>
      </c>
      <c r="C61" t="s">
        <v>2129</v>
      </c>
    </row>
    <row r="62" spans="1:3">
      <c r="A62" t="str">
        <f>Analysis!G29</f>
        <v>January</v>
      </c>
      <c r="B62" s="41">
        <f>Analysis!H29</f>
        <v>469314.5</v>
      </c>
      <c r="C62" s="41">
        <f>Analysis!I29</f>
        <v>499300</v>
      </c>
    </row>
    <row r="63" spans="1:3">
      <c r="A63" t="str">
        <f>Analysis!G30</f>
        <v>February</v>
      </c>
      <c r="B63" s="41">
        <f>Analysis!H30</f>
        <v>426889</v>
      </c>
      <c r="C63" s="41">
        <f>Analysis!I30</f>
        <v>457400</v>
      </c>
    </row>
    <row r="64" spans="1:3">
      <c r="A64" t="str">
        <f>Analysis!G31</f>
        <v xml:space="preserve">March </v>
      </c>
      <c r="B64" s="41">
        <f>Analysis!H31</f>
        <v>354001</v>
      </c>
      <c r="C64" s="41">
        <f>Analysis!I31</f>
        <v>377000</v>
      </c>
    </row>
    <row r="65" spans="1:3">
      <c r="A65" t="str">
        <f>Analysis!G32</f>
        <v>April</v>
      </c>
      <c r="B65" s="41">
        <f>Analysis!H32</f>
        <v>377846</v>
      </c>
      <c r="C65" s="41">
        <f>Analysis!I32</f>
        <v>439100</v>
      </c>
    </row>
    <row r="66" spans="1:3">
      <c r="A66" t="str">
        <f>Analysis!G33</f>
        <v>May</v>
      </c>
      <c r="B66" s="41">
        <f>Analysis!H33</f>
        <v>399022</v>
      </c>
      <c r="C66" s="41">
        <f>Analysis!I33</f>
        <v>429400</v>
      </c>
    </row>
    <row r="67" spans="1:3">
      <c r="A67" t="str">
        <f>Analysis!G34</f>
        <v>June</v>
      </c>
      <c r="B67" s="41">
        <f>Analysis!H34</f>
        <v>407301.5</v>
      </c>
      <c r="C67" s="41">
        <f>Analysis!I34</f>
        <v>470200</v>
      </c>
    </row>
    <row r="68" spans="1:3">
      <c r="A68" t="str">
        <f>Analysis!G35</f>
        <v>July</v>
      </c>
      <c r="B68" s="41">
        <f>Analysis!H35</f>
        <v>345535</v>
      </c>
      <c r="C68" s="41">
        <f>Analysis!I35</f>
        <v>370800</v>
      </c>
    </row>
    <row r="69" spans="1:3">
      <c r="A69" t="str">
        <f>Analysis!G36</f>
        <v>August</v>
      </c>
      <c r="B69" s="41">
        <f>Analysis!H36</f>
        <v>321812</v>
      </c>
      <c r="C69" s="41">
        <f>Analysis!I36</f>
        <v>343800</v>
      </c>
    </row>
    <row r="70" spans="1:3">
      <c r="A70" t="str">
        <f>Analysis!G37</f>
        <v>September</v>
      </c>
      <c r="B70" s="41">
        <f>Analysis!H37</f>
        <v>453764.5</v>
      </c>
      <c r="C70" s="41">
        <f>Analysis!I37</f>
        <v>484200</v>
      </c>
    </row>
    <row r="71" spans="1:3">
      <c r="A71" t="str">
        <f>Analysis!G38</f>
        <v>October</v>
      </c>
      <c r="B71" s="41">
        <f>Analysis!H38</f>
        <v>625725.5</v>
      </c>
      <c r="C71" s="41">
        <f>Analysis!I38</f>
        <v>703400</v>
      </c>
    </row>
    <row r="72" spans="1:3">
      <c r="A72" t="str">
        <f>Analysis!G39</f>
        <v>November</v>
      </c>
      <c r="B72" s="41">
        <f>Analysis!H39</f>
        <v>698527.5</v>
      </c>
      <c r="C72" s="41">
        <f>Analysis!I39</f>
        <v>813700</v>
      </c>
    </row>
    <row r="73" spans="1:3">
      <c r="A73" t="str">
        <f>Analysis!G40</f>
        <v>December</v>
      </c>
      <c r="B73" s="41">
        <f>Analysis!H40</f>
        <v>548681</v>
      </c>
      <c r="C73" s="41">
        <f>Analysis!I40</f>
        <v>624100</v>
      </c>
    </row>
    <row r="80" spans="1:3">
      <c r="A80" s="42" t="s">
        <v>2122</v>
      </c>
    </row>
    <row r="81" spans="1:2">
      <c r="A81" s="39" t="s">
        <v>2105</v>
      </c>
      <c r="B81" t="s">
        <v>2107</v>
      </c>
    </row>
    <row r="82" spans="1:2">
      <c r="A82" s="40">
        <v>1</v>
      </c>
      <c r="B82" s="58">
        <v>137464</v>
      </c>
    </row>
    <row r="83" spans="1:2">
      <c r="A83" s="40">
        <v>2</v>
      </c>
      <c r="B83" s="58">
        <v>104893.5</v>
      </c>
    </row>
    <row r="84" spans="1:2">
      <c r="A84" s="40">
        <v>3</v>
      </c>
      <c r="B84" s="58">
        <v>99817</v>
      </c>
    </row>
    <row r="85" spans="1:2">
      <c r="A85" s="40">
        <v>4</v>
      </c>
      <c r="B85" s="58">
        <v>114903.5</v>
      </c>
    </row>
    <row r="86" spans="1:2">
      <c r="A86" s="40">
        <v>5</v>
      </c>
      <c r="B86" s="58">
        <v>91494</v>
      </c>
    </row>
    <row r="87" spans="1:2">
      <c r="A87" s="40">
        <v>6</v>
      </c>
      <c r="B87" s="58">
        <v>143837</v>
      </c>
    </row>
    <row r="88" spans="1:2">
      <c r="A88" s="40">
        <v>7</v>
      </c>
      <c r="B88" s="58">
        <v>80795</v>
      </c>
    </row>
    <row r="89" spans="1:2">
      <c r="A89" s="40">
        <v>8</v>
      </c>
      <c r="B89" s="58">
        <v>73131.5</v>
      </c>
    </row>
    <row r="90" spans="1:2">
      <c r="A90" s="40">
        <v>9</v>
      </c>
      <c r="B90" s="58">
        <v>95268.5</v>
      </c>
    </row>
    <row r="91" spans="1:2">
      <c r="A91" s="40">
        <v>10</v>
      </c>
      <c r="B91" s="58">
        <v>66203</v>
      </c>
    </row>
    <row r="92" spans="1:2">
      <c r="A92" s="40">
        <v>11</v>
      </c>
      <c r="B92" s="58">
        <v>97104</v>
      </c>
    </row>
    <row r="93" spans="1:2">
      <c r="A93" s="40">
        <v>12</v>
      </c>
      <c r="B93" s="58">
        <v>94169.5</v>
      </c>
    </row>
    <row r="94" spans="1:2">
      <c r="A94" s="40">
        <v>13</v>
      </c>
      <c r="B94" s="58">
        <v>72800.5</v>
      </c>
    </row>
    <row r="95" spans="1:2">
      <c r="A95" s="40">
        <v>14</v>
      </c>
      <c r="B95" s="58">
        <v>81632</v>
      </c>
    </row>
    <row r="96" spans="1:2">
      <c r="A96" s="40">
        <v>15</v>
      </c>
      <c r="B96" s="58">
        <v>110638.5</v>
      </c>
    </row>
    <row r="97" spans="1:2">
      <c r="A97" s="40">
        <v>16</v>
      </c>
      <c r="B97" s="58">
        <v>69786.5</v>
      </c>
    </row>
    <row r="98" spans="1:2">
      <c r="A98" s="40">
        <v>17</v>
      </c>
      <c r="B98" s="58">
        <v>98429</v>
      </c>
    </row>
    <row r="99" spans="1:2">
      <c r="A99" s="40">
        <v>18</v>
      </c>
      <c r="B99" s="58">
        <v>81315</v>
      </c>
    </row>
    <row r="100" spans="1:2">
      <c r="A100" s="40">
        <v>19</v>
      </c>
      <c r="B100" s="58">
        <v>92455</v>
      </c>
    </row>
    <row r="101" spans="1:2">
      <c r="A101" s="40">
        <v>20</v>
      </c>
      <c r="B101" s="58">
        <v>83151</v>
      </c>
    </row>
    <row r="102" spans="1:2">
      <c r="A102" s="40">
        <v>21</v>
      </c>
      <c r="B102" s="58">
        <v>92048</v>
      </c>
    </row>
    <row r="103" spans="1:2">
      <c r="A103" s="40">
        <v>22</v>
      </c>
      <c r="B103" s="58">
        <v>85119.5</v>
      </c>
    </row>
    <row r="104" spans="1:2">
      <c r="A104" s="40">
        <v>23</v>
      </c>
      <c r="B104" s="58">
        <v>80625</v>
      </c>
    </row>
    <row r="105" spans="1:2">
      <c r="A105" s="40">
        <v>24</v>
      </c>
      <c r="B105" s="58">
        <v>130420</v>
      </c>
    </row>
    <row r="106" spans="1:2">
      <c r="A106" s="40">
        <v>25</v>
      </c>
      <c r="B106" s="58">
        <v>82782</v>
      </c>
    </row>
    <row r="107" spans="1:2">
      <c r="A107" s="40">
        <v>26</v>
      </c>
      <c r="B107" s="58">
        <v>95768</v>
      </c>
    </row>
    <row r="108" spans="1:2">
      <c r="A108" s="40">
        <v>27</v>
      </c>
      <c r="B108" s="58">
        <v>69297</v>
      </c>
    </row>
    <row r="109" spans="1:2">
      <c r="A109" s="40">
        <v>28</v>
      </c>
      <c r="B109" s="58">
        <v>81195</v>
      </c>
    </row>
    <row r="110" spans="1:2">
      <c r="A110" s="40">
        <v>29</v>
      </c>
      <c r="B110" s="58">
        <v>57168</v>
      </c>
    </row>
    <row r="111" spans="1:2">
      <c r="A111" s="40">
        <v>30</v>
      </c>
      <c r="B111" s="58">
        <v>91299</v>
      </c>
    </row>
    <row r="112" spans="1:2">
      <c r="A112" s="40">
        <v>31</v>
      </c>
      <c r="B112" s="58">
        <v>94287</v>
      </c>
    </row>
    <row r="113" spans="1:2">
      <c r="A113" s="40">
        <v>32</v>
      </c>
      <c r="B113" s="58">
        <v>48026</v>
      </c>
    </row>
    <row r="114" spans="1:2">
      <c r="A114" s="40">
        <v>33</v>
      </c>
      <c r="B114" s="58">
        <v>119890</v>
      </c>
    </row>
    <row r="115" spans="1:2">
      <c r="A115" s="40">
        <v>34</v>
      </c>
      <c r="B115" s="58">
        <v>23628</v>
      </c>
    </row>
    <row r="116" spans="1:2">
      <c r="A116" s="40">
        <v>35</v>
      </c>
      <c r="B116" s="58">
        <v>85377</v>
      </c>
    </row>
    <row r="117" spans="1:2">
      <c r="A117" s="40">
        <v>36</v>
      </c>
      <c r="B117" s="58">
        <v>133456</v>
      </c>
    </row>
    <row r="118" spans="1:2">
      <c r="A118" s="40">
        <v>37</v>
      </c>
      <c r="B118" s="58">
        <v>85495.5</v>
      </c>
    </row>
    <row r="119" spans="1:2">
      <c r="A119" s="40">
        <v>38</v>
      </c>
      <c r="B119" s="58">
        <v>132318</v>
      </c>
    </row>
    <row r="120" spans="1:2">
      <c r="A120" s="40">
        <v>39</v>
      </c>
      <c r="B120" s="58">
        <v>75798</v>
      </c>
    </row>
    <row r="121" spans="1:2">
      <c r="A121" s="40">
        <v>40</v>
      </c>
      <c r="B121" s="58">
        <v>125934</v>
      </c>
    </row>
    <row r="122" spans="1:2">
      <c r="A122" s="40">
        <v>41</v>
      </c>
      <c r="B122" s="58">
        <v>146806</v>
      </c>
    </row>
    <row r="123" spans="1:2">
      <c r="A123" s="40">
        <v>42</v>
      </c>
      <c r="B123" s="58">
        <v>152031</v>
      </c>
    </row>
    <row r="124" spans="1:2">
      <c r="A124" s="40">
        <v>43</v>
      </c>
      <c r="B124" s="58">
        <v>145571</v>
      </c>
    </row>
    <row r="125" spans="1:2">
      <c r="A125" s="40">
        <v>44</v>
      </c>
      <c r="B125" s="58">
        <v>159371.5</v>
      </c>
    </row>
    <row r="126" spans="1:2">
      <c r="A126" s="40">
        <v>45</v>
      </c>
      <c r="B126" s="58">
        <v>176026</v>
      </c>
    </row>
    <row r="127" spans="1:2">
      <c r="A127" s="40">
        <v>46</v>
      </c>
      <c r="B127" s="58">
        <v>178682</v>
      </c>
    </row>
    <row r="128" spans="1:2">
      <c r="A128" s="40">
        <v>47</v>
      </c>
      <c r="B128" s="58">
        <v>115402.5</v>
      </c>
    </row>
    <row r="129" spans="1:18">
      <c r="A129" s="40">
        <v>48</v>
      </c>
      <c r="B129" s="58">
        <v>157486</v>
      </c>
    </row>
    <row r="130" spans="1:18">
      <c r="A130" s="40">
        <v>49</v>
      </c>
      <c r="B130" s="58">
        <v>107791.5</v>
      </c>
    </row>
    <row r="131" spans="1:18">
      <c r="A131" s="40">
        <v>50</v>
      </c>
      <c r="B131" s="58">
        <v>143300</v>
      </c>
    </row>
    <row r="132" spans="1:18">
      <c r="A132" s="40">
        <v>51</v>
      </c>
      <c r="B132" s="58">
        <v>144643.5</v>
      </c>
    </row>
    <row r="133" spans="1:18">
      <c r="A133" s="40">
        <v>52</v>
      </c>
      <c r="B133" s="58">
        <v>122089.5</v>
      </c>
    </row>
    <row r="134" spans="1:18">
      <c r="A134" s="40" t="s">
        <v>2106</v>
      </c>
      <c r="B134" s="58">
        <v>5428419.5</v>
      </c>
    </row>
    <row r="140" spans="1:18">
      <c r="A140" s="42" t="s">
        <v>2112</v>
      </c>
    </row>
    <row r="141" spans="1:18" ht="15.6">
      <c r="A141" s="39" t="s">
        <v>2107</v>
      </c>
      <c r="B141" s="39" t="s">
        <v>2113</v>
      </c>
      <c r="L141" s="49" t="s">
        <v>2124</v>
      </c>
    </row>
    <row r="142" spans="1:18">
      <c r="A142" s="39" t="s">
        <v>2105</v>
      </c>
      <c r="B142" t="s">
        <v>26</v>
      </c>
      <c r="C142" t="s">
        <v>23</v>
      </c>
      <c r="D142" t="s">
        <v>20</v>
      </c>
      <c r="E142" t="s">
        <v>221</v>
      </c>
      <c r="F142" t="s">
        <v>14</v>
      </c>
      <c r="G142" t="s">
        <v>17</v>
      </c>
      <c r="H142" t="s">
        <v>2106</v>
      </c>
      <c r="L142" s="45"/>
      <c r="M142" s="46" t="s">
        <v>26</v>
      </c>
      <c r="N142" s="46" t="s">
        <v>23</v>
      </c>
      <c r="O142" s="46" t="s">
        <v>20</v>
      </c>
      <c r="P142" s="46" t="s">
        <v>221</v>
      </c>
      <c r="Q142" s="46" t="s">
        <v>14</v>
      </c>
      <c r="R142" s="46" t="s">
        <v>17</v>
      </c>
    </row>
    <row r="143" spans="1:18">
      <c r="A143" s="40" t="s">
        <v>12</v>
      </c>
      <c r="B143" s="58">
        <v>92534</v>
      </c>
      <c r="C143" s="58">
        <v>92800</v>
      </c>
      <c r="D143" s="58">
        <v>74880</v>
      </c>
      <c r="E143" s="58"/>
      <c r="F143" s="58">
        <v>69616</v>
      </c>
      <c r="G143" s="58">
        <v>139484.5</v>
      </c>
      <c r="H143" s="58">
        <v>469314.5</v>
      </c>
      <c r="L143" s="47" t="s">
        <v>12</v>
      </c>
      <c r="M143" s="50">
        <v>92534</v>
      </c>
      <c r="N143" s="51">
        <v>92800</v>
      </c>
      <c r="O143" s="50">
        <v>74880</v>
      </c>
      <c r="P143" s="51"/>
      <c r="Q143" s="50">
        <v>69616</v>
      </c>
      <c r="R143" s="51">
        <v>139484.5</v>
      </c>
    </row>
    <row r="144" spans="1:18">
      <c r="A144" s="40" t="s">
        <v>218</v>
      </c>
      <c r="B144" s="58">
        <v>152427</v>
      </c>
      <c r="C144" s="58">
        <v>41000</v>
      </c>
      <c r="D144" s="58">
        <v>65596.5</v>
      </c>
      <c r="E144" s="58">
        <v>2280</v>
      </c>
      <c r="F144" s="58">
        <v>59597</v>
      </c>
      <c r="G144" s="58">
        <v>105988.5</v>
      </c>
      <c r="H144" s="58">
        <v>426889</v>
      </c>
      <c r="L144" s="48" t="s">
        <v>218</v>
      </c>
      <c r="M144" s="52">
        <v>152427</v>
      </c>
      <c r="N144" s="53">
        <v>41000</v>
      </c>
      <c r="O144" s="52">
        <v>65596.5</v>
      </c>
      <c r="P144" s="53">
        <v>2280</v>
      </c>
      <c r="Q144" s="52">
        <v>59597</v>
      </c>
      <c r="R144" s="53">
        <v>105988.5</v>
      </c>
    </row>
    <row r="145" spans="1:18">
      <c r="A145" s="40" t="s">
        <v>338</v>
      </c>
      <c r="B145" s="58">
        <v>99213</v>
      </c>
      <c r="C145" s="58">
        <v>29210</v>
      </c>
      <c r="D145" s="58">
        <v>69898.5</v>
      </c>
      <c r="E145" s="58">
        <v>47645</v>
      </c>
      <c r="F145" s="58">
        <v>69157</v>
      </c>
      <c r="G145" s="58">
        <v>38877.5</v>
      </c>
      <c r="H145" s="58">
        <v>354001</v>
      </c>
      <c r="L145" s="47" t="s">
        <v>338</v>
      </c>
      <c r="M145" s="50">
        <v>99213</v>
      </c>
      <c r="N145" s="51">
        <v>29210</v>
      </c>
      <c r="O145" s="50">
        <v>69898.5</v>
      </c>
      <c r="P145" s="51">
        <v>47645</v>
      </c>
      <c r="Q145" s="50">
        <v>69157</v>
      </c>
      <c r="R145" s="51">
        <v>38877.5</v>
      </c>
    </row>
    <row r="146" spans="1:18">
      <c r="A146" s="40" t="s">
        <v>471</v>
      </c>
      <c r="B146" s="58">
        <v>111857</v>
      </c>
      <c r="C146" s="58">
        <v>47920</v>
      </c>
      <c r="D146" s="58">
        <v>50427</v>
      </c>
      <c r="E146" s="58">
        <v>46440</v>
      </c>
      <c r="F146" s="58">
        <v>79740.5</v>
      </c>
      <c r="G146" s="58">
        <v>41461.5</v>
      </c>
      <c r="H146" s="58">
        <v>377846</v>
      </c>
      <c r="L146" s="48" t="s">
        <v>471</v>
      </c>
      <c r="M146" s="52">
        <v>111857</v>
      </c>
      <c r="N146" s="53">
        <v>47920</v>
      </c>
      <c r="O146" s="52">
        <v>50427</v>
      </c>
      <c r="P146" s="53">
        <v>46440</v>
      </c>
      <c r="Q146" s="52">
        <v>79740.5</v>
      </c>
      <c r="R146" s="53">
        <v>41461.5</v>
      </c>
    </row>
    <row r="147" spans="1:18">
      <c r="A147" s="40" t="s">
        <v>622</v>
      </c>
      <c r="B147" s="58">
        <v>98605</v>
      </c>
      <c r="C147" s="58">
        <v>32915</v>
      </c>
      <c r="D147" s="58">
        <v>109854</v>
      </c>
      <c r="E147" s="58">
        <v>61996</v>
      </c>
      <c r="F147" s="58">
        <v>88302</v>
      </c>
      <c r="G147" s="58">
        <v>7350</v>
      </c>
      <c r="H147" s="58">
        <v>399022</v>
      </c>
      <c r="L147" s="47" t="s">
        <v>622</v>
      </c>
      <c r="M147" s="50">
        <v>98605</v>
      </c>
      <c r="N147" s="51">
        <v>32915</v>
      </c>
      <c r="O147" s="50">
        <v>109854</v>
      </c>
      <c r="P147" s="51">
        <v>61996</v>
      </c>
      <c r="Q147" s="50">
        <v>88302</v>
      </c>
      <c r="R147" s="51">
        <v>7350</v>
      </c>
    </row>
    <row r="148" spans="1:18">
      <c r="A148" s="40" t="s">
        <v>786</v>
      </c>
      <c r="B148" s="58">
        <v>74157</v>
      </c>
      <c r="C148" s="58">
        <v>40825</v>
      </c>
      <c r="D148" s="58">
        <v>58320</v>
      </c>
      <c r="E148" s="58">
        <v>58039</v>
      </c>
      <c r="F148" s="58">
        <v>170080.5</v>
      </c>
      <c r="G148" s="58">
        <v>5880</v>
      </c>
      <c r="H148" s="58">
        <v>407301.5</v>
      </c>
      <c r="L148" s="48" t="s">
        <v>786</v>
      </c>
      <c r="M148" s="52">
        <v>74157</v>
      </c>
      <c r="N148" s="53">
        <v>40825</v>
      </c>
      <c r="O148" s="52">
        <v>58320</v>
      </c>
      <c r="P148" s="53">
        <v>58039</v>
      </c>
      <c r="Q148" s="52">
        <v>170080.5</v>
      </c>
      <c r="R148" s="53">
        <v>5880</v>
      </c>
    </row>
    <row r="149" spans="1:18">
      <c r="A149" s="40" t="s">
        <v>938</v>
      </c>
      <c r="B149" s="58">
        <v>116202</v>
      </c>
      <c r="C149" s="58">
        <v>34480</v>
      </c>
      <c r="D149" s="58">
        <v>81630</v>
      </c>
      <c r="E149" s="58">
        <v>18911</v>
      </c>
      <c r="F149" s="58">
        <v>88143</v>
      </c>
      <c r="G149" s="58">
        <v>6169</v>
      </c>
      <c r="H149" s="58">
        <v>345535</v>
      </c>
      <c r="L149" s="47" t="s">
        <v>938</v>
      </c>
      <c r="M149" s="50">
        <v>116202</v>
      </c>
      <c r="N149" s="51">
        <v>34480</v>
      </c>
      <c r="O149" s="50">
        <v>81630</v>
      </c>
      <c r="P149" s="51">
        <v>18911</v>
      </c>
      <c r="Q149" s="50">
        <v>88143</v>
      </c>
      <c r="R149" s="51">
        <v>6169</v>
      </c>
    </row>
    <row r="150" spans="1:18">
      <c r="A150" s="40" t="s">
        <v>1056</v>
      </c>
      <c r="B150" s="58">
        <v>33488</v>
      </c>
      <c r="C150" s="58">
        <v>55815</v>
      </c>
      <c r="D150" s="58">
        <v>87408</v>
      </c>
      <c r="E150" s="58">
        <v>16653</v>
      </c>
      <c r="F150" s="58">
        <v>127928</v>
      </c>
      <c r="G150" s="58">
        <v>520</v>
      </c>
      <c r="H150" s="58">
        <v>321812</v>
      </c>
      <c r="L150" s="48" t="s">
        <v>1056</v>
      </c>
      <c r="M150" s="52">
        <v>33488</v>
      </c>
      <c r="N150" s="53">
        <v>55815</v>
      </c>
      <c r="O150" s="52">
        <v>87408</v>
      </c>
      <c r="P150" s="53">
        <v>16653</v>
      </c>
      <c r="Q150" s="52">
        <v>127928</v>
      </c>
      <c r="R150" s="53">
        <v>520</v>
      </c>
    </row>
    <row r="151" spans="1:18">
      <c r="A151" s="40" t="s">
        <v>1178</v>
      </c>
      <c r="B151" s="58">
        <v>128335</v>
      </c>
      <c r="C151" s="58">
        <v>45205</v>
      </c>
      <c r="D151" s="58">
        <v>66897</v>
      </c>
      <c r="E151" s="58">
        <v>18653</v>
      </c>
      <c r="F151" s="58">
        <v>105608</v>
      </c>
      <c r="G151" s="58">
        <v>89066.5</v>
      </c>
      <c r="H151" s="58">
        <v>453764.5</v>
      </c>
      <c r="L151" s="47" t="s">
        <v>1178</v>
      </c>
      <c r="M151" s="50">
        <v>128335</v>
      </c>
      <c r="N151" s="51">
        <v>45205</v>
      </c>
      <c r="O151" s="50">
        <v>66897</v>
      </c>
      <c r="P151" s="51">
        <v>18653</v>
      </c>
      <c r="Q151" s="50">
        <v>105608</v>
      </c>
      <c r="R151" s="51">
        <v>89066.5</v>
      </c>
    </row>
    <row r="152" spans="1:18">
      <c r="A152" s="40" t="s">
        <v>1319</v>
      </c>
      <c r="B152" s="58">
        <v>103589</v>
      </c>
      <c r="C152" s="58">
        <v>53650</v>
      </c>
      <c r="D152" s="58">
        <v>88911</v>
      </c>
      <c r="E152" s="58">
        <v>27220</v>
      </c>
      <c r="F152" s="58">
        <v>239565.5</v>
      </c>
      <c r="G152" s="58">
        <v>112790</v>
      </c>
      <c r="H152" s="58">
        <v>625725.5</v>
      </c>
      <c r="L152" s="48" t="s">
        <v>1319</v>
      </c>
      <c r="M152" s="52">
        <v>103589</v>
      </c>
      <c r="N152" s="53">
        <v>53650</v>
      </c>
      <c r="O152" s="52">
        <v>88911</v>
      </c>
      <c r="P152" s="53">
        <v>27220</v>
      </c>
      <c r="Q152" s="52">
        <v>239565.5</v>
      </c>
      <c r="R152" s="53">
        <v>112790</v>
      </c>
    </row>
    <row r="153" spans="1:18">
      <c r="A153" s="40" t="s">
        <v>1516</v>
      </c>
      <c r="B153" s="58">
        <v>110578</v>
      </c>
      <c r="C153" s="58">
        <v>51730</v>
      </c>
      <c r="D153" s="58">
        <v>174145.5</v>
      </c>
      <c r="E153" s="58"/>
      <c r="F153" s="58">
        <v>164824.5</v>
      </c>
      <c r="G153" s="58">
        <v>197249.5</v>
      </c>
      <c r="H153" s="58">
        <v>698527.5</v>
      </c>
      <c r="L153" s="47" t="s">
        <v>1516</v>
      </c>
      <c r="M153" s="50">
        <v>110578</v>
      </c>
      <c r="N153" s="51">
        <v>51730</v>
      </c>
      <c r="O153" s="50">
        <v>174145.5</v>
      </c>
      <c r="P153" s="51"/>
      <c r="Q153" s="50">
        <v>164824.5</v>
      </c>
      <c r="R153" s="51">
        <v>197249.5</v>
      </c>
    </row>
    <row r="154" spans="1:18">
      <c r="A154" s="40" t="s">
        <v>1734</v>
      </c>
      <c r="B154" s="58">
        <v>132187</v>
      </c>
      <c r="C154" s="58">
        <v>49250</v>
      </c>
      <c r="D154" s="58">
        <v>80932.5</v>
      </c>
      <c r="E154" s="58">
        <v>1590</v>
      </c>
      <c r="F154" s="58">
        <v>90372.5</v>
      </c>
      <c r="G154" s="58">
        <v>194349</v>
      </c>
      <c r="H154" s="58">
        <v>548681</v>
      </c>
      <c r="L154" s="48" t="s">
        <v>1734</v>
      </c>
      <c r="M154" s="52">
        <v>132187</v>
      </c>
      <c r="N154" s="53">
        <v>49250</v>
      </c>
      <c r="O154" s="52">
        <v>80932.5</v>
      </c>
      <c r="P154" s="53">
        <v>1590</v>
      </c>
      <c r="Q154" s="52">
        <v>90372.5</v>
      </c>
      <c r="R154" s="53">
        <v>194349</v>
      </c>
    </row>
    <row r="155" spans="1:18">
      <c r="A155" s="40" t="s">
        <v>2106</v>
      </c>
      <c r="B155" s="58">
        <v>1253172</v>
      </c>
      <c r="C155" s="58">
        <v>574800</v>
      </c>
      <c r="D155" s="58">
        <v>1008900</v>
      </c>
      <c r="E155" s="58">
        <v>299427</v>
      </c>
      <c r="F155" s="58">
        <v>1352934.5</v>
      </c>
      <c r="G155" s="58">
        <v>939186</v>
      </c>
      <c r="H155" s="58">
        <v>5428419.5</v>
      </c>
    </row>
    <row r="165" spans="1:9">
      <c r="A165" s="42" t="s">
        <v>2114</v>
      </c>
      <c r="G165" t="s">
        <v>2125</v>
      </c>
    </row>
    <row r="166" spans="1:9">
      <c r="A166" s="39" t="s">
        <v>2105</v>
      </c>
      <c r="B166" t="s">
        <v>2115</v>
      </c>
      <c r="C166" t="s">
        <v>2116</v>
      </c>
      <c r="D166" t="s">
        <v>2117</v>
      </c>
      <c r="G166" s="39" t="s">
        <v>2105</v>
      </c>
      <c r="H166" t="s">
        <v>2117</v>
      </c>
    </row>
    <row r="167" spans="1:9">
      <c r="A167" s="40" t="s">
        <v>23</v>
      </c>
      <c r="B167" s="58">
        <v>46</v>
      </c>
      <c r="C167" s="58">
        <v>702</v>
      </c>
      <c r="D167" s="2">
        <v>6.5527065527065526E-2</v>
      </c>
      <c r="G167" s="40" t="s">
        <v>17</v>
      </c>
      <c r="H167" s="2">
        <v>2.8490028490028491E-2</v>
      </c>
      <c r="I167" s="54"/>
    </row>
    <row r="168" spans="1:9">
      <c r="A168" s="40" t="s">
        <v>14</v>
      </c>
      <c r="B168" s="58">
        <v>60</v>
      </c>
      <c r="C168" s="58">
        <v>1035</v>
      </c>
      <c r="D168" s="2">
        <v>5.7971014492753624E-2</v>
      </c>
      <c r="G168" s="40" t="s">
        <v>20</v>
      </c>
      <c r="H168" s="2">
        <v>3.9577836411609502E-2</v>
      </c>
      <c r="I168" s="54"/>
    </row>
    <row r="169" spans="1:9">
      <c r="A169" s="40" t="s">
        <v>221</v>
      </c>
      <c r="B169" s="58">
        <v>27</v>
      </c>
      <c r="C169" s="58">
        <v>522</v>
      </c>
      <c r="D169" s="2">
        <v>5.1724137931034482E-2</v>
      </c>
      <c r="G169" s="40" t="s">
        <v>26</v>
      </c>
      <c r="H169" s="2">
        <v>4.5336787564766841E-2</v>
      </c>
      <c r="I169" s="54"/>
    </row>
    <row r="170" spans="1:9">
      <c r="A170" s="40" t="s">
        <v>26</v>
      </c>
      <c r="B170" s="58">
        <v>35</v>
      </c>
      <c r="C170" s="58">
        <v>772</v>
      </c>
      <c r="D170" s="2">
        <v>4.5336787564766841E-2</v>
      </c>
      <c r="G170" s="40" t="s">
        <v>221</v>
      </c>
      <c r="H170" s="2">
        <v>5.1724137931034482E-2</v>
      </c>
      <c r="I170" s="54"/>
    </row>
    <row r="171" spans="1:9">
      <c r="A171" s="40" t="s">
        <v>20</v>
      </c>
      <c r="B171" s="58">
        <v>30</v>
      </c>
      <c r="C171" s="58">
        <v>758</v>
      </c>
      <c r="D171" s="2">
        <v>3.9577836411609502E-2</v>
      </c>
      <c r="G171" s="40" t="s">
        <v>14</v>
      </c>
      <c r="H171" s="2">
        <v>5.7971014492753624E-2</v>
      </c>
      <c r="I171" s="54"/>
    </row>
    <row r="172" spans="1:9">
      <c r="A172" s="40" t="s">
        <v>17</v>
      </c>
      <c r="B172" s="58">
        <v>20</v>
      </c>
      <c r="C172" s="58">
        <v>702</v>
      </c>
      <c r="D172" s="2">
        <v>2.8490028490028491E-2</v>
      </c>
      <c r="G172" s="40" t="s">
        <v>23</v>
      </c>
      <c r="H172" s="2">
        <v>6.5527065527065526E-2</v>
      </c>
      <c r="I172" s="54"/>
    </row>
    <row r="173" spans="1:9">
      <c r="A173" s="40" t="s">
        <v>2106</v>
      </c>
      <c r="B173" s="58">
        <v>218</v>
      </c>
      <c r="C173" s="58">
        <v>4491</v>
      </c>
      <c r="D173" s="2">
        <v>4.8541527499443328E-2</v>
      </c>
      <c r="G173" s="40" t="s">
        <v>2106</v>
      </c>
      <c r="H173" s="2">
        <v>4.8541527499443328E-2</v>
      </c>
    </row>
  </sheetData>
  <conditionalFormatting sqref="M143:R154">
    <cfRule type="colorScale" priority="17">
      <colorScale>
        <cfvo type="min"/>
        <cfvo type="percentile" val="50"/>
        <cfvo type="max"/>
        <color rgb="FFF8696B"/>
        <color rgb="FFFFEB84"/>
        <color rgb="FF63BE7B"/>
      </colorScale>
    </cfRule>
  </conditionalFormatting>
  <conditionalFormatting sqref="M143:R154">
    <cfRule type="colorScale" priority="18">
      <colorScale>
        <cfvo type="min"/>
        <cfvo type="percentile" val="50"/>
        <cfvo type="max"/>
        <color rgb="FFC0392B"/>
        <color rgb="FFFFEB84"/>
        <color rgb="FF27AE60"/>
      </colorScale>
    </cfRule>
  </conditionalFormatting>
  <conditionalFormatting sqref="M143:R154">
    <cfRule type="colorScale" priority="19">
      <colorScale>
        <cfvo type="min"/>
        <cfvo type="percentile" val="50"/>
        <cfvo type="max"/>
        <color rgb="FFF8696B"/>
        <color rgb="FFF5A623"/>
        <color rgb="FF63BE7B"/>
      </colorScale>
    </cfRule>
  </conditionalFormatting>
  <conditionalFormatting sqref="M143:R154">
    <cfRule type="colorScale" priority="21">
      <colorScale>
        <cfvo type="min"/>
        <cfvo type="percentile" val="50"/>
        <cfvo type="max"/>
        <color theme="6"/>
        <color rgb="FFFFEB84"/>
        <color rgb="FF63BE7B"/>
      </colorScale>
    </cfRule>
  </conditionalFormatting>
  <pageMargins left="0.7" right="0.7" top="0.75" bottom="0.75" header="0.3" footer="0.3"/>
  <drawing r:id="rId10"/>
  <tableParts count="1">
    <tablePart r:id="rId11"/>
  </tableParts>
  <extLst>
    <ext xmlns:x14="http://schemas.microsoft.com/office/spreadsheetml/2009/9/main" uri="{A8765BA9-456A-4dab-B4F3-ACF838C121DE}">
      <x14:slicerList>
        <x14:slicer r:id="rId1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1909D-01E0-42F3-B226-80836754515E}">
  <sheetPr>
    <tabColor rgb="FF1F3864"/>
  </sheetPr>
  <dimension ref="A1:DP11"/>
  <sheetViews>
    <sheetView showGridLines="0" zoomScale="45" zoomScaleNormal="57" workbookViewId="0">
      <pane ySplit="4" topLeftCell="A5" activePane="bottomLeft" state="frozen"/>
      <selection pane="bottomLeft" activeCell="DT28" sqref="DT28"/>
    </sheetView>
  </sheetViews>
  <sheetFormatPr defaultColWidth="2.33203125" defaultRowHeight="14.4"/>
  <cols>
    <col min="1" max="9" width="2.33203125" style="43"/>
    <col min="10" max="10" width="2.33203125" style="43" customWidth="1"/>
    <col min="11" max="16384" width="2.33203125" style="43"/>
  </cols>
  <sheetData>
    <row r="1" spans="1:120" ht="14.4" customHeight="1">
      <c r="A1" s="56" t="s">
        <v>2123</v>
      </c>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row>
    <row r="2" spans="1:120" ht="14.4" customHeight="1">
      <c r="A2" s="57"/>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57"/>
      <c r="CE2" s="57"/>
      <c r="CF2" s="57"/>
      <c r="CG2" s="57"/>
      <c r="CH2" s="57"/>
      <c r="CI2" s="57"/>
      <c r="CJ2" s="57"/>
      <c r="CK2" s="57"/>
      <c r="CL2" s="57"/>
      <c r="CM2" s="57"/>
      <c r="CN2" s="57"/>
      <c r="CO2" s="57"/>
      <c r="CP2" s="57"/>
      <c r="CQ2" s="57"/>
      <c r="CR2" s="57"/>
      <c r="CS2" s="57"/>
      <c r="CT2" s="57"/>
      <c r="CU2" s="57"/>
      <c r="CV2" s="57"/>
      <c r="CW2" s="57"/>
      <c r="CX2" s="57"/>
      <c r="CY2" s="57"/>
      <c r="CZ2" s="57"/>
      <c r="DA2" s="57"/>
      <c r="DB2" s="57"/>
      <c r="DC2" s="57"/>
      <c r="DD2" s="57"/>
      <c r="DE2" s="57"/>
      <c r="DF2" s="57"/>
      <c r="DG2" s="57"/>
      <c r="DH2" s="57"/>
      <c r="DI2" s="57"/>
      <c r="DJ2" s="57"/>
      <c r="DK2" s="57"/>
      <c r="DL2" s="57"/>
      <c r="DM2" s="57"/>
      <c r="DN2" s="57"/>
      <c r="DO2" s="57"/>
      <c r="DP2" s="57"/>
    </row>
    <row r="3" spans="1:120" ht="14.4" customHeight="1">
      <c r="A3" s="57"/>
      <c r="B3" s="57"/>
      <c r="C3" s="57"/>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c r="BN3" s="57"/>
      <c r="BO3" s="57"/>
      <c r="BP3" s="57"/>
      <c r="BQ3" s="57"/>
      <c r="BR3" s="57"/>
      <c r="BS3" s="57"/>
      <c r="BT3" s="57"/>
      <c r="BU3" s="57"/>
      <c r="BV3" s="57"/>
      <c r="BW3" s="57"/>
      <c r="BX3" s="57"/>
      <c r="BY3" s="57"/>
      <c r="BZ3" s="57"/>
      <c r="CA3" s="57"/>
      <c r="CB3" s="57"/>
      <c r="CC3" s="57"/>
      <c r="CD3" s="57"/>
      <c r="CE3" s="57"/>
      <c r="CF3" s="57"/>
      <c r="CG3" s="57"/>
      <c r="CH3" s="57"/>
      <c r="CI3" s="57"/>
      <c r="CJ3" s="57"/>
      <c r="CK3" s="57"/>
      <c r="CL3" s="57"/>
      <c r="CM3" s="57"/>
      <c r="CN3" s="57"/>
      <c r="CO3" s="57"/>
      <c r="CP3" s="57"/>
      <c r="CQ3" s="57"/>
      <c r="CR3" s="57"/>
      <c r="CS3" s="57"/>
      <c r="CT3" s="57"/>
      <c r="CU3" s="57"/>
      <c r="CV3" s="57"/>
      <c r="CW3" s="57"/>
      <c r="CX3" s="57"/>
      <c r="CY3" s="57"/>
      <c r="CZ3" s="57"/>
      <c r="DA3" s="57"/>
      <c r="DB3" s="57"/>
      <c r="DC3" s="57"/>
      <c r="DD3" s="57"/>
      <c r="DE3" s="57"/>
      <c r="DF3" s="57"/>
      <c r="DG3" s="57"/>
      <c r="DH3" s="57"/>
      <c r="DI3" s="57"/>
      <c r="DJ3" s="57"/>
      <c r="DK3" s="57"/>
      <c r="DL3" s="57"/>
      <c r="DM3" s="57"/>
      <c r="DN3" s="57"/>
      <c r="DO3" s="57"/>
      <c r="DP3" s="57"/>
    </row>
    <row r="4" spans="1:120" s="44" customFormat="1"/>
    <row r="9" spans="1:120" ht="14.4" customHeight="1"/>
    <row r="10" spans="1:120" ht="14.4" customHeight="1"/>
    <row r="11" spans="1:120" ht="14.4" customHeight="1"/>
  </sheetData>
  <mergeCells count="1">
    <mergeCell ref="A1:D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9E89B6-A1A4-434F-A0F3-DEFD2E3368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Sales_Raw</vt:lpstr>
      <vt:lpstr>Product_Master</vt:lpstr>
      <vt:lpstr>Budget_Plan</vt:lpstr>
      <vt:lpstr>Returns_Raw</vt:lpstr>
      <vt:lpstr>Sales_Master</vt:lpstr>
      <vt:lpstr>Analysis</vt:lpstr>
      <vt:lpstr>Pivot_Data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Harsha</cp:lastModifiedBy>
  <dcterms:created xsi:type="dcterms:W3CDTF">2026-05-02T10:23:46Z</dcterms:created>
  <dcterms:modified xsi:type="dcterms:W3CDTF">2026-05-15T08:31:23Z</dcterms:modified>
</cp:coreProperties>
</file>